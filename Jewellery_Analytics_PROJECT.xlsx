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6d6c1775a6bac1af/Desktop/jewellery data analytics/"/>
    </mc:Choice>
  </mc:AlternateContent>
  <xr:revisionPtr revIDLastSave="0" documentId="11_6704F24E22A9452DF17A875E88B9E5FA438FE6BB" xr6:coauthVersionLast="47" xr6:coauthVersionMax="47" xr10:uidLastSave="{00000000-0000-0000-0000-000000000000}"/>
  <bookViews>
    <workbookView xWindow="-110" yWindow="-110" windowWidth="19420" windowHeight="11500" tabRatio="500" firstSheet="10" activeTab="12" xr2:uid="{00000000-000D-0000-FFFF-FFFF00000000}"/>
  </bookViews>
  <sheets>
    <sheet name="KPI_Summary" sheetId="1" r:id="rId1"/>
    <sheet name="README" sheetId="2" r:id="rId2"/>
    <sheet name="Raw_Sales" sheetId="3" r:id="rId3"/>
    <sheet name="Raw_Products" sheetId="4" r:id="rId4"/>
    <sheet name="Raw_Customers" sheetId="5" r:id="rId5"/>
    <sheet name="Raw_Stores" sheetId="6" r:id="rId6"/>
    <sheet name="DataQuality_Log" sheetId="7" r:id="rId7"/>
    <sheet name="Cleaned_Sales" sheetId="8" r:id="rId8"/>
    <sheet name="Cleaned_Products" sheetId="9" r:id="rId9"/>
    <sheet name="Cleaned_Customers" sheetId="10" r:id="rId10"/>
    <sheet name="Cleaned_Stores" sheetId="11" r:id="rId11"/>
    <sheet name="Classification" sheetId="12" r:id="rId12"/>
    <sheet name="Pivot_Tables" sheetId="13" r:id="rId1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70" i="13" l="1"/>
  <c r="C70" i="13" s="1"/>
  <c r="B69" i="13"/>
  <c r="C69" i="13" s="1"/>
  <c r="B68" i="13"/>
  <c r="C68" i="13" s="1"/>
  <c r="B67" i="13"/>
  <c r="C67" i="13" s="1"/>
  <c r="B66" i="13"/>
  <c r="C66" i="13" s="1"/>
  <c r="B65" i="13"/>
  <c r="C65" i="13" s="1"/>
  <c r="B60" i="13"/>
  <c r="A60" i="13"/>
  <c r="B59" i="13"/>
  <c r="A59" i="13"/>
  <c r="B58" i="13"/>
  <c r="A58" i="13"/>
  <c r="B57" i="13"/>
  <c r="A57" i="13"/>
  <c r="B56" i="13"/>
  <c r="A56" i="13"/>
  <c r="B55" i="13"/>
  <c r="A55" i="13"/>
  <c r="B54" i="13"/>
  <c r="A54" i="13"/>
  <c r="B53" i="13"/>
  <c r="A53" i="13"/>
  <c r="C48" i="13"/>
  <c r="B48" i="13"/>
  <c r="C47" i="13"/>
  <c r="B47" i="13"/>
  <c r="C46" i="13"/>
  <c r="B46" i="13"/>
  <c r="C45" i="13"/>
  <c r="B45" i="13"/>
  <c r="C44" i="13"/>
  <c r="B44" i="13"/>
  <c r="C43" i="13"/>
  <c r="B43" i="13"/>
  <c r="C42" i="13"/>
  <c r="B42" i="13"/>
  <c r="C41" i="13"/>
  <c r="B41" i="13"/>
  <c r="C40" i="13"/>
  <c r="B40" i="13"/>
  <c r="C39" i="13"/>
  <c r="B39" i="13"/>
  <c r="C38" i="13"/>
  <c r="B38" i="13"/>
  <c r="C37" i="13"/>
  <c r="B37" i="13"/>
  <c r="C36" i="13"/>
  <c r="B36" i="13"/>
  <c r="C35" i="13"/>
  <c r="B35" i="13"/>
  <c r="C34" i="13"/>
  <c r="B34" i="13"/>
  <c r="C33" i="13"/>
  <c r="B33" i="13"/>
  <c r="C32" i="13"/>
  <c r="B32" i="13"/>
  <c r="C31" i="13"/>
  <c r="B31" i="13"/>
  <c r="C30" i="13"/>
  <c r="B30" i="13"/>
  <c r="C29" i="13"/>
  <c r="B29" i="13"/>
  <c r="C28" i="13"/>
  <c r="B28" i="13"/>
  <c r="C27" i="13"/>
  <c r="B27" i="13"/>
  <c r="C26" i="13"/>
  <c r="B26" i="13"/>
  <c r="C25" i="13"/>
  <c r="B25" i="13"/>
  <c r="C24" i="13"/>
  <c r="B24" i="13"/>
  <c r="C23" i="13"/>
  <c r="B23" i="13"/>
  <c r="C22" i="13"/>
  <c r="B22" i="13"/>
  <c r="C21" i="13"/>
  <c r="B21" i="13"/>
  <c r="C20" i="13"/>
  <c r="B20" i="13"/>
  <c r="C19" i="13"/>
  <c r="B19" i="13"/>
  <c r="C18" i="13"/>
  <c r="B18" i="13"/>
  <c r="C17" i="13"/>
  <c r="B17" i="13"/>
  <c r="D12" i="13"/>
  <c r="C12" i="13"/>
  <c r="B12" i="13"/>
  <c r="D11" i="13"/>
  <c r="C11" i="13"/>
  <c r="B11" i="13"/>
  <c r="D10" i="13"/>
  <c r="C10" i="13"/>
  <c r="B10" i="13"/>
  <c r="D9" i="13"/>
  <c r="C9" i="13"/>
  <c r="B9" i="13"/>
  <c r="D8" i="13"/>
  <c r="C8" i="13"/>
  <c r="B8" i="13"/>
  <c r="D7" i="13"/>
  <c r="C7" i="13"/>
  <c r="B7" i="13"/>
  <c r="D6" i="13"/>
  <c r="C6" i="13"/>
  <c r="B6" i="13"/>
  <c r="D5" i="13"/>
  <c r="C5" i="13"/>
  <c r="B5" i="13"/>
  <c r="A15" i="1" s="1"/>
  <c r="B217" i="12"/>
  <c r="A217" i="12"/>
  <c r="B216" i="12"/>
  <c r="A216" i="12"/>
  <c r="B215" i="12"/>
  <c r="A215" i="12"/>
  <c r="B214" i="12"/>
  <c r="A214" i="12"/>
  <c r="B213" i="12"/>
  <c r="A213" i="12"/>
  <c r="B212" i="12"/>
  <c r="A212" i="12"/>
  <c r="B211" i="12"/>
  <c r="A211" i="12"/>
  <c r="B210" i="12"/>
  <c r="A210" i="12"/>
  <c r="B209" i="12"/>
  <c r="A209" i="12"/>
  <c r="B208" i="12"/>
  <c r="A208" i="12"/>
  <c r="B207" i="12"/>
  <c r="A207" i="12"/>
  <c r="B206" i="12"/>
  <c r="A206" i="12"/>
  <c r="B205" i="12"/>
  <c r="A205" i="12"/>
  <c r="C204" i="12"/>
  <c r="B204" i="12"/>
  <c r="A204" i="12"/>
  <c r="B203" i="12"/>
  <c r="A203" i="12"/>
  <c r="B202" i="12"/>
  <c r="A202" i="12"/>
  <c r="B201" i="12"/>
  <c r="A201" i="12"/>
  <c r="B200" i="12"/>
  <c r="A200" i="12"/>
  <c r="B199" i="12"/>
  <c r="A199" i="12"/>
  <c r="B198" i="12"/>
  <c r="A198" i="12"/>
  <c r="B197" i="12"/>
  <c r="A197" i="12"/>
  <c r="B196" i="12"/>
  <c r="A196" i="12"/>
  <c r="B195" i="12"/>
  <c r="A195" i="12"/>
  <c r="B194" i="12"/>
  <c r="A194" i="12"/>
  <c r="B193" i="12"/>
  <c r="A193" i="12"/>
  <c r="B192" i="12"/>
  <c r="A192" i="12"/>
  <c r="B191" i="12"/>
  <c r="A191" i="12"/>
  <c r="B190" i="12"/>
  <c r="A190" i="12"/>
  <c r="B189" i="12"/>
  <c r="A189" i="12"/>
  <c r="B188" i="12"/>
  <c r="A188" i="12"/>
  <c r="B187" i="12"/>
  <c r="A187" i="12"/>
  <c r="B186" i="12"/>
  <c r="A186" i="12"/>
  <c r="B185" i="12"/>
  <c r="A185" i="12"/>
  <c r="B184" i="12"/>
  <c r="A184" i="12"/>
  <c r="B183" i="12"/>
  <c r="A183" i="12"/>
  <c r="B182" i="12"/>
  <c r="A182" i="12"/>
  <c r="B181" i="12"/>
  <c r="A181" i="12"/>
  <c r="B180" i="12"/>
  <c r="A180" i="12"/>
  <c r="B179" i="12"/>
  <c r="A179" i="12"/>
  <c r="B178" i="12"/>
  <c r="A178" i="12"/>
  <c r="B177" i="12"/>
  <c r="A177" i="12"/>
  <c r="B176" i="12"/>
  <c r="A176" i="12"/>
  <c r="B175" i="12"/>
  <c r="A175" i="12"/>
  <c r="B174" i="12"/>
  <c r="A174" i="12"/>
  <c r="B173" i="12"/>
  <c r="A173" i="12"/>
  <c r="B172" i="12"/>
  <c r="A172" i="12"/>
  <c r="B171" i="12"/>
  <c r="A171" i="12"/>
  <c r="B170" i="12"/>
  <c r="A170" i="12"/>
  <c r="B169" i="12"/>
  <c r="A169" i="12"/>
  <c r="B168" i="12"/>
  <c r="A168" i="12"/>
  <c r="B167" i="12"/>
  <c r="A167" i="12"/>
  <c r="B166" i="12"/>
  <c r="A166" i="12"/>
  <c r="B165" i="12"/>
  <c r="A165" i="12"/>
  <c r="B164" i="12"/>
  <c r="A164" i="12"/>
  <c r="B163" i="12"/>
  <c r="A163" i="12"/>
  <c r="B162" i="12"/>
  <c r="A162" i="12"/>
  <c r="B161" i="12"/>
  <c r="A161" i="12"/>
  <c r="B160" i="12"/>
  <c r="A160" i="12"/>
  <c r="B159" i="12"/>
  <c r="A159" i="12"/>
  <c r="B158" i="12"/>
  <c r="A158" i="12"/>
  <c r="B157" i="12"/>
  <c r="A157" i="12"/>
  <c r="B156" i="12"/>
  <c r="A156" i="12"/>
  <c r="B155" i="12"/>
  <c r="A155" i="12"/>
  <c r="B154" i="12"/>
  <c r="A154" i="12"/>
  <c r="B153" i="12"/>
  <c r="A153" i="12"/>
  <c r="B152" i="12"/>
  <c r="A152" i="12"/>
  <c r="B151" i="12"/>
  <c r="A151" i="12"/>
  <c r="B150" i="12"/>
  <c r="A150" i="12"/>
  <c r="B149" i="12"/>
  <c r="A149" i="12"/>
  <c r="B148" i="12"/>
  <c r="A148" i="12"/>
  <c r="B147" i="12"/>
  <c r="A147" i="12"/>
  <c r="B146" i="12"/>
  <c r="A146" i="12"/>
  <c r="B145" i="12"/>
  <c r="A145" i="12"/>
  <c r="B144" i="12"/>
  <c r="A144" i="12"/>
  <c r="B143" i="12"/>
  <c r="A143" i="12"/>
  <c r="B142" i="12"/>
  <c r="A142" i="12"/>
  <c r="B141" i="12"/>
  <c r="A141" i="12"/>
  <c r="F140" i="12"/>
  <c r="G140" i="12" s="1"/>
  <c r="B140" i="12"/>
  <c r="A140" i="12"/>
  <c r="B139" i="12"/>
  <c r="A139" i="12"/>
  <c r="B138" i="12"/>
  <c r="A138" i="12"/>
  <c r="B137" i="12"/>
  <c r="A137" i="12"/>
  <c r="B136" i="12"/>
  <c r="A136" i="12"/>
  <c r="B135" i="12"/>
  <c r="A135" i="12"/>
  <c r="B134" i="12"/>
  <c r="A134" i="12"/>
  <c r="B133" i="12"/>
  <c r="A133" i="12"/>
  <c r="B132" i="12"/>
  <c r="A132" i="12"/>
  <c r="B131" i="12"/>
  <c r="A131" i="12"/>
  <c r="B130" i="12"/>
  <c r="A130" i="12"/>
  <c r="B129" i="12"/>
  <c r="A129" i="12"/>
  <c r="B128" i="12"/>
  <c r="A128" i="12"/>
  <c r="B127" i="12"/>
  <c r="A127" i="12"/>
  <c r="B126" i="12"/>
  <c r="A126" i="12"/>
  <c r="B125" i="12"/>
  <c r="A125" i="12"/>
  <c r="B124" i="12"/>
  <c r="A124" i="12"/>
  <c r="B123" i="12"/>
  <c r="A123" i="12"/>
  <c r="B122" i="12"/>
  <c r="A122" i="12"/>
  <c r="B121" i="12"/>
  <c r="A121" i="12"/>
  <c r="B120" i="12"/>
  <c r="A120" i="12"/>
  <c r="B119" i="12"/>
  <c r="A119" i="12"/>
  <c r="B118" i="12"/>
  <c r="A118" i="12"/>
  <c r="B117" i="12"/>
  <c r="A117" i="12"/>
  <c r="B116" i="12"/>
  <c r="A116" i="12"/>
  <c r="B115" i="12"/>
  <c r="A115" i="12"/>
  <c r="B114" i="12"/>
  <c r="A114" i="12"/>
  <c r="B113" i="12"/>
  <c r="A113" i="12"/>
  <c r="B112" i="12"/>
  <c r="A112" i="12"/>
  <c r="B111" i="12"/>
  <c r="A111" i="12"/>
  <c r="B110" i="12"/>
  <c r="A110" i="12"/>
  <c r="B109" i="12"/>
  <c r="A109" i="12"/>
  <c r="B108" i="12"/>
  <c r="A108" i="12"/>
  <c r="B107" i="12"/>
  <c r="A107" i="12"/>
  <c r="B106" i="12"/>
  <c r="A106" i="12"/>
  <c r="B105" i="12"/>
  <c r="A105" i="12"/>
  <c r="B104" i="12"/>
  <c r="A104" i="12"/>
  <c r="B103" i="12"/>
  <c r="A103" i="12"/>
  <c r="B102" i="12"/>
  <c r="A102" i="12"/>
  <c r="B101" i="12"/>
  <c r="A101" i="12"/>
  <c r="B100" i="12"/>
  <c r="A100" i="12"/>
  <c r="B99" i="12"/>
  <c r="A99" i="12"/>
  <c r="B98" i="12"/>
  <c r="A98" i="12"/>
  <c r="B97" i="12"/>
  <c r="A97" i="12"/>
  <c r="B96" i="12"/>
  <c r="A96" i="12"/>
  <c r="B95" i="12"/>
  <c r="A95" i="12"/>
  <c r="B94" i="12"/>
  <c r="A94" i="12"/>
  <c r="B93" i="12"/>
  <c r="A93" i="12"/>
  <c r="B92" i="12"/>
  <c r="A92" i="12"/>
  <c r="B91" i="12"/>
  <c r="A91" i="12"/>
  <c r="B90" i="12"/>
  <c r="A90" i="12"/>
  <c r="B89" i="12"/>
  <c r="A89" i="12"/>
  <c r="B88" i="12"/>
  <c r="A88" i="12"/>
  <c r="B87" i="12"/>
  <c r="A87" i="12"/>
  <c r="B86" i="12"/>
  <c r="A86" i="12"/>
  <c r="B85" i="12"/>
  <c r="A85" i="12"/>
  <c r="B84" i="12"/>
  <c r="A84" i="12"/>
  <c r="B83" i="12"/>
  <c r="A83" i="12"/>
  <c r="B82" i="12"/>
  <c r="A82" i="12"/>
  <c r="B81" i="12"/>
  <c r="A81" i="12"/>
  <c r="B80" i="12"/>
  <c r="A80" i="12"/>
  <c r="B79" i="12"/>
  <c r="A79" i="12"/>
  <c r="B78" i="12"/>
  <c r="A78" i="12"/>
  <c r="B77" i="12"/>
  <c r="A77" i="12"/>
  <c r="B76" i="12"/>
  <c r="A76" i="12"/>
  <c r="B75" i="12"/>
  <c r="A75" i="12"/>
  <c r="B74" i="12"/>
  <c r="A74" i="12"/>
  <c r="B73" i="12"/>
  <c r="A73" i="12"/>
  <c r="B72" i="12"/>
  <c r="A72" i="12"/>
  <c r="B71" i="12"/>
  <c r="A71" i="12"/>
  <c r="B70" i="12"/>
  <c r="A70" i="12"/>
  <c r="B69" i="12"/>
  <c r="A69" i="12"/>
  <c r="N68" i="12"/>
  <c r="C64" i="12"/>
  <c r="B64" i="12"/>
  <c r="A64" i="12"/>
  <c r="C63" i="12"/>
  <c r="B63" i="12"/>
  <c r="A63" i="12"/>
  <c r="C62" i="12"/>
  <c r="B62" i="12"/>
  <c r="A62" i="12"/>
  <c r="C61" i="12"/>
  <c r="B61" i="12"/>
  <c r="A61" i="12"/>
  <c r="C60" i="12"/>
  <c r="B60" i="12"/>
  <c r="A60" i="12"/>
  <c r="C59" i="12"/>
  <c r="B59" i="12"/>
  <c r="A59" i="12"/>
  <c r="C58" i="12"/>
  <c r="B58" i="12"/>
  <c r="A58" i="12"/>
  <c r="C57" i="12"/>
  <c r="B57" i="12"/>
  <c r="A57" i="12"/>
  <c r="C56" i="12"/>
  <c r="B56" i="12"/>
  <c r="A56" i="12"/>
  <c r="C55" i="12"/>
  <c r="B55" i="12"/>
  <c r="A55" i="12"/>
  <c r="C54" i="12"/>
  <c r="B54" i="12"/>
  <c r="A54" i="12"/>
  <c r="C53" i="12"/>
  <c r="B53" i="12"/>
  <c r="A53" i="12"/>
  <c r="C52" i="12"/>
  <c r="B52" i="12"/>
  <c r="A52" i="12"/>
  <c r="C51" i="12"/>
  <c r="B51" i="12"/>
  <c r="A51" i="12"/>
  <c r="C50" i="12"/>
  <c r="B50" i="12"/>
  <c r="A50" i="12"/>
  <c r="C49" i="12"/>
  <c r="B49" i="12"/>
  <c r="A49" i="12"/>
  <c r="C48" i="12"/>
  <c r="B48" i="12"/>
  <c r="A48" i="12"/>
  <c r="C47" i="12"/>
  <c r="B47" i="12"/>
  <c r="A47" i="12"/>
  <c r="C46" i="12"/>
  <c r="B46" i="12"/>
  <c r="A46" i="12"/>
  <c r="C45" i="12"/>
  <c r="B45" i="12"/>
  <c r="A45" i="12"/>
  <c r="C44" i="12"/>
  <c r="B44" i="12"/>
  <c r="A44" i="12"/>
  <c r="C43" i="12"/>
  <c r="B43" i="12"/>
  <c r="A43" i="12"/>
  <c r="C42" i="12"/>
  <c r="B42" i="12"/>
  <c r="A42" i="12"/>
  <c r="C41" i="12"/>
  <c r="B41" i="12"/>
  <c r="A41" i="12"/>
  <c r="C40" i="12"/>
  <c r="B40" i="12"/>
  <c r="A40" i="12"/>
  <c r="C39" i="12"/>
  <c r="B39" i="12"/>
  <c r="A39" i="12"/>
  <c r="C38" i="12"/>
  <c r="B38" i="12"/>
  <c r="A38" i="12"/>
  <c r="C37" i="12"/>
  <c r="B37" i="12"/>
  <c r="A37" i="12"/>
  <c r="C36" i="12"/>
  <c r="B36" i="12"/>
  <c r="A36" i="12"/>
  <c r="C35" i="12"/>
  <c r="B35" i="12"/>
  <c r="A35" i="12"/>
  <c r="C34" i="12"/>
  <c r="B34" i="12"/>
  <c r="A34" i="12"/>
  <c r="C33" i="12"/>
  <c r="B33" i="12"/>
  <c r="A33" i="12"/>
  <c r="C32" i="12"/>
  <c r="B32" i="12"/>
  <c r="A32" i="12"/>
  <c r="C31" i="12"/>
  <c r="B31" i="12"/>
  <c r="A31" i="12"/>
  <c r="C30" i="12"/>
  <c r="B30" i="12"/>
  <c r="A30" i="12"/>
  <c r="C29" i="12"/>
  <c r="B29" i="12"/>
  <c r="A29" i="12"/>
  <c r="C28" i="12"/>
  <c r="B28" i="12"/>
  <c r="A28" i="12"/>
  <c r="C27" i="12"/>
  <c r="B27" i="12"/>
  <c r="A27" i="12"/>
  <c r="C26" i="12"/>
  <c r="B26" i="12"/>
  <c r="A26" i="12"/>
  <c r="C25" i="12"/>
  <c r="B25" i="12"/>
  <c r="A25" i="12"/>
  <c r="C24" i="12"/>
  <c r="B24" i="12"/>
  <c r="A24" i="12"/>
  <c r="C23" i="12"/>
  <c r="B23" i="12"/>
  <c r="A23" i="12"/>
  <c r="C22" i="12"/>
  <c r="B22" i="12"/>
  <c r="A22" i="12"/>
  <c r="C21" i="12"/>
  <c r="B21" i="12"/>
  <c r="A21" i="12"/>
  <c r="C20" i="12"/>
  <c r="B20" i="12"/>
  <c r="A20" i="12"/>
  <c r="C19" i="12"/>
  <c r="B19" i="12"/>
  <c r="A19" i="12"/>
  <c r="C18" i="12"/>
  <c r="B18" i="12"/>
  <c r="A18" i="12"/>
  <c r="C17" i="12"/>
  <c r="B17" i="12"/>
  <c r="A17" i="12"/>
  <c r="C16" i="12"/>
  <c r="B16" i="12"/>
  <c r="A16" i="12"/>
  <c r="C15" i="12"/>
  <c r="B15" i="12"/>
  <c r="A15" i="12"/>
  <c r="C14" i="12"/>
  <c r="B14" i="12"/>
  <c r="A14" i="12"/>
  <c r="C13" i="12"/>
  <c r="B13" i="12"/>
  <c r="A13" i="12"/>
  <c r="C12" i="12"/>
  <c r="B12" i="12"/>
  <c r="A12" i="12"/>
  <c r="C11" i="12"/>
  <c r="B11" i="12"/>
  <c r="A11" i="12"/>
  <c r="C10" i="12"/>
  <c r="B10" i="12"/>
  <c r="A10" i="12"/>
  <c r="C9" i="12"/>
  <c r="B9" i="12"/>
  <c r="A9" i="12"/>
  <c r="C8" i="12"/>
  <c r="B8" i="12"/>
  <c r="A8" i="12"/>
  <c r="C7" i="12"/>
  <c r="B7" i="12"/>
  <c r="A7" i="12"/>
  <c r="C6" i="12"/>
  <c r="B6" i="12"/>
  <c r="A6" i="12"/>
  <c r="C5" i="12"/>
  <c r="B5" i="12"/>
  <c r="A5" i="12"/>
  <c r="P714" i="8"/>
  <c r="O714" i="8"/>
  <c r="P713" i="8"/>
  <c r="O713" i="8"/>
  <c r="P712" i="8"/>
  <c r="O712" i="8"/>
  <c r="P711" i="8"/>
  <c r="O711" i="8"/>
  <c r="P710" i="8"/>
  <c r="O710" i="8"/>
  <c r="P709" i="8"/>
  <c r="O709" i="8"/>
  <c r="P708" i="8"/>
  <c r="O708" i="8"/>
  <c r="P707" i="8"/>
  <c r="O707" i="8"/>
  <c r="P706" i="8"/>
  <c r="O706" i="8"/>
  <c r="P705" i="8"/>
  <c r="O705" i="8"/>
  <c r="P704" i="8"/>
  <c r="O704" i="8"/>
  <c r="P703" i="8"/>
  <c r="O703" i="8"/>
  <c r="P702" i="8"/>
  <c r="O702" i="8"/>
  <c r="P701" i="8"/>
  <c r="O701" i="8"/>
  <c r="P700" i="8"/>
  <c r="O700" i="8"/>
  <c r="P699" i="8"/>
  <c r="O699" i="8"/>
  <c r="P698" i="8"/>
  <c r="O698" i="8"/>
  <c r="P697" i="8"/>
  <c r="O697" i="8"/>
  <c r="P696" i="8"/>
  <c r="O696" i="8"/>
  <c r="P695" i="8"/>
  <c r="O695" i="8"/>
  <c r="P694" i="8"/>
  <c r="O694" i="8"/>
  <c r="P693" i="8"/>
  <c r="O693" i="8"/>
  <c r="P692" i="8"/>
  <c r="O692" i="8"/>
  <c r="P691" i="8"/>
  <c r="O691" i="8"/>
  <c r="P690" i="8"/>
  <c r="O690" i="8"/>
  <c r="P689" i="8"/>
  <c r="O689" i="8"/>
  <c r="P688" i="8"/>
  <c r="O688" i="8"/>
  <c r="P687" i="8"/>
  <c r="O687" i="8"/>
  <c r="P686" i="8"/>
  <c r="O686" i="8"/>
  <c r="P685" i="8"/>
  <c r="O685" i="8"/>
  <c r="P684" i="8"/>
  <c r="O684" i="8"/>
  <c r="P683" i="8"/>
  <c r="O683" i="8"/>
  <c r="P682" i="8"/>
  <c r="O682" i="8"/>
  <c r="P681" i="8"/>
  <c r="O681" i="8"/>
  <c r="P680" i="8"/>
  <c r="O680" i="8"/>
  <c r="P679" i="8"/>
  <c r="O679" i="8"/>
  <c r="P678" i="8"/>
  <c r="O678" i="8"/>
  <c r="P677" i="8"/>
  <c r="O677" i="8"/>
  <c r="P676" i="8"/>
  <c r="O676" i="8"/>
  <c r="P675" i="8"/>
  <c r="O675" i="8"/>
  <c r="P674" i="8"/>
  <c r="O674" i="8"/>
  <c r="P673" i="8"/>
  <c r="O673" i="8"/>
  <c r="P672" i="8"/>
  <c r="O672" i="8"/>
  <c r="P671" i="8"/>
  <c r="O671" i="8"/>
  <c r="P670" i="8"/>
  <c r="O670" i="8"/>
  <c r="P669" i="8"/>
  <c r="O669" i="8"/>
  <c r="P668" i="8"/>
  <c r="O668" i="8"/>
  <c r="P667" i="8"/>
  <c r="O667" i="8"/>
  <c r="P666" i="8"/>
  <c r="O666" i="8"/>
  <c r="P665" i="8"/>
  <c r="O665" i="8"/>
  <c r="P664" i="8"/>
  <c r="O664" i="8"/>
  <c r="P663" i="8"/>
  <c r="O663" i="8"/>
  <c r="P662" i="8"/>
  <c r="O662" i="8"/>
  <c r="P661" i="8"/>
  <c r="O661" i="8"/>
  <c r="P660" i="8"/>
  <c r="O660" i="8"/>
  <c r="P659" i="8"/>
  <c r="O659" i="8"/>
  <c r="P658" i="8"/>
  <c r="O658" i="8"/>
  <c r="P657" i="8"/>
  <c r="O657" i="8"/>
  <c r="P656" i="8"/>
  <c r="O656" i="8"/>
  <c r="P655" i="8"/>
  <c r="O655" i="8"/>
  <c r="P654" i="8"/>
  <c r="O654" i="8"/>
  <c r="P653" i="8"/>
  <c r="O653" i="8"/>
  <c r="P652" i="8"/>
  <c r="O652" i="8"/>
  <c r="P651" i="8"/>
  <c r="O651" i="8"/>
  <c r="P650" i="8"/>
  <c r="O650" i="8"/>
  <c r="P649" i="8"/>
  <c r="O649" i="8"/>
  <c r="P648" i="8"/>
  <c r="O648" i="8"/>
  <c r="P647" i="8"/>
  <c r="O647" i="8"/>
  <c r="P646" i="8"/>
  <c r="O646" i="8"/>
  <c r="P645" i="8"/>
  <c r="O645" i="8"/>
  <c r="P644" i="8"/>
  <c r="O644" i="8"/>
  <c r="P643" i="8"/>
  <c r="O643" i="8"/>
  <c r="P642" i="8"/>
  <c r="O642" i="8"/>
  <c r="P641" i="8"/>
  <c r="O641" i="8"/>
  <c r="P640" i="8"/>
  <c r="O640" i="8"/>
  <c r="P639" i="8"/>
  <c r="O639" i="8"/>
  <c r="P638" i="8"/>
  <c r="O638" i="8"/>
  <c r="P637" i="8"/>
  <c r="O637" i="8"/>
  <c r="P636" i="8"/>
  <c r="O636" i="8"/>
  <c r="P635" i="8"/>
  <c r="O635" i="8"/>
  <c r="P634" i="8"/>
  <c r="O634" i="8"/>
  <c r="P633" i="8"/>
  <c r="O633" i="8"/>
  <c r="P632" i="8"/>
  <c r="O632" i="8"/>
  <c r="P631" i="8"/>
  <c r="O631" i="8"/>
  <c r="P630" i="8"/>
  <c r="O630" i="8"/>
  <c r="P629" i="8"/>
  <c r="O629" i="8"/>
  <c r="P628" i="8"/>
  <c r="O628" i="8"/>
  <c r="P627" i="8"/>
  <c r="O627" i="8"/>
  <c r="P626" i="8"/>
  <c r="O626" i="8"/>
  <c r="P625" i="8"/>
  <c r="O625" i="8"/>
  <c r="P624" i="8"/>
  <c r="O624" i="8"/>
  <c r="P623" i="8"/>
  <c r="O623" i="8"/>
  <c r="P622" i="8"/>
  <c r="O622" i="8"/>
  <c r="P621" i="8"/>
  <c r="O621" i="8"/>
  <c r="P620" i="8"/>
  <c r="O620" i="8"/>
  <c r="P619" i="8"/>
  <c r="O619" i="8"/>
  <c r="P618" i="8"/>
  <c r="O618" i="8"/>
  <c r="P617" i="8"/>
  <c r="O617" i="8"/>
  <c r="P616" i="8"/>
  <c r="O616" i="8"/>
  <c r="P615" i="8"/>
  <c r="O615" i="8"/>
  <c r="P614" i="8"/>
  <c r="O614" i="8"/>
  <c r="P613" i="8"/>
  <c r="O613" i="8"/>
  <c r="P612" i="8"/>
  <c r="O612" i="8"/>
  <c r="P611" i="8"/>
  <c r="O611" i="8"/>
  <c r="P610" i="8"/>
  <c r="O610" i="8"/>
  <c r="P609" i="8"/>
  <c r="O609" i="8"/>
  <c r="P608" i="8"/>
  <c r="O608" i="8"/>
  <c r="P607" i="8"/>
  <c r="O607" i="8"/>
  <c r="P606" i="8"/>
  <c r="O606" i="8"/>
  <c r="P605" i="8"/>
  <c r="O605" i="8"/>
  <c r="P604" i="8"/>
  <c r="O604" i="8"/>
  <c r="P603" i="8"/>
  <c r="O603" i="8"/>
  <c r="P602" i="8"/>
  <c r="O602" i="8"/>
  <c r="P601" i="8"/>
  <c r="O601" i="8"/>
  <c r="P600" i="8"/>
  <c r="O600" i="8"/>
  <c r="P599" i="8"/>
  <c r="O599" i="8"/>
  <c r="P598" i="8"/>
  <c r="O598" i="8"/>
  <c r="P597" i="8"/>
  <c r="O597" i="8"/>
  <c r="P596" i="8"/>
  <c r="O596" i="8"/>
  <c r="P595" i="8"/>
  <c r="O595" i="8"/>
  <c r="P594" i="8"/>
  <c r="O594" i="8"/>
  <c r="P593" i="8"/>
  <c r="O593" i="8"/>
  <c r="P592" i="8"/>
  <c r="O592" i="8"/>
  <c r="P591" i="8"/>
  <c r="O591" i="8"/>
  <c r="P590" i="8"/>
  <c r="O590" i="8"/>
  <c r="P589" i="8"/>
  <c r="O589" i="8"/>
  <c r="P588" i="8"/>
  <c r="O588" i="8"/>
  <c r="P587" i="8"/>
  <c r="O587" i="8"/>
  <c r="P586" i="8"/>
  <c r="O586" i="8"/>
  <c r="P585" i="8"/>
  <c r="O585" i="8"/>
  <c r="P584" i="8"/>
  <c r="O584" i="8"/>
  <c r="P583" i="8"/>
  <c r="O583" i="8"/>
  <c r="P582" i="8"/>
  <c r="O582" i="8"/>
  <c r="P581" i="8"/>
  <c r="O581" i="8"/>
  <c r="P580" i="8"/>
  <c r="O580" i="8"/>
  <c r="P579" i="8"/>
  <c r="O579" i="8"/>
  <c r="P578" i="8"/>
  <c r="O578" i="8"/>
  <c r="P577" i="8"/>
  <c r="O577" i="8"/>
  <c r="P576" i="8"/>
  <c r="O576" i="8"/>
  <c r="P575" i="8"/>
  <c r="O575" i="8"/>
  <c r="P574" i="8"/>
  <c r="O574" i="8"/>
  <c r="P573" i="8"/>
  <c r="O573" i="8"/>
  <c r="P572" i="8"/>
  <c r="O572" i="8"/>
  <c r="P571" i="8"/>
  <c r="O571" i="8"/>
  <c r="P570" i="8"/>
  <c r="O570" i="8"/>
  <c r="P569" i="8"/>
  <c r="O569" i="8"/>
  <c r="P568" i="8"/>
  <c r="O568" i="8"/>
  <c r="P567" i="8"/>
  <c r="O567" i="8"/>
  <c r="P566" i="8"/>
  <c r="O566" i="8"/>
  <c r="P565" i="8"/>
  <c r="O565" i="8"/>
  <c r="P564" i="8"/>
  <c r="O564" i="8"/>
  <c r="P563" i="8"/>
  <c r="O563" i="8"/>
  <c r="P562" i="8"/>
  <c r="O562" i="8"/>
  <c r="P561" i="8"/>
  <c r="O561" i="8"/>
  <c r="P560" i="8"/>
  <c r="O560" i="8"/>
  <c r="P559" i="8"/>
  <c r="O559" i="8"/>
  <c r="P558" i="8"/>
  <c r="O558" i="8"/>
  <c r="P557" i="8"/>
  <c r="O557" i="8"/>
  <c r="P556" i="8"/>
  <c r="O556" i="8"/>
  <c r="P555" i="8"/>
  <c r="O555" i="8"/>
  <c r="P554" i="8"/>
  <c r="O554" i="8"/>
  <c r="P553" i="8"/>
  <c r="O553" i="8"/>
  <c r="P552" i="8"/>
  <c r="O552" i="8"/>
  <c r="P551" i="8"/>
  <c r="O551" i="8"/>
  <c r="P550" i="8"/>
  <c r="O550" i="8"/>
  <c r="P549" i="8"/>
  <c r="O549" i="8"/>
  <c r="P548" i="8"/>
  <c r="O548" i="8"/>
  <c r="P547" i="8"/>
  <c r="O547" i="8"/>
  <c r="P546" i="8"/>
  <c r="O546" i="8"/>
  <c r="P545" i="8"/>
  <c r="O545" i="8"/>
  <c r="P544" i="8"/>
  <c r="O544" i="8"/>
  <c r="P543" i="8"/>
  <c r="O543" i="8"/>
  <c r="P542" i="8"/>
  <c r="O542" i="8"/>
  <c r="P541" i="8"/>
  <c r="O541" i="8"/>
  <c r="P540" i="8"/>
  <c r="O540" i="8"/>
  <c r="P539" i="8"/>
  <c r="O539" i="8"/>
  <c r="P538" i="8"/>
  <c r="O538" i="8"/>
  <c r="P537" i="8"/>
  <c r="O537" i="8"/>
  <c r="P536" i="8"/>
  <c r="O536" i="8"/>
  <c r="P535" i="8"/>
  <c r="O535" i="8"/>
  <c r="P534" i="8"/>
  <c r="O534" i="8"/>
  <c r="P533" i="8"/>
  <c r="O533" i="8"/>
  <c r="P532" i="8"/>
  <c r="O532" i="8"/>
  <c r="P531" i="8"/>
  <c r="O531" i="8"/>
  <c r="P530" i="8"/>
  <c r="O530" i="8"/>
  <c r="P529" i="8"/>
  <c r="O529" i="8"/>
  <c r="P528" i="8"/>
  <c r="O528" i="8"/>
  <c r="P527" i="8"/>
  <c r="O527" i="8"/>
  <c r="P526" i="8"/>
  <c r="O526" i="8"/>
  <c r="P525" i="8"/>
  <c r="O525" i="8"/>
  <c r="P524" i="8"/>
  <c r="O524" i="8"/>
  <c r="P523" i="8"/>
  <c r="O523" i="8"/>
  <c r="P522" i="8"/>
  <c r="O522" i="8"/>
  <c r="P521" i="8"/>
  <c r="O521" i="8"/>
  <c r="P520" i="8"/>
  <c r="O520" i="8"/>
  <c r="P519" i="8"/>
  <c r="O519" i="8"/>
  <c r="P518" i="8"/>
  <c r="O518" i="8"/>
  <c r="P517" i="8"/>
  <c r="O517" i="8"/>
  <c r="P516" i="8"/>
  <c r="O516" i="8"/>
  <c r="P515" i="8"/>
  <c r="O515" i="8"/>
  <c r="P514" i="8"/>
  <c r="O514" i="8"/>
  <c r="P513" i="8"/>
  <c r="O513" i="8"/>
  <c r="P512" i="8"/>
  <c r="O512" i="8"/>
  <c r="P511" i="8"/>
  <c r="O511" i="8"/>
  <c r="P510" i="8"/>
  <c r="O510" i="8"/>
  <c r="P509" i="8"/>
  <c r="O509" i="8"/>
  <c r="P508" i="8"/>
  <c r="O508" i="8"/>
  <c r="P507" i="8"/>
  <c r="O507" i="8"/>
  <c r="P506" i="8"/>
  <c r="O506" i="8"/>
  <c r="P505" i="8"/>
  <c r="O505" i="8"/>
  <c r="P504" i="8"/>
  <c r="O504" i="8"/>
  <c r="P503" i="8"/>
  <c r="O503" i="8"/>
  <c r="P502" i="8"/>
  <c r="O502" i="8"/>
  <c r="P501" i="8"/>
  <c r="O501" i="8"/>
  <c r="P500" i="8"/>
  <c r="O500" i="8"/>
  <c r="P499" i="8"/>
  <c r="O499" i="8"/>
  <c r="P498" i="8"/>
  <c r="O498" i="8"/>
  <c r="P497" i="8"/>
  <c r="O497" i="8"/>
  <c r="P496" i="8"/>
  <c r="O496" i="8"/>
  <c r="P495" i="8"/>
  <c r="O495" i="8"/>
  <c r="P494" i="8"/>
  <c r="O494" i="8"/>
  <c r="P493" i="8"/>
  <c r="O493" i="8"/>
  <c r="P492" i="8"/>
  <c r="O492" i="8"/>
  <c r="P491" i="8"/>
  <c r="O491" i="8"/>
  <c r="P490" i="8"/>
  <c r="O490" i="8"/>
  <c r="P489" i="8"/>
  <c r="O489" i="8"/>
  <c r="P488" i="8"/>
  <c r="O488" i="8"/>
  <c r="P487" i="8"/>
  <c r="O487" i="8"/>
  <c r="P486" i="8"/>
  <c r="O486" i="8"/>
  <c r="P485" i="8"/>
  <c r="O485" i="8"/>
  <c r="P484" i="8"/>
  <c r="O484" i="8"/>
  <c r="P483" i="8"/>
  <c r="O483" i="8"/>
  <c r="P482" i="8"/>
  <c r="O482" i="8"/>
  <c r="P481" i="8"/>
  <c r="O481" i="8"/>
  <c r="P480" i="8"/>
  <c r="O480" i="8"/>
  <c r="P479" i="8"/>
  <c r="O479" i="8"/>
  <c r="P478" i="8"/>
  <c r="O478" i="8"/>
  <c r="P477" i="8"/>
  <c r="O477" i="8"/>
  <c r="P476" i="8"/>
  <c r="O476" i="8"/>
  <c r="P475" i="8"/>
  <c r="O475" i="8"/>
  <c r="P474" i="8"/>
  <c r="O474" i="8"/>
  <c r="P473" i="8"/>
  <c r="O473" i="8"/>
  <c r="P472" i="8"/>
  <c r="O472" i="8"/>
  <c r="P471" i="8"/>
  <c r="O471" i="8"/>
  <c r="P470" i="8"/>
  <c r="O470" i="8"/>
  <c r="P469" i="8"/>
  <c r="O469" i="8"/>
  <c r="P468" i="8"/>
  <c r="O468" i="8"/>
  <c r="P467" i="8"/>
  <c r="O467" i="8"/>
  <c r="P466" i="8"/>
  <c r="O466" i="8"/>
  <c r="P465" i="8"/>
  <c r="O465" i="8"/>
  <c r="P464" i="8"/>
  <c r="O464" i="8"/>
  <c r="P463" i="8"/>
  <c r="O463" i="8"/>
  <c r="P462" i="8"/>
  <c r="O462" i="8"/>
  <c r="P461" i="8"/>
  <c r="O461" i="8"/>
  <c r="P460" i="8"/>
  <c r="O460" i="8"/>
  <c r="P459" i="8"/>
  <c r="O459" i="8"/>
  <c r="P458" i="8"/>
  <c r="O458" i="8"/>
  <c r="P457" i="8"/>
  <c r="O457" i="8"/>
  <c r="P456" i="8"/>
  <c r="O456" i="8"/>
  <c r="P455" i="8"/>
  <c r="O455" i="8"/>
  <c r="P454" i="8"/>
  <c r="O454" i="8"/>
  <c r="P453" i="8"/>
  <c r="O453" i="8"/>
  <c r="P452" i="8"/>
  <c r="O452" i="8"/>
  <c r="P451" i="8"/>
  <c r="O451" i="8"/>
  <c r="P450" i="8"/>
  <c r="O450" i="8"/>
  <c r="P449" i="8"/>
  <c r="O449" i="8"/>
  <c r="P448" i="8"/>
  <c r="O448" i="8"/>
  <c r="P447" i="8"/>
  <c r="O447" i="8"/>
  <c r="P446" i="8"/>
  <c r="O446" i="8"/>
  <c r="P445" i="8"/>
  <c r="O445" i="8"/>
  <c r="P444" i="8"/>
  <c r="O444" i="8"/>
  <c r="P443" i="8"/>
  <c r="O443" i="8"/>
  <c r="P442" i="8"/>
  <c r="O442" i="8"/>
  <c r="P441" i="8"/>
  <c r="O441" i="8"/>
  <c r="P440" i="8"/>
  <c r="O440" i="8"/>
  <c r="P439" i="8"/>
  <c r="O439" i="8"/>
  <c r="P438" i="8"/>
  <c r="O438" i="8"/>
  <c r="P437" i="8"/>
  <c r="O437" i="8"/>
  <c r="P436" i="8"/>
  <c r="O436" i="8"/>
  <c r="P435" i="8"/>
  <c r="O435" i="8"/>
  <c r="P434" i="8"/>
  <c r="O434" i="8"/>
  <c r="P433" i="8"/>
  <c r="O433" i="8"/>
  <c r="P432" i="8"/>
  <c r="O432" i="8"/>
  <c r="P431" i="8"/>
  <c r="O431" i="8"/>
  <c r="P430" i="8"/>
  <c r="O430" i="8"/>
  <c r="P429" i="8"/>
  <c r="O429" i="8"/>
  <c r="P428" i="8"/>
  <c r="O428" i="8"/>
  <c r="P427" i="8"/>
  <c r="O427" i="8"/>
  <c r="P426" i="8"/>
  <c r="O426" i="8"/>
  <c r="P425" i="8"/>
  <c r="O425" i="8"/>
  <c r="P424" i="8"/>
  <c r="O424" i="8"/>
  <c r="P423" i="8"/>
  <c r="O423" i="8"/>
  <c r="P422" i="8"/>
  <c r="O422" i="8"/>
  <c r="P421" i="8"/>
  <c r="O421" i="8"/>
  <c r="P420" i="8"/>
  <c r="O420" i="8"/>
  <c r="P419" i="8"/>
  <c r="O419" i="8"/>
  <c r="P418" i="8"/>
  <c r="O418" i="8"/>
  <c r="P417" i="8"/>
  <c r="O417" i="8"/>
  <c r="P416" i="8"/>
  <c r="O416" i="8"/>
  <c r="P415" i="8"/>
  <c r="O415" i="8"/>
  <c r="P414" i="8"/>
  <c r="O414" i="8"/>
  <c r="P413" i="8"/>
  <c r="O413" i="8"/>
  <c r="P412" i="8"/>
  <c r="O412" i="8"/>
  <c r="P411" i="8"/>
  <c r="O411" i="8"/>
  <c r="P410" i="8"/>
  <c r="O410" i="8"/>
  <c r="P409" i="8"/>
  <c r="O409" i="8"/>
  <c r="P408" i="8"/>
  <c r="O408" i="8"/>
  <c r="P407" i="8"/>
  <c r="O407" i="8"/>
  <c r="P406" i="8"/>
  <c r="O406" i="8"/>
  <c r="P405" i="8"/>
  <c r="O405" i="8"/>
  <c r="P404" i="8"/>
  <c r="O404" i="8"/>
  <c r="P403" i="8"/>
  <c r="O403" i="8"/>
  <c r="P402" i="8"/>
  <c r="O402" i="8"/>
  <c r="P401" i="8"/>
  <c r="O401" i="8"/>
  <c r="P400" i="8"/>
  <c r="O400" i="8"/>
  <c r="P399" i="8"/>
  <c r="O399" i="8"/>
  <c r="P398" i="8"/>
  <c r="O398" i="8"/>
  <c r="P397" i="8"/>
  <c r="O397" i="8"/>
  <c r="P396" i="8"/>
  <c r="O396" i="8"/>
  <c r="P395" i="8"/>
  <c r="O395" i="8"/>
  <c r="P394" i="8"/>
  <c r="O394" i="8"/>
  <c r="P393" i="8"/>
  <c r="O393" i="8"/>
  <c r="P392" i="8"/>
  <c r="O392" i="8"/>
  <c r="P391" i="8"/>
  <c r="O391" i="8"/>
  <c r="P390" i="8"/>
  <c r="O390" i="8"/>
  <c r="P389" i="8"/>
  <c r="O389" i="8"/>
  <c r="P388" i="8"/>
  <c r="O388" i="8"/>
  <c r="P387" i="8"/>
  <c r="O387" i="8"/>
  <c r="P386" i="8"/>
  <c r="O386" i="8"/>
  <c r="P385" i="8"/>
  <c r="O385" i="8"/>
  <c r="P384" i="8"/>
  <c r="O384" i="8"/>
  <c r="P383" i="8"/>
  <c r="O383" i="8"/>
  <c r="P382" i="8"/>
  <c r="O382" i="8"/>
  <c r="P381" i="8"/>
  <c r="O381" i="8"/>
  <c r="P380" i="8"/>
  <c r="O380" i="8"/>
  <c r="P379" i="8"/>
  <c r="O379" i="8"/>
  <c r="P378" i="8"/>
  <c r="O378" i="8"/>
  <c r="P377" i="8"/>
  <c r="O377" i="8"/>
  <c r="P376" i="8"/>
  <c r="O376" i="8"/>
  <c r="P375" i="8"/>
  <c r="O375" i="8"/>
  <c r="P374" i="8"/>
  <c r="O374" i="8"/>
  <c r="P373" i="8"/>
  <c r="O373" i="8"/>
  <c r="P372" i="8"/>
  <c r="O372" i="8"/>
  <c r="P371" i="8"/>
  <c r="O371" i="8"/>
  <c r="P370" i="8"/>
  <c r="O370" i="8"/>
  <c r="P369" i="8"/>
  <c r="O369" i="8"/>
  <c r="P368" i="8"/>
  <c r="O368" i="8"/>
  <c r="P367" i="8"/>
  <c r="O367" i="8"/>
  <c r="P366" i="8"/>
  <c r="O366" i="8"/>
  <c r="P365" i="8"/>
  <c r="O365" i="8"/>
  <c r="P364" i="8"/>
  <c r="O364" i="8"/>
  <c r="P363" i="8"/>
  <c r="O363" i="8"/>
  <c r="P362" i="8"/>
  <c r="O362" i="8"/>
  <c r="P361" i="8"/>
  <c r="O361" i="8"/>
  <c r="P360" i="8"/>
  <c r="O360" i="8"/>
  <c r="P359" i="8"/>
  <c r="O359" i="8"/>
  <c r="P358" i="8"/>
  <c r="O358" i="8"/>
  <c r="P357" i="8"/>
  <c r="O357" i="8"/>
  <c r="P356" i="8"/>
  <c r="O356" i="8"/>
  <c r="P355" i="8"/>
  <c r="O355" i="8"/>
  <c r="P354" i="8"/>
  <c r="O354" i="8"/>
  <c r="P353" i="8"/>
  <c r="O353" i="8"/>
  <c r="P352" i="8"/>
  <c r="O352" i="8"/>
  <c r="P351" i="8"/>
  <c r="O351" i="8"/>
  <c r="P350" i="8"/>
  <c r="O350" i="8"/>
  <c r="P349" i="8"/>
  <c r="O349" i="8"/>
  <c r="P348" i="8"/>
  <c r="O348" i="8"/>
  <c r="P347" i="8"/>
  <c r="O347" i="8"/>
  <c r="P346" i="8"/>
  <c r="O346" i="8"/>
  <c r="P345" i="8"/>
  <c r="O345" i="8"/>
  <c r="P344" i="8"/>
  <c r="O344" i="8"/>
  <c r="P343" i="8"/>
  <c r="O343" i="8"/>
  <c r="P342" i="8"/>
  <c r="O342" i="8"/>
  <c r="P341" i="8"/>
  <c r="O341" i="8"/>
  <c r="P340" i="8"/>
  <c r="O340" i="8"/>
  <c r="P339" i="8"/>
  <c r="O339" i="8"/>
  <c r="P338" i="8"/>
  <c r="O338" i="8"/>
  <c r="P337" i="8"/>
  <c r="O337" i="8"/>
  <c r="P336" i="8"/>
  <c r="O336" i="8"/>
  <c r="P335" i="8"/>
  <c r="O335" i="8"/>
  <c r="P334" i="8"/>
  <c r="O334" i="8"/>
  <c r="P333" i="8"/>
  <c r="O333" i="8"/>
  <c r="P332" i="8"/>
  <c r="O332" i="8"/>
  <c r="P331" i="8"/>
  <c r="O331" i="8"/>
  <c r="P330" i="8"/>
  <c r="O330" i="8"/>
  <c r="P329" i="8"/>
  <c r="O329" i="8"/>
  <c r="P328" i="8"/>
  <c r="O328" i="8"/>
  <c r="P327" i="8"/>
  <c r="O327" i="8"/>
  <c r="P326" i="8"/>
  <c r="O326" i="8"/>
  <c r="P325" i="8"/>
  <c r="O325" i="8"/>
  <c r="P324" i="8"/>
  <c r="O324" i="8"/>
  <c r="P323" i="8"/>
  <c r="O323" i="8"/>
  <c r="P322" i="8"/>
  <c r="O322" i="8"/>
  <c r="P321" i="8"/>
  <c r="O321" i="8"/>
  <c r="P320" i="8"/>
  <c r="O320" i="8"/>
  <c r="P319" i="8"/>
  <c r="O319" i="8"/>
  <c r="P318" i="8"/>
  <c r="O318" i="8"/>
  <c r="P317" i="8"/>
  <c r="O317" i="8"/>
  <c r="P316" i="8"/>
  <c r="O316" i="8"/>
  <c r="P315" i="8"/>
  <c r="O315" i="8"/>
  <c r="P314" i="8"/>
  <c r="O314" i="8"/>
  <c r="P313" i="8"/>
  <c r="O313" i="8"/>
  <c r="P312" i="8"/>
  <c r="O312" i="8"/>
  <c r="P311" i="8"/>
  <c r="O311" i="8"/>
  <c r="P310" i="8"/>
  <c r="O310" i="8"/>
  <c r="P309" i="8"/>
  <c r="O309" i="8"/>
  <c r="P308" i="8"/>
  <c r="O308" i="8"/>
  <c r="P307" i="8"/>
  <c r="O307" i="8"/>
  <c r="P306" i="8"/>
  <c r="O306" i="8"/>
  <c r="P305" i="8"/>
  <c r="O305" i="8"/>
  <c r="P304" i="8"/>
  <c r="O304" i="8"/>
  <c r="P303" i="8"/>
  <c r="O303" i="8"/>
  <c r="P302" i="8"/>
  <c r="O302" i="8"/>
  <c r="P301" i="8"/>
  <c r="O301" i="8"/>
  <c r="P300" i="8"/>
  <c r="O300" i="8"/>
  <c r="P299" i="8"/>
  <c r="O299" i="8"/>
  <c r="P298" i="8"/>
  <c r="O298" i="8"/>
  <c r="P297" i="8"/>
  <c r="O297" i="8"/>
  <c r="P296" i="8"/>
  <c r="O296" i="8"/>
  <c r="P295" i="8"/>
  <c r="O295" i="8"/>
  <c r="P294" i="8"/>
  <c r="O294" i="8"/>
  <c r="P293" i="8"/>
  <c r="O293" i="8"/>
  <c r="P292" i="8"/>
  <c r="O292" i="8"/>
  <c r="P291" i="8"/>
  <c r="O291" i="8"/>
  <c r="P290" i="8"/>
  <c r="O290" i="8"/>
  <c r="P289" i="8"/>
  <c r="O289" i="8"/>
  <c r="P288" i="8"/>
  <c r="O288" i="8"/>
  <c r="P287" i="8"/>
  <c r="O287" i="8"/>
  <c r="P286" i="8"/>
  <c r="O286" i="8"/>
  <c r="P285" i="8"/>
  <c r="O285" i="8"/>
  <c r="P284" i="8"/>
  <c r="O284" i="8"/>
  <c r="P283" i="8"/>
  <c r="O283" i="8"/>
  <c r="P282" i="8"/>
  <c r="O282" i="8"/>
  <c r="P281" i="8"/>
  <c r="O281" i="8"/>
  <c r="P280" i="8"/>
  <c r="O280" i="8"/>
  <c r="P279" i="8"/>
  <c r="O279" i="8"/>
  <c r="P278" i="8"/>
  <c r="O278" i="8"/>
  <c r="P277" i="8"/>
  <c r="O277" i="8"/>
  <c r="P276" i="8"/>
  <c r="O276" i="8"/>
  <c r="P275" i="8"/>
  <c r="O275" i="8"/>
  <c r="P274" i="8"/>
  <c r="O274" i="8"/>
  <c r="P273" i="8"/>
  <c r="O273" i="8"/>
  <c r="P272" i="8"/>
  <c r="O272" i="8"/>
  <c r="P271" i="8"/>
  <c r="O271" i="8"/>
  <c r="P270" i="8"/>
  <c r="O270" i="8"/>
  <c r="P269" i="8"/>
  <c r="O269" i="8"/>
  <c r="P268" i="8"/>
  <c r="O268" i="8"/>
  <c r="P267" i="8"/>
  <c r="O267" i="8"/>
  <c r="P266" i="8"/>
  <c r="O266" i="8"/>
  <c r="P265" i="8"/>
  <c r="O265" i="8"/>
  <c r="P264" i="8"/>
  <c r="O264" i="8"/>
  <c r="P263" i="8"/>
  <c r="O263" i="8"/>
  <c r="P262" i="8"/>
  <c r="O262" i="8"/>
  <c r="P261" i="8"/>
  <c r="O261" i="8"/>
  <c r="P260" i="8"/>
  <c r="O260" i="8"/>
  <c r="P259" i="8"/>
  <c r="O259" i="8"/>
  <c r="P258" i="8"/>
  <c r="O258" i="8"/>
  <c r="P257" i="8"/>
  <c r="O257" i="8"/>
  <c r="P256" i="8"/>
  <c r="O256" i="8"/>
  <c r="P255" i="8"/>
  <c r="O255" i="8"/>
  <c r="P254" i="8"/>
  <c r="O254" i="8"/>
  <c r="P253" i="8"/>
  <c r="O253" i="8"/>
  <c r="P252" i="8"/>
  <c r="O252" i="8"/>
  <c r="P251" i="8"/>
  <c r="O251" i="8"/>
  <c r="P250" i="8"/>
  <c r="O250" i="8"/>
  <c r="P249" i="8"/>
  <c r="O249" i="8"/>
  <c r="P248" i="8"/>
  <c r="O248" i="8"/>
  <c r="P247" i="8"/>
  <c r="O247" i="8"/>
  <c r="P246" i="8"/>
  <c r="O246" i="8"/>
  <c r="P245" i="8"/>
  <c r="O245" i="8"/>
  <c r="P244" i="8"/>
  <c r="O244" i="8"/>
  <c r="P243" i="8"/>
  <c r="O243" i="8"/>
  <c r="P242" i="8"/>
  <c r="O242" i="8"/>
  <c r="P241" i="8"/>
  <c r="O241" i="8"/>
  <c r="P240" i="8"/>
  <c r="O240" i="8"/>
  <c r="P239" i="8"/>
  <c r="O239" i="8"/>
  <c r="P238" i="8"/>
  <c r="O238" i="8"/>
  <c r="P237" i="8"/>
  <c r="O237" i="8"/>
  <c r="P236" i="8"/>
  <c r="O236" i="8"/>
  <c r="P235" i="8"/>
  <c r="O235" i="8"/>
  <c r="P234" i="8"/>
  <c r="O234" i="8"/>
  <c r="P233" i="8"/>
  <c r="O233" i="8"/>
  <c r="P232" i="8"/>
  <c r="O232" i="8"/>
  <c r="P231" i="8"/>
  <c r="O231" i="8"/>
  <c r="P230" i="8"/>
  <c r="O230" i="8"/>
  <c r="P229" i="8"/>
  <c r="O229" i="8"/>
  <c r="P228" i="8"/>
  <c r="O228" i="8"/>
  <c r="P227" i="8"/>
  <c r="O227" i="8"/>
  <c r="P226" i="8"/>
  <c r="O226" i="8"/>
  <c r="P225" i="8"/>
  <c r="O225" i="8"/>
  <c r="P224" i="8"/>
  <c r="O224" i="8"/>
  <c r="P223" i="8"/>
  <c r="O223" i="8"/>
  <c r="P222" i="8"/>
  <c r="O222" i="8"/>
  <c r="P221" i="8"/>
  <c r="O221" i="8"/>
  <c r="P220" i="8"/>
  <c r="O220" i="8"/>
  <c r="P219" i="8"/>
  <c r="O219" i="8"/>
  <c r="P218" i="8"/>
  <c r="O218" i="8"/>
  <c r="P217" i="8"/>
  <c r="O217" i="8"/>
  <c r="P216" i="8"/>
  <c r="O216" i="8"/>
  <c r="P215" i="8"/>
  <c r="O215" i="8"/>
  <c r="P214" i="8"/>
  <c r="O214" i="8"/>
  <c r="P213" i="8"/>
  <c r="O213" i="8"/>
  <c r="P212" i="8"/>
  <c r="O212" i="8"/>
  <c r="P211" i="8"/>
  <c r="O211" i="8"/>
  <c r="P210" i="8"/>
  <c r="O210" i="8"/>
  <c r="P209" i="8"/>
  <c r="O209" i="8"/>
  <c r="P208" i="8"/>
  <c r="O208" i="8"/>
  <c r="P207" i="8"/>
  <c r="O207" i="8"/>
  <c r="P206" i="8"/>
  <c r="O206" i="8"/>
  <c r="P205" i="8"/>
  <c r="O205" i="8"/>
  <c r="P204" i="8"/>
  <c r="O204" i="8"/>
  <c r="P203" i="8"/>
  <c r="O203" i="8"/>
  <c r="P202" i="8"/>
  <c r="O202" i="8"/>
  <c r="P201" i="8"/>
  <c r="O201" i="8"/>
  <c r="P200" i="8"/>
  <c r="O200" i="8"/>
  <c r="P199" i="8"/>
  <c r="O199" i="8"/>
  <c r="P198" i="8"/>
  <c r="O198" i="8"/>
  <c r="P197" i="8"/>
  <c r="O197" i="8"/>
  <c r="P196" i="8"/>
  <c r="O196" i="8"/>
  <c r="P195" i="8"/>
  <c r="O195" i="8"/>
  <c r="P194" i="8"/>
  <c r="O194" i="8"/>
  <c r="P193" i="8"/>
  <c r="O193" i="8"/>
  <c r="P192" i="8"/>
  <c r="O192" i="8"/>
  <c r="P191" i="8"/>
  <c r="O191" i="8"/>
  <c r="P190" i="8"/>
  <c r="O190" i="8"/>
  <c r="P189" i="8"/>
  <c r="O189" i="8"/>
  <c r="P188" i="8"/>
  <c r="O188" i="8"/>
  <c r="P187" i="8"/>
  <c r="O187" i="8"/>
  <c r="P186" i="8"/>
  <c r="O186" i="8"/>
  <c r="P185" i="8"/>
  <c r="O185" i="8"/>
  <c r="P184" i="8"/>
  <c r="O184" i="8"/>
  <c r="P183" i="8"/>
  <c r="O183" i="8"/>
  <c r="P182" i="8"/>
  <c r="O182" i="8"/>
  <c r="P181" i="8"/>
  <c r="O181" i="8"/>
  <c r="P180" i="8"/>
  <c r="O180" i="8"/>
  <c r="P179" i="8"/>
  <c r="O179" i="8"/>
  <c r="P178" i="8"/>
  <c r="O178" i="8"/>
  <c r="P177" i="8"/>
  <c r="O177" i="8"/>
  <c r="P176" i="8"/>
  <c r="O176" i="8"/>
  <c r="P175" i="8"/>
  <c r="O175" i="8"/>
  <c r="P174" i="8"/>
  <c r="O174" i="8"/>
  <c r="P173" i="8"/>
  <c r="O173" i="8"/>
  <c r="P172" i="8"/>
  <c r="O172" i="8"/>
  <c r="P171" i="8"/>
  <c r="O171" i="8"/>
  <c r="P170" i="8"/>
  <c r="O170" i="8"/>
  <c r="P169" i="8"/>
  <c r="O169" i="8"/>
  <c r="P168" i="8"/>
  <c r="O168" i="8"/>
  <c r="P167" i="8"/>
  <c r="O167" i="8"/>
  <c r="P166" i="8"/>
  <c r="O166" i="8"/>
  <c r="P165" i="8"/>
  <c r="O165" i="8"/>
  <c r="P164" i="8"/>
  <c r="O164" i="8"/>
  <c r="P163" i="8"/>
  <c r="O163" i="8"/>
  <c r="P162" i="8"/>
  <c r="O162" i="8"/>
  <c r="P161" i="8"/>
  <c r="O161" i="8"/>
  <c r="P160" i="8"/>
  <c r="O160" i="8"/>
  <c r="P159" i="8"/>
  <c r="O159" i="8"/>
  <c r="P158" i="8"/>
  <c r="O158" i="8"/>
  <c r="P157" i="8"/>
  <c r="O157" i="8"/>
  <c r="P156" i="8"/>
  <c r="O156" i="8"/>
  <c r="P155" i="8"/>
  <c r="O155" i="8"/>
  <c r="P154" i="8"/>
  <c r="O154" i="8"/>
  <c r="P153" i="8"/>
  <c r="O153" i="8"/>
  <c r="P152" i="8"/>
  <c r="O152" i="8"/>
  <c r="P151" i="8"/>
  <c r="O151" i="8"/>
  <c r="P150" i="8"/>
  <c r="O150" i="8"/>
  <c r="P149" i="8"/>
  <c r="O149" i="8"/>
  <c r="P148" i="8"/>
  <c r="O148" i="8"/>
  <c r="P147" i="8"/>
  <c r="O147" i="8"/>
  <c r="P146" i="8"/>
  <c r="O146" i="8"/>
  <c r="P145" i="8"/>
  <c r="O145" i="8"/>
  <c r="P144" i="8"/>
  <c r="O144" i="8"/>
  <c r="P143" i="8"/>
  <c r="O143" i="8"/>
  <c r="P142" i="8"/>
  <c r="O142" i="8"/>
  <c r="P141" i="8"/>
  <c r="O141" i="8"/>
  <c r="P140" i="8"/>
  <c r="O140" i="8"/>
  <c r="P139" i="8"/>
  <c r="O139" i="8"/>
  <c r="P138" i="8"/>
  <c r="O138" i="8"/>
  <c r="P137" i="8"/>
  <c r="O137" i="8"/>
  <c r="P136" i="8"/>
  <c r="O136" i="8"/>
  <c r="P135" i="8"/>
  <c r="O135" i="8"/>
  <c r="P134" i="8"/>
  <c r="O134" i="8"/>
  <c r="P133" i="8"/>
  <c r="O133" i="8"/>
  <c r="P132" i="8"/>
  <c r="O132" i="8"/>
  <c r="P131" i="8"/>
  <c r="O131" i="8"/>
  <c r="P130" i="8"/>
  <c r="O130" i="8"/>
  <c r="P129" i="8"/>
  <c r="O129" i="8"/>
  <c r="P128" i="8"/>
  <c r="O128" i="8"/>
  <c r="P127" i="8"/>
  <c r="O127" i="8"/>
  <c r="P126" i="8"/>
  <c r="O126" i="8"/>
  <c r="P125" i="8"/>
  <c r="O125" i="8"/>
  <c r="P124" i="8"/>
  <c r="O124" i="8"/>
  <c r="P123" i="8"/>
  <c r="O123" i="8"/>
  <c r="P122" i="8"/>
  <c r="O122" i="8"/>
  <c r="P121" i="8"/>
  <c r="O121" i="8"/>
  <c r="P120" i="8"/>
  <c r="O120" i="8"/>
  <c r="P119" i="8"/>
  <c r="O119" i="8"/>
  <c r="P118" i="8"/>
  <c r="O118" i="8"/>
  <c r="P117" i="8"/>
  <c r="O117" i="8"/>
  <c r="P116" i="8"/>
  <c r="O116" i="8"/>
  <c r="P115" i="8"/>
  <c r="O115" i="8"/>
  <c r="P114" i="8"/>
  <c r="O114" i="8"/>
  <c r="P113" i="8"/>
  <c r="O113" i="8"/>
  <c r="P112" i="8"/>
  <c r="O112" i="8"/>
  <c r="P111" i="8"/>
  <c r="O111" i="8"/>
  <c r="P110" i="8"/>
  <c r="O110" i="8"/>
  <c r="P109" i="8"/>
  <c r="O109" i="8"/>
  <c r="P108" i="8"/>
  <c r="O108" i="8"/>
  <c r="P107" i="8"/>
  <c r="O107" i="8"/>
  <c r="P106" i="8"/>
  <c r="O106" i="8"/>
  <c r="P105" i="8"/>
  <c r="O105" i="8"/>
  <c r="P104" i="8"/>
  <c r="O104" i="8"/>
  <c r="P103" i="8"/>
  <c r="O103" i="8"/>
  <c r="P102" i="8"/>
  <c r="O102" i="8"/>
  <c r="P101" i="8"/>
  <c r="O101" i="8"/>
  <c r="P100" i="8"/>
  <c r="O100" i="8"/>
  <c r="P99" i="8"/>
  <c r="O99" i="8"/>
  <c r="P98" i="8"/>
  <c r="O98" i="8"/>
  <c r="P97" i="8"/>
  <c r="O97" i="8"/>
  <c r="P96" i="8"/>
  <c r="O96" i="8"/>
  <c r="P95" i="8"/>
  <c r="O95" i="8"/>
  <c r="P94" i="8"/>
  <c r="O94" i="8"/>
  <c r="P93" i="8"/>
  <c r="O93" i="8"/>
  <c r="P92" i="8"/>
  <c r="O92" i="8"/>
  <c r="P91" i="8"/>
  <c r="O91" i="8"/>
  <c r="P90" i="8"/>
  <c r="O90" i="8"/>
  <c r="P89" i="8"/>
  <c r="O89" i="8"/>
  <c r="P88" i="8"/>
  <c r="O88" i="8"/>
  <c r="P87" i="8"/>
  <c r="O87" i="8"/>
  <c r="P86" i="8"/>
  <c r="O86" i="8"/>
  <c r="P85" i="8"/>
  <c r="O85" i="8"/>
  <c r="P84" i="8"/>
  <c r="O84" i="8"/>
  <c r="P83" i="8"/>
  <c r="O83" i="8"/>
  <c r="P82" i="8"/>
  <c r="O82" i="8"/>
  <c r="P81" i="8"/>
  <c r="O81" i="8"/>
  <c r="P80" i="8"/>
  <c r="O80" i="8"/>
  <c r="P79" i="8"/>
  <c r="O79" i="8"/>
  <c r="P78" i="8"/>
  <c r="O78" i="8"/>
  <c r="P77" i="8"/>
  <c r="O77" i="8"/>
  <c r="P76" i="8"/>
  <c r="O76" i="8"/>
  <c r="P75" i="8"/>
  <c r="O75" i="8"/>
  <c r="P74" i="8"/>
  <c r="O74" i="8"/>
  <c r="P73" i="8"/>
  <c r="O73" i="8"/>
  <c r="P72" i="8"/>
  <c r="O72" i="8"/>
  <c r="P71" i="8"/>
  <c r="O71" i="8"/>
  <c r="P70" i="8"/>
  <c r="O70" i="8"/>
  <c r="P69" i="8"/>
  <c r="O69" i="8"/>
  <c r="P68" i="8"/>
  <c r="O68" i="8"/>
  <c r="P67" i="8"/>
  <c r="O67" i="8"/>
  <c r="P66" i="8"/>
  <c r="O66" i="8"/>
  <c r="P65" i="8"/>
  <c r="O65" i="8"/>
  <c r="P64" i="8"/>
  <c r="O64" i="8"/>
  <c r="P63" i="8"/>
  <c r="O63" i="8"/>
  <c r="P62" i="8"/>
  <c r="O62" i="8"/>
  <c r="P61" i="8"/>
  <c r="O61" i="8"/>
  <c r="P60" i="8"/>
  <c r="O60" i="8"/>
  <c r="P59" i="8"/>
  <c r="O59" i="8"/>
  <c r="P58" i="8"/>
  <c r="O58" i="8"/>
  <c r="P57" i="8"/>
  <c r="O57" i="8"/>
  <c r="P56" i="8"/>
  <c r="O56" i="8"/>
  <c r="P55" i="8"/>
  <c r="O55" i="8"/>
  <c r="P54" i="8"/>
  <c r="O54" i="8"/>
  <c r="P53" i="8"/>
  <c r="O53" i="8"/>
  <c r="P52" i="8"/>
  <c r="O52" i="8"/>
  <c r="P51" i="8"/>
  <c r="O51" i="8"/>
  <c r="P50" i="8"/>
  <c r="O50" i="8"/>
  <c r="P49" i="8"/>
  <c r="O49" i="8"/>
  <c r="P48" i="8"/>
  <c r="O48" i="8"/>
  <c r="P47" i="8"/>
  <c r="O47" i="8"/>
  <c r="P46" i="8"/>
  <c r="O46" i="8"/>
  <c r="P45" i="8"/>
  <c r="O45" i="8"/>
  <c r="P44" i="8"/>
  <c r="O44" i="8"/>
  <c r="P43" i="8"/>
  <c r="O43" i="8"/>
  <c r="P42" i="8"/>
  <c r="O42" i="8"/>
  <c r="P41" i="8"/>
  <c r="O41" i="8"/>
  <c r="P40" i="8"/>
  <c r="O40" i="8"/>
  <c r="P39" i="8"/>
  <c r="O39" i="8"/>
  <c r="P38" i="8"/>
  <c r="O38" i="8"/>
  <c r="P37" i="8"/>
  <c r="O37" i="8"/>
  <c r="P36" i="8"/>
  <c r="O36" i="8"/>
  <c r="P35" i="8"/>
  <c r="O35" i="8"/>
  <c r="P34" i="8"/>
  <c r="O34" i="8"/>
  <c r="P33" i="8"/>
  <c r="O33" i="8"/>
  <c r="P32" i="8"/>
  <c r="O32" i="8"/>
  <c r="P31" i="8"/>
  <c r="O31" i="8"/>
  <c r="P30" i="8"/>
  <c r="O30" i="8"/>
  <c r="P29" i="8"/>
  <c r="O29" i="8"/>
  <c r="P28" i="8"/>
  <c r="O28" i="8"/>
  <c r="P27" i="8"/>
  <c r="O27" i="8"/>
  <c r="P26" i="8"/>
  <c r="O26" i="8"/>
  <c r="P25" i="8"/>
  <c r="O25" i="8"/>
  <c r="P24" i="8"/>
  <c r="O24" i="8"/>
  <c r="P23" i="8"/>
  <c r="O23" i="8"/>
  <c r="P22" i="8"/>
  <c r="O22" i="8"/>
  <c r="P21" i="8"/>
  <c r="O21" i="8"/>
  <c r="P20" i="8"/>
  <c r="O20" i="8"/>
  <c r="P19" i="8"/>
  <c r="O19" i="8"/>
  <c r="P18" i="8"/>
  <c r="O18" i="8"/>
  <c r="P17" i="8"/>
  <c r="O17" i="8"/>
  <c r="P16" i="8"/>
  <c r="O16" i="8"/>
  <c r="P15" i="8"/>
  <c r="O15" i="8"/>
  <c r="P14" i="8"/>
  <c r="O14" i="8"/>
  <c r="P13" i="8"/>
  <c r="O13" i="8"/>
  <c r="P12" i="8"/>
  <c r="O12" i="8"/>
  <c r="P11" i="8"/>
  <c r="O11" i="8"/>
  <c r="P10" i="8"/>
  <c r="O10" i="8"/>
  <c r="P9" i="8"/>
  <c r="O9" i="8"/>
  <c r="P8" i="8"/>
  <c r="O8" i="8"/>
  <c r="P7" i="8"/>
  <c r="O7" i="8"/>
  <c r="P6" i="8"/>
  <c r="O6" i="8"/>
  <c r="P5" i="8"/>
  <c r="O5" i="8"/>
  <c r="P4" i="8"/>
  <c r="O4" i="8"/>
  <c r="P3" i="8"/>
  <c r="O3" i="8"/>
  <c r="P2" i="8"/>
  <c r="O2" i="8"/>
  <c r="B18" i="7"/>
  <c r="B19" i="7" s="1"/>
  <c r="G20" i="1"/>
  <c r="E15" i="1"/>
  <c r="C15" i="1"/>
  <c r="G15" i="1" s="1"/>
  <c r="G10" i="1"/>
  <c r="E10" i="1"/>
  <c r="C10" i="1"/>
  <c r="G5" i="1"/>
  <c r="C5" i="1"/>
  <c r="A5" i="1"/>
  <c r="D60" i="13" l="1"/>
  <c r="C60" i="13"/>
  <c r="C59" i="13"/>
  <c r="D59" i="13"/>
  <c r="D58" i="13"/>
  <c r="C58" i="13"/>
  <c r="D57" i="13"/>
  <c r="C57" i="13"/>
  <c r="C56" i="13"/>
  <c r="D56" i="13"/>
  <c r="D55" i="13"/>
  <c r="C55" i="13"/>
  <c r="D54" i="13"/>
  <c r="C54" i="13"/>
  <c r="D53" i="13"/>
  <c r="C53" i="13"/>
  <c r="F217" i="12"/>
  <c r="G217" i="12" s="1"/>
  <c r="D217" i="12"/>
  <c r="C217" i="12"/>
  <c r="E217" i="12" s="1"/>
  <c r="C216" i="12"/>
  <c r="F216" i="12"/>
  <c r="G216" i="12" s="1"/>
  <c r="D216" i="12"/>
  <c r="C215" i="12"/>
  <c r="F215" i="12"/>
  <c r="G215" i="12" s="1"/>
  <c r="D215" i="12"/>
  <c r="C214" i="12"/>
  <c r="D214" i="12"/>
  <c r="F214" i="12"/>
  <c r="G214" i="12" s="1"/>
  <c r="F213" i="12"/>
  <c r="G213" i="12" s="1"/>
  <c r="C213" i="12"/>
  <c r="E213" i="12" s="1"/>
  <c r="D213" i="12"/>
  <c r="F212" i="12"/>
  <c r="G212" i="12" s="1"/>
  <c r="D212" i="12"/>
  <c r="C212" i="12"/>
  <c r="D211" i="12"/>
  <c r="H211" i="12" s="1"/>
  <c r="F211" i="12"/>
  <c r="G211" i="12" s="1"/>
  <c r="C211" i="12"/>
  <c r="D210" i="12"/>
  <c r="C210" i="12"/>
  <c r="E210" i="12" s="1"/>
  <c r="F210" i="12"/>
  <c r="G210" i="12" s="1"/>
  <c r="D209" i="12"/>
  <c r="C209" i="12"/>
  <c r="E209" i="12" s="1"/>
  <c r="F209" i="12"/>
  <c r="G209" i="12" s="1"/>
  <c r="C208" i="12"/>
  <c r="E208" i="12" s="1"/>
  <c r="F208" i="12"/>
  <c r="G208" i="12" s="1"/>
  <c r="D208" i="12"/>
  <c r="C207" i="12"/>
  <c r="E207" i="12" s="1"/>
  <c r="F207" i="12"/>
  <c r="G207" i="12" s="1"/>
  <c r="D207" i="12"/>
  <c r="D206" i="12"/>
  <c r="C206" i="12"/>
  <c r="E206" i="12" s="1"/>
  <c r="F206" i="12"/>
  <c r="G206" i="12" s="1"/>
  <c r="F205" i="12"/>
  <c r="G205" i="12" s="1"/>
  <c r="C205" i="12"/>
  <c r="D205" i="12"/>
  <c r="D204" i="12"/>
  <c r="F204" i="12"/>
  <c r="G204" i="12" s="1"/>
  <c r="F203" i="12"/>
  <c r="G203" i="12" s="1"/>
  <c r="C203" i="12"/>
  <c r="E203" i="12" s="1"/>
  <c r="D203" i="12"/>
  <c r="C202" i="12"/>
  <c r="D202" i="12"/>
  <c r="H202" i="12" s="1"/>
  <c r="F202" i="12"/>
  <c r="G202" i="12" s="1"/>
  <c r="F201" i="12"/>
  <c r="G201" i="12" s="1"/>
  <c r="C201" i="12"/>
  <c r="D201" i="12"/>
  <c r="C200" i="12"/>
  <c r="F200" i="12"/>
  <c r="G200" i="12" s="1"/>
  <c r="D200" i="12"/>
  <c r="F199" i="12"/>
  <c r="G199" i="12" s="1"/>
  <c r="D199" i="12"/>
  <c r="C199" i="12"/>
  <c r="E199" i="12" s="1"/>
  <c r="F198" i="12"/>
  <c r="G198" i="12" s="1"/>
  <c r="D198" i="12"/>
  <c r="C198" i="12"/>
  <c r="E198" i="12" s="1"/>
  <c r="D197" i="12"/>
  <c r="C197" i="12"/>
  <c r="E197" i="12" s="1"/>
  <c r="F197" i="12"/>
  <c r="G197" i="12" s="1"/>
  <c r="C196" i="12"/>
  <c r="D196" i="12"/>
  <c r="F196" i="12"/>
  <c r="G196" i="12" s="1"/>
  <c r="C195" i="12"/>
  <c r="D195" i="12"/>
  <c r="F195" i="12"/>
  <c r="G195" i="12" s="1"/>
  <c r="D194" i="12"/>
  <c r="F194" i="12"/>
  <c r="G194" i="12" s="1"/>
  <c r="C194" i="12"/>
  <c r="E194" i="12" s="1"/>
  <c r="F193" i="12"/>
  <c r="G193" i="12" s="1"/>
  <c r="C193" i="12"/>
  <c r="D193" i="12"/>
  <c r="F192" i="12"/>
  <c r="G192" i="12" s="1"/>
  <c r="D192" i="12"/>
  <c r="C192" i="12"/>
  <c r="E192" i="12" s="1"/>
  <c r="F191" i="12"/>
  <c r="G191" i="12" s="1"/>
  <c r="D191" i="12"/>
  <c r="C191" i="12"/>
  <c r="E191" i="12" s="1"/>
  <c r="C190" i="12"/>
  <c r="F190" i="12"/>
  <c r="G190" i="12" s="1"/>
  <c r="D190" i="12"/>
  <c r="C189" i="12"/>
  <c r="D189" i="12"/>
  <c r="F189" i="12"/>
  <c r="G189" i="12" s="1"/>
  <c r="D188" i="12"/>
  <c r="F188" i="12"/>
  <c r="G188" i="12" s="1"/>
  <c r="C188" i="12"/>
  <c r="E188" i="12" s="1"/>
  <c r="C187" i="12"/>
  <c r="D187" i="12"/>
  <c r="F187" i="12"/>
  <c r="G187" i="12" s="1"/>
  <c r="F186" i="12"/>
  <c r="G186" i="12" s="1"/>
  <c r="D186" i="12"/>
  <c r="C186" i="12"/>
  <c r="E186" i="12" s="1"/>
  <c r="C185" i="12"/>
  <c r="D185" i="12"/>
  <c r="F185" i="12"/>
  <c r="G185" i="12" s="1"/>
  <c r="F184" i="12"/>
  <c r="G184" i="12" s="1"/>
  <c r="C184" i="12"/>
  <c r="D184" i="12"/>
  <c r="F183" i="12"/>
  <c r="G183" i="12" s="1"/>
  <c r="D183" i="12"/>
  <c r="C183" i="12"/>
  <c r="E183" i="12" s="1"/>
  <c r="F182" i="12"/>
  <c r="G182" i="12" s="1"/>
  <c r="D182" i="12"/>
  <c r="C182" i="12"/>
  <c r="E182" i="12" s="1"/>
  <c r="F181" i="12"/>
  <c r="G181" i="12" s="1"/>
  <c r="D181" i="12"/>
  <c r="C181" i="12"/>
  <c r="E181" i="12" s="1"/>
  <c r="F180" i="12"/>
  <c r="G180" i="12" s="1"/>
  <c r="D180" i="12"/>
  <c r="C180" i="12"/>
  <c r="E180" i="12" s="1"/>
  <c r="F179" i="12"/>
  <c r="G179" i="12" s="1"/>
  <c r="D179" i="12"/>
  <c r="C179" i="12"/>
  <c r="E179" i="12" s="1"/>
  <c r="F178" i="12"/>
  <c r="G178" i="12" s="1"/>
  <c r="D178" i="12"/>
  <c r="C178" i="12"/>
  <c r="E178" i="12" s="1"/>
  <c r="F177" i="12"/>
  <c r="G177" i="12" s="1"/>
  <c r="D177" i="12"/>
  <c r="C177" i="12"/>
  <c r="E177" i="12" s="1"/>
  <c r="F176" i="12"/>
  <c r="G176" i="12" s="1"/>
  <c r="D176" i="12"/>
  <c r="C176" i="12"/>
  <c r="E176" i="12" s="1"/>
  <c r="F175" i="12"/>
  <c r="G175" i="12" s="1"/>
  <c r="D175" i="12"/>
  <c r="C175" i="12"/>
  <c r="E175" i="12" s="1"/>
  <c r="F174" i="12"/>
  <c r="G174" i="12" s="1"/>
  <c r="D174" i="12"/>
  <c r="C174" i="12"/>
  <c r="F173" i="12"/>
  <c r="G173" i="12" s="1"/>
  <c r="D173" i="12"/>
  <c r="C173" i="12"/>
  <c r="E173" i="12" s="1"/>
  <c r="F172" i="12"/>
  <c r="G172" i="12" s="1"/>
  <c r="D172" i="12"/>
  <c r="C172" i="12"/>
  <c r="E172" i="12" s="1"/>
  <c r="F171" i="12"/>
  <c r="G171" i="12" s="1"/>
  <c r="D171" i="12"/>
  <c r="C171" i="12"/>
  <c r="E171" i="12" s="1"/>
  <c r="F170" i="12"/>
  <c r="G170" i="12" s="1"/>
  <c r="D170" i="12"/>
  <c r="C170" i="12"/>
  <c r="F169" i="12"/>
  <c r="G169" i="12" s="1"/>
  <c r="D169" i="12"/>
  <c r="C169" i="12"/>
  <c r="E169" i="12" s="1"/>
  <c r="C168" i="12"/>
  <c r="D168" i="12"/>
  <c r="F168" i="12"/>
  <c r="G168" i="12" s="1"/>
  <c r="C167" i="12"/>
  <c r="D167" i="12"/>
  <c r="F167" i="12"/>
  <c r="G167" i="12" s="1"/>
  <c r="F166" i="12"/>
  <c r="G166" i="12" s="1"/>
  <c r="D166" i="12"/>
  <c r="C166" i="12"/>
  <c r="E166" i="12" s="1"/>
  <c r="F165" i="12"/>
  <c r="G165" i="12" s="1"/>
  <c r="D165" i="12"/>
  <c r="C165" i="12"/>
  <c r="E165" i="12" s="1"/>
  <c r="C164" i="12"/>
  <c r="D164" i="12"/>
  <c r="F164" i="12"/>
  <c r="G164" i="12" s="1"/>
  <c r="C163" i="12"/>
  <c r="D163" i="12"/>
  <c r="F163" i="12"/>
  <c r="G163" i="12" s="1"/>
  <c r="F162" i="12"/>
  <c r="G162" i="12" s="1"/>
  <c r="D162" i="12"/>
  <c r="C162" i="12"/>
  <c r="E162" i="12" s="1"/>
  <c r="F161" i="12"/>
  <c r="G161" i="12" s="1"/>
  <c r="D161" i="12"/>
  <c r="C161" i="12"/>
  <c r="E161" i="12" s="1"/>
  <c r="F160" i="12"/>
  <c r="G160" i="12" s="1"/>
  <c r="D160" i="12"/>
  <c r="C160" i="12"/>
  <c r="E160" i="12" s="1"/>
  <c r="C159" i="12"/>
  <c r="F159" i="12"/>
  <c r="G159" i="12" s="1"/>
  <c r="D159" i="12"/>
  <c r="F158" i="12"/>
  <c r="G158" i="12" s="1"/>
  <c r="D158" i="12"/>
  <c r="C158" i="12"/>
  <c r="E158" i="12" s="1"/>
  <c r="C157" i="12"/>
  <c r="F157" i="12"/>
  <c r="G157" i="12" s="1"/>
  <c r="D157" i="12"/>
  <c r="F156" i="12"/>
  <c r="G156" i="12" s="1"/>
  <c r="D156" i="12"/>
  <c r="C156" i="12"/>
  <c r="E156" i="12" s="1"/>
  <c r="F155" i="12"/>
  <c r="G155" i="12" s="1"/>
  <c r="D155" i="12"/>
  <c r="C155" i="12"/>
  <c r="E155" i="12" s="1"/>
  <c r="D154" i="12"/>
  <c r="C154" i="12"/>
  <c r="E154" i="12" s="1"/>
  <c r="F154" i="12"/>
  <c r="G154" i="12" s="1"/>
  <c r="D153" i="12"/>
  <c r="F153" i="12"/>
  <c r="G153" i="12" s="1"/>
  <c r="C153" i="12"/>
  <c r="E153" i="12" s="1"/>
  <c r="C152" i="12"/>
  <c r="F152" i="12"/>
  <c r="G152" i="12" s="1"/>
  <c r="D152" i="12"/>
  <c r="F151" i="12"/>
  <c r="G151" i="12" s="1"/>
  <c r="D151" i="12"/>
  <c r="C151" i="12"/>
  <c r="E151" i="12" s="1"/>
  <c r="C150" i="12"/>
  <c r="F150" i="12"/>
  <c r="G150" i="12" s="1"/>
  <c r="D150" i="12"/>
  <c r="C149" i="12"/>
  <c r="F149" i="12"/>
  <c r="G149" i="12" s="1"/>
  <c r="D149" i="12"/>
  <c r="D148" i="12"/>
  <c r="C148" i="12"/>
  <c r="E148" i="12" s="1"/>
  <c r="F148" i="12"/>
  <c r="G148" i="12" s="1"/>
  <c r="F147" i="12"/>
  <c r="G147" i="12" s="1"/>
  <c r="C147" i="12"/>
  <c r="D147" i="12"/>
  <c r="D146" i="12"/>
  <c r="F146" i="12"/>
  <c r="G146" i="12" s="1"/>
  <c r="C146" i="12"/>
  <c r="E146" i="12" s="1"/>
  <c r="C145" i="12"/>
  <c r="D145" i="12"/>
  <c r="F145" i="12"/>
  <c r="G145" i="12" s="1"/>
  <c r="D144" i="12"/>
  <c r="F144" i="12"/>
  <c r="G144" i="12" s="1"/>
  <c r="C144" i="12"/>
  <c r="E144" i="12" s="1"/>
  <c r="C143" i="12"/>
  <c r="D143" i="12"/>
  <c r="F143" i="12"/>
  <c r="G143" i="12" s="1"/>
  <c r="C142" i="12"/>
  <c r="D142" i="12"/>
  <c r="F142" i="12"/>
  <c r="G142" i="12" s="1"/>
  <c r="D141" i="12"/>
  <c r="F141" i="12"/>
  <c r="G141" i="12" s="1"/>
  <c r="C141" i="12"/>
  <c r="E141" i="12" s="1"/>
  <c r="C140" i="12"/>
  <c r="D140" i="12"/>
  <c r="F139" i="12"/>
  <c r="G139" i="12" s="1"/>
  <c r="D139" i="12"/>
  <c r="C139" i="12"/>
  <c r="E139" i="12" s="1"/>
  <c r="F138" i="12"/>
  <c r="G138" i="12" s="1"/>
  <c r="D138" i="12"/>
  <c r="C138" i="12"/>
  <c r="E138" i="12" s="1"/>
  <c r="F137" i="12"/>
  <c r="G137" i="12" s="1"/>
  <c r="D137" i="12"/>
  <c r="C137" i="12"/>
  <c r="E137" i="12" s="1"/>
  <c r="D136" i="12"/>
  <c r="C136" i="12"/>
  <c r="E136" i="12" s="1"/>
  <c r="F136" i="12"/>
  <c r="G136" i="12" s="1"/>
  <c r="F135" i="12"/>
  <c r="G135" i="12" s="1"/>
  <c r="D135" i="12"/>
  <c r="C135" i="12"/>
  <c r="E135" i="12" s="1"/>
  <c r="C134" i="12"/>
  <c r="D134" i="12"/>
  <c r="F134" i="12"/>
  <c r="G134" i="12" s="1"/>
  <c r="F133" i="12"/>
  <c r="G133" i="12" s="1"/>
  <c r="D133" i="12"/>
  <c r="C133" i="12"/>
  <c r="E133" i="12" s="1"/>
  <c r="C132" i="12"/>
  <c r="D132" i="12"/>
  <c r="F132" i="12"/>
  <c r="G132" i="12" s="1"/>
  <c r="F131" i="12"/>
  <c r="G131" i="12" s="1"/>
  <c r="C131" i="12"/>
  <c r="D131" i="12"/>
  <c r="F130" i="12"/>
  <c r="G130" i="12" s="1"/>
  <c r="D130" i="12"/>
  <c r="C130" i="12"/>
  <c r="E130" i="12" s="1"/>
  <c r="D129" i="12"/>
  <c r="F129" i="12"/>
  <c r="G129" i="12" s="1"/>
  <c r="C129" i="12"/>
  <c r="E129" i="12" s="1"/>
  <c r="C128" i="12"/>
  <c r="D128" i="12"/>
  <c r="F128" i="12"/>
  <c r="G128" i="12" s="1"/>
  <c r="C127" i="12"/>
  <c r="D127" i="12"/>
  <c r="F127" i="12"/>
  <c r="G127" i="12" s="1"/>
  <c r="D126" i="12"/>
  <c r="F126" i="12"/>
  <c r="G126" i="12" s="1"/>
  <c r="C126" i="12"/>
  <c r="E126" i="12" s="1"/>
  <c r="D125" i="12"/>
  <c r="C125" i="12"/>
  <c r="E125" i="12" s="1"/>
  <c r="F125" i="12"/>
  <c r="G125" i="12" s="1"/>
  <c r="D124" i="12"/>
  <c r="C124" i="12"/>
  <c r="E124" i="12" s="1"/>
  <c r="F124" i="12"/>
  <c r="G124" i="12" s="1"/>
  <c r="F123" i="12"/>
  <c r="G123" i="12" s="1"/>
  <c r="D123" i="12"/>
  <c r="C123" i="12"/>
  <c r="E123" i="12" s="1"/>
  <c r="F122" i="12"/>
  <c r="G122" i="12" s="1"/>
  <c r="D122" i="12"/>
  <c r="C122" i="12"/>
  <c r="E122" i="12" s="1"/>
  <c r="C121" i="12"/>
  <c r="E121" i="12" s="1"/>
  <c r="D121" i="12"/>
  <c r="F121" i="12"/>
  <c r="G121" i="12" s="1"/>
  <c r="D120" i="12"/>
  <c r="C120" i="12"/>
  <c r="E120" i="12" s="1"/>
  <c r="F120" i="12"/>
  <c r="G120" i="12" s="1"/>
  <c r="D119" i="12"/>
  <c r="C119" i="12"/>
  <c r="F119" i="12"/>
  <c r="G119" i="12" s="1"/>
  <c r="C118" i="12"/>
  <c r="F118" i="12"/>
  <c r="G118" i="12" s="1"/>
  <c r="D118" i="12"/>
  <c r="C117" i="12"/>
  <c r="F117" i="12"/>
  <c r="G117" i="12" s="1"/>
  <c r="D117" i="12"/>
  <c r="F116" i="12"/>
  <c r="G116" i="12" s="1"/>
  <c r="D116" i="12"/>
  <c r="C116" i="12"/>
  <c r="E116" i="12" s="1"/>
  <c r="F115" i="12"/>
  <c r="G115" i="12" s="1"/>
  <c r="D115" i="12"/>
  <c r="C115" i="12"/>
  <c r="E115" i="12" s="1"/>
  <c r="C114" i="12"/>
  <c r="F114" i="12"/>
  <c r="G114" i="12" s="1"/>
  <c r="D114" i="12"/>
  <c r="F113" i="12"/>
  <c r="G113" i="12" s="1"/>
  <c r="C113" i="12"/>
  <c r="D113" i="12"/>
  <c r="C112" i="12"/>
  <c r="F112" i="12"/>
  <c r="G112" i="12" s="1"/>
  <c r="D112" i="12"/>
  <c r="C111" i="12"/>
  <c r="D111" i="12"/>
  <c r="F111" i="12"/>
  <c r="G111" i="12" s="1"/>
  <c r="C110" i="12"/>
  <c r="D110" i="12"/>
  <c r="F110" i="12"/>
  <c r="G110" i="12" s="1"/>
  <c r="C109" i="12"/>
  <c r="D109" i="12"/>
  <c r="F109" i="12"/>
  <c r="G109" i="12" s="1"/>
  <c r="D108" i="12"/>
  <c r="C108" i="12"/>
  <c r="E108" i="12" s="1"/>
  <c r="F108" i="12"/>
  <c r="G108" i="12" s="1"/>
  <c r="F107" i="12"/>
  <c r="G107" i="12" s="1"/>
  <c r="D107" i="12"/>
  <c r="C107" i="12"/>
  <c r="E107" i="12" s="1"/>
  <c r="F106" i="12"/>
  <c r="G106" i="12" s="1"/>
  <c r="D106" i="12"/>
  <c r="C106" i="12"/>
  <c r="E106" i="12" s="1"/>
  <c r="F105" i="12"/>
  <c r="G105" i="12" s="1"/>
  <c r="D105" i="12"/>
  <c r="C105" i="12"/>
  <c r="E105" i="12" s="1"/>
  <c r="D104" i="12"/>
  <c r="C104" i="12"/>
  <c r="E104" i="12" s="1"/>
  <c r="F104" i="12"/>
  <c r="G104" i="12" s="1"/>
  <c r="C103" i="12"/>
  <c r="F103" i="12"/>
  <c r="G103" i="12" s="1"/>
  <c r="D103" i="12"/>
  <c r="C102" i="12"/>
  <c r="E102" i="12" s="1"/>
  <c r="D102" i="12"/>
  <c r="F102" i="12"/>
  <c r="G102" i="12" s="1"/>
  <c r="D101" i="12"/>
  <c r="F101" i="12"/>
  <c r="G101" i="12" s="1"/>
  <c r="C101" i="12"/>
  <c r="E101" i="12" s="1"/>
  <c r="C100" i="12"/>
  <c r="D100" i="12"/>
  <c r="F100" i="12"/>
  <c r="G100" i="12" s="1"/>
  <c r="F99" i="12"/>
  <c r="G99" i="12" s="1"/>
  <c r="C99" i="12"/>
  <c r="D99" i="12"/>
  <c r="C98" i="12"/>
  <c r="D98" i="12"/>
  <c r="F98" i="12"/>
  <c r="G98" i="12" s="1"/>
  <c r="C97" i="12"/>
  <c r="D97" i="12"/>
  <c r="F97" i="12"/>
  <c r="G97" i="12" s="1"/>
  <c r="D96" i="12"/>
  <c r="C96" i="12"/>
  <c r="E96" i="12" s="1"/>
  <c r="F96" i="12"/>
  <c r="G96" i="12" s="1"/>
  <c r="F95" i="12"/>
  <c r="G95" i="12" s="1"/>
  <c r="D95" i="12"/>
  <c r="C95" i="12"/>
  <c r="E95" i="12" s="1"/>
  <c r="F94" i="12"/>
  <c r="G94" i="12" s="1"/>
  <c r="C94" i="12"/>
  <c r="D94" i="12"/>
  <c r="F93" i="12"/>
  <c r="G93" i="12" s="1"/>
  <c r="D93" i="12"/>
  <c r="C93" i="12"/>
  <c r="E93" i="12" s="1"/>
  <c r="C92" i="12"/>
  <c r="F92" i="12"/>
  <c r="G92" i="12" s="1"/>
  <c r="D92" i="12"/>
  <c r="F91" i="12"/>
  <c r="G91" i="12" s="1"/>
  <c r="D91" i="12"/>
  <c r="C91" i="12"/>
  <c r="E91" i="12" s="1"/>
  <c r="D90" i="12"/>
  <c r="F90" i="12"/>
  <c r="G90" i="12" s="1"/>
  <c r="C90" i="12"/>
  <c r="E90" i="12" s="1"/>
  <c r="C89" i="12"/>
  <c r="D89" i="12"/>
  <c r="F89" i="12"/>
  <c r="G89" i="12" s="1"/>
  <c r="F88" i="12"/>
  <c r="G88" i="12" s="1"/>
  <c r="D88" i="12"/>
  <c r="C88" i="12"/>
  <c r="E88" i="12" s="1"/>
  <c r="C87" i="12"/>
  <c r="D87" i="12"/>
  <c r="F87" i="12"/>
  <c r="G87" i="12" s="1"/>
  <c r="D86" i="12"/>
  <c r="C86" i="12"/>
  <c r="E86" i="12" s="1"/>
  <c r="F86" i="12"/>
  <c r="G86" i="12" s="1"/>
  <c r="F85" i="12"/>
  <c r="G85" i="12" s="1"/>
  <c r="D85" i="12"/>
  <c r="C85" i="12"/>
  <c r="E85" i="12" s="1"/>
  <c r="D84" i="12"/>
  <c r="C84" i="12"/>
  <c r="E84" i="12" s="1"/>
  <c r="F84" i="12"/>
  <c r="G84" i="12" s="1"/>
  <c r="C83" i="12"/>
  <c r="D83" i="12"/>
  <c r="F83" i="12"/>
  <c r="G83" i="12" s="1"/>
  <c r="C82" i="12"/>
  <c r="D82" i="12"/>
  <c r="F82" i="12"/>
  <c r="G82" i="12" s="1"/>
  <c r="C81" i="12"/>
  <c r="D81" i="12"/>
  <c r="F81" i="12"/>
  <c r="G81" i="12" s="1"/>
  <c r="C80" i="12"/>
  <c r="D80" i="12"/>
  <c r="F80" i="12"/>
  <c r="G80" i="12" s="1"/>
  <c r="C79" i="12"/>
  <c r="F79" i="12"/>
  <c r="G79" i="12" s="1"/>
  <c r="D79" i="12"/>
  <c r="F78" i="12"/>
  <c r="G78" i="12" s="1"/>
  <c r="D78" i="12"/>
  <c r="C78" i="12"/>
  <c r="E78" i="12" s="1"/>
  <c r="F77" i="12"/>
  <c r="G77" i="12" s="1"/>
  <c r="C77" i="12"/>
  <c r="D77" i="12"/>
  <c r="C76" i="12"/>
  <c r="D76" i="12"/>
  <c r="F76" i="12"/>
  <c r="G76" i="12" s="1"/>
  <c r="C75" i="12"/>
  <c r="D75" i="12"/>
  <c r="F75" i="12"/>
  <c r="G75" i="12" s="1"/>
  <c r="C74" i="12"/>
  <c r="D74" i="12"/>
  <c r="F74" i="12"/>
  <c r="G74" i="12" s="1"/>
  <c r="D73" i="12"/>
  <c r="C73" i="12"/>
  <c r="E73" i="12" s="1"/>
  <c r="F73" i="12"/>
  <c r="G73" i="12" s="1"/>
  <c r="F72" i="12"/>
  <c r="G72" i="12" s="1"/>
  <c r="D72" i="12"/>
  <c r="C72" i="12"/>
  <c r="E72" i="12" s="1"/>
  <c r="F71" i="12"/>
  <c r="G71" i="12" s="1"/>
  <c r="D71" i="12"/>
  <c r="C71" i="12"/>
  <c r="E71" i="12" s="1"/>
  <c r="F70" i="12"/>
  <c r="G70" i="12" s="1"/>
  <c r="D70" i="12"/>
  <c r="C70" i="12"/>
  <c r="E70" i="12" s="1"/>
  <c r="D69" i="12"/>
  <c r="F69" i="12"/>
  <c r="G69" i="12" s="1"/>
  <c r="C69" i="12"/>
  <c r="E64" i="12"/>
  <c r="D64" i="12"/>
  <c r="E63" i="12"/>
  <c r="D63" i="12"/>
  <c r="E62" i="12"/>
  <c r="D62" i="12"/>
  <c r="E61" i="12"/>
  <c r="D61" i="12"/>
  <c r="E60" i="12"/>
  <c r="D60" i="12"/>
  <c r="D59" i="12"/>
  <c r="E59" i="12"/>
  <c r="E58" i="12"/>
  <c r="D58" i="12"/>
  <c r="D57" i="12"/>
  <c r="E57" i="12"/>
  <c r="D56" i="12"/>
  <c r="E56" i="12"/>
  <c r="E55" i="12"/>
  <c r="D55" i="12"/>
  <c r="E54" i="12"/>
  <c r="D54" i="12"/>
  <c r="D53" i="12"/>
  <c r="E53" i="12"/>
  <c r="E52" i="12"/>
  <c r="D52" i="12"/>
  <c r="E51" i="12"/>
  <c r="D51" i="12"/>
  <c r="E50" i="12"/>
  <c r="D50" i="12"/>
  <c r="D49" i="12"/>
  <c r="E49" i="12"/>
  <c r="D48" i="12"/>
  <c r="E48" i="12"/>
  <c r="D47" i="12"/>
  <c r="E47" i="12"/>
  <c r="D46" i="12"/>
  <c r="E46" i="12"/>
  <c r="D45" i="12"/>
  <c r="E45" i="12"/>
  <c r="D44" i="12"/>
  <c r="E44" i="12"/>
  <c r="D43" i="12"/>
  <c r="E43" i="12"/>
  <c r="E42" i="12"/>
  <c r="D42" i="12"/>
  <c r="D41" i="12"/>
  <c r="E41" i="12"/>
  <c r="D40" i="12"/>
  <c r="E40" i="12"/>
  <c r="E39" i="12"/>
  <c r="D39" i="12"/>
  <c r="E38" i="12"/>
  <c r="D38" i="12"/>
  <c r="D37" i="12"/>
  <c r="E37" i="12"/>
  <c r="D36" i="12"/>
  <c r="E36" i="12"/>
  <c r="D35" i="12"/>
  <c r="E35" i="12"/>
  <c r="E34" i="12"/>
  <c r="D34" i="12"/>
  <c r="D33" i="12"/>
  <c r="E33" i="12"/>
  <c r="D32" i="12"/>
  <c r="E32" i="12"/>
  <c r="D31" i="12"/>
  <c r="E31" i="12"/>
  <c r="D30" i="12"/>
  <c r="E30" i="12"/>
  <c r="D29" i="12"/>
  <c r="E29" i="12"/>
  <c r="D28" i="12"/>
  <c r="E28" i="12"/>
  <c r="D27" i="12"/>
  <c r="E27" i="12"/>
  <c r="D26" i="12"/>
  <c r="E26" i="12"/>
  <c r="D25" i="12"/>
  <c r="E25" i="12"/>
  <c r="E24" i="12"/>
  <c r="D24" i="12"/>
  <c r="D23" i="12"/>
  <c r="E23" i="12"/>
  <c r="D22" i="12"/>
  <c r="E22" i="12"/>
  <c r="E21" i="12"/>
  <c r="D21" i="12"/>
  <c r="E20" i="12"/>
  <c r="D20" i="12"/>
  <c r="E19" i="12"/>
  <c r="D19" i="12"/>
  <c r="D18" i="12"/>
  <c r="E18" i="12"/>
  <c r="D17" i="12"/>
  <c r="E17" i="12"/>
  <c r="E16" i="12"/>
  <c r="D16" i="12"/>
  <c r="D15" i="12"/>
  <c r="E15" i="12"/>
  <c r="D14" i="12"/>
  <c r="E14" i="12"/>
  <c r="D13" i="12"/>
  <c r="E13" i="12"/>
  <c r="D12" i="12"/>
  <c r="E12" i="12"/>
  <c r="D11" i="12"/>
  <c r="E11" i="12"/>
  <c r="E10" i="12"/>
  <c r="D10" i="12"/>
  <c r="D9" i="12"/>
  <c r="E9" i="12"/>
  <c r="D8" i="12"/>
  <c r="E8" i="12"/>
  <c r="D7" i="12"/>
  <c r="E7" i="12"/>
  <c r="D6" i="12"/>
  <c r="E6" i="12"/>
  <c r="E5" i="12"/>
  <c r="D5" i="12"/>
  <c r="F5" i="12" s="1"/>
  <c r="A20" i="1"/>
  <c r="E5" i="1"/>
  <c r="E204" i="12" l="1"/>
  <c r="H204" i="12"/>
  <c r="H69" i="12"/>
  <c r="A10" i="1"/>
  <c r="E69" i="12"/>
  <c r="B75" i="13"/>
  <c r="C75" i="13"/>
  <c r="B76" i="13"/>
  <c r="C76" i="13"/>
  <c r="B77" i="13"/>
  <c r="C77" i="13"/>
  <c r="B78" i="13"/>
  <c r="C78" i="13"/>
  <c r="B79" i="13"/>
  <c r="C79" i="13"/>
  <c r="B80" i="13"/>
  <c r="C80" i="13"/>
  <c r="B81" i="13"/>
  <c r="C81" i="13"/>
  <c r="B82" i="13"/>
  <c r="C82" i="13"/>
  <c r="B83" i="13"/>
  <c r="C83" i="13"/>
  <c r="B84" i="13"/>
  <c r="C84" i="13"/>
  <c r="H217" i="12"/>
  <c r="E216" i="12"/>
  <c r="H216" i="12"/>
  <c r="E215" i="12"/>
  <c r="H203" i="12"/>
  <c r="E202" i="12"/>
  <c r="E201" i="12"/>
  <c r="H201" i="12"/>
  <c r="E200" i="12"/>
  <c r="H200" i="12"/>
  <c r="H199" i="12"/>
  <c r="H198" i="12"/>
  <c r="H197" i="12"/>
  <c r="E196" i="12"/>
  <c r="H196" i="12"/>
  <c r="E195" i="12"/>
  <c r="H195" i="12"/>
  <c r="H194" i="12"/>
  <c r="E193" i="12"/>
  <c r="H193" i="12"/>
  <c r="H192" i="12"/>
  <c r="H191" i="12"/>
  <c r="E190" i="12"/>
  <c r="H190" i="12"/>
  <c r="E189" i="12"/>
  <c r="H189" i="12"/>
  <c r="H188" i="12"/>
  <c r="E187" i="12"/>
  <c r="H187" i="12"/>
  <c r="E174" i="12"/>
  <c r="H172" i="12"/>
  <c r="H171" i="12"/>
  <c r="E170" i="12"/>
  <c r="E159" i="12"/>
  <c r="H158" i="12"/>
  <c r="E157" i="12"/>
  <c r="H157" i="12"/>
  <c r="H156" i="12"/>
  <c r="H154" i="12"/>
  <c r="H153" i="12"/>
  <c r="H129" i="12"/>
  <c r="E128" i="12"/>
  <c r="E127" i="12"/>
  <c r="H126" i="12"/>
  <c r="H123" i="12"/>
  <c r="H186" i="12"/>
  <c r="E185" i="12"/>
  <c r="H185" i="12"/>
  <c r="E184" i="12"/>
  <c r="H184" i="12"/>
  <c r="H183" i="12"/>
  <c r="H182" i="12"/>
  <c r="H181" i="12"/>
  <c r="H180" i="12"/>
  <c r="H179" i="12"/>
  <c r="H178" i="12"/>
  <c r="H177" i="12"/>
  <c r="H176" i="12"/>
  <c r="H175" i="12"/>
  <c r="H174" i="12"/>
  <c r="H173" i="12"/>
  <c r="H170" i="12"/>
  <c r="H155" i="12"/>
  <c r="H131" i="12"/>
  <c r="H128" i="12"/>
  <c r="H127" i="12"/>
  <c r="H125" i="12"/>
  <c r="H169" i="12"/>
  <c r="E168" i="12"/>
  <c r="H168" i="12"/>
  <c r="E167" i="12"/>
  <c r="H167" i="12"/>
  <c r="H166" i="12"/>
  <c r="H165" i="12"/>
  <c r="E164" i="12"/>
  <c r="H164" i="12"/>
  <c r="E163" i="12"/>
  <c r="H163" i="12"/>
  <c r="H162" i="12"/>
  <c r="H161" i="12"/>
  <c r="H160" i="12"/>
  <c r="H159" i="12"/>
  <c r="E131" i="12"/>
  <c r="H130" i="12"/>
  <c r="H124" i="12"/>
  <c r="H122" i="12"/>
  <c r="E152" i="12"/>
  <c r="H152" i="12"/>
  <c r="H151" i="12"/>
  <c r="E150" i="12"/>
  <c r="H150" i="12"/>
  <c r="E149" i="12"/>
  <c r="H149" i="12"/>
  <c r="H148" i="12"/>
  <c r="E147" i="12"/>
  <c r="H147" i="12"/>
  <c r="H146" i="12"/>
  <c r="E145" i="12"/>
  <c r="H145" i="12"/>
  <c r="H144" i="12"/>
  <c r="E143" i="12"/>
  <c r="H143" i="12"/>
  <c r="E142" i="12"/>
  <c r="H142" i="12"/>
  <c r="H141" i="12"/>
  <c r="E140" i="12"/>
  <c r="H140" i="12"/>
  <c r="H139" i="12"/>
  <c r="H138" i="12"/>
  <c r="H137" i="12"/>
  <c r="H136" i="12"/>
  <c r="E134" i="12"/>
  <c r="H134" i="12"/>
  <c r="H133" i="12"/>
  <c r="E132" i="12"/>
  <c r="H132" i="12"/>
  <c r="H121" i="12"/>
  <c r="H120" i="12"/>
  <c r="E119" i="12"/>
  <c r="H208" i="12"/>
  <c r="H135" i="12"/>
  <c r="H119" i="12"/>
  <c r="H206" i="12"/>
  <c r="E118" i="12"/>
  <c r="H118" i="12"/>
  <c r="E117" i="12"/>
  <c r="H117" i="12"/>
  <c r="H116" i="12"/>
  <c r="H115" i="12"/>
  <c r="E114" i="12"/>
  <c r="H114" i="12"/>
  <c r="E113" i="12"/>
  <c r="H113" i="12"/>
  <c r="E112" i="12"/>
  <c r="H112" i="12"/>
  <c r="E111" i="12"/>
  <c r="H111" i="12"/>
  <c r="E110" i="12"/>
  <c r="H110" i="12"/>
  <c r="E109" i="12"/>
  <c r="H109" i="12"/>
  <c r="H108" i="12"/>
  <c r="H107" i="12"/>
  <c r="H106" i="12"/>
  <c r="H105" i="12"/>
  <c r="H104" i="12"/>
  <c r="E103" i="12"/>
  <c r="H103" i="12"/>
  <c r="F55" i="12"/>
  <c r="F52" i="12"/>
  <c r="F51" i="12"/>
  <c r="F47" i="12"/>
  <c r="F45" i="12"/>
  <c r="F33" i="12"/>
  <c r="F31" i="12"/>
  <c r="F29" i="12"/>
  <c r="F24" i="12"/>
  <c r="F7" i="12"/>
  <c r="H213" i="12"/>
  <c r="E212" i="12"/>
  <c r="E211" i="12"/>
  <c r="H210" i="12"/>
  <c r="H209" i="12"/>
  <c r="E205" i="12"/>
  <c r="H102" i="12"/>
  <c r="H101" i="12"/>
  <c r="E100" i="12"/>
  <c r="H100" i="12"/>
  <c r="E99" i="12"/>
  <c r="H99" i="12"/>
  <c r="E98" i="12"/>
  <c r="H98" i="12"/>
  <c r="E97" i="12"/>
  <c r="H97" i="12"/>
  <c r="H96" i="12"/>
  <c r="H95" i="12"/>
  <c r="E94" i="12"/>
  <c r="H94" i="12"/>
  <c r="H93" i="12"/>
  <c r="E92" i="12"/>
  <c r="H92" i="12"/>
  <c r="H91" i="12"/>
  <c r="H90" i="12"/>
  <c r="E89" i="12"/>
  <c r="H89" i="12"/>
  <c r="H88" i="12"/>
  <c r="E87" i="12"/>
  <c r="H87" i="12"/>
  <c r="H86" i="12"/>
  <c r="F59" i="12"/>
  <c r="G59" i="12" s="1"/>
  <c r="H59" i="12" s="1"/>
  <c r="F57" i="12"/>
  <c r="G57" i="12" s="1"/>
  <c r="H57" i="12" s="1"/>
  <c r="F50" i="12"/>
  <c r="F48" i="12"/>
  <c r="F46" i="12"/>
  <c r="F44" i="12"/>
  <c r="F26" i="12"/>
  <c r="E214" i="12"/>
  <c r="H207" i="12"/>
  <c r="H205" i="12"/>
  <c r="H85" i="12"/>
  <c r="H84" i="12"/>
  <c r="E83" i="12"/>
  <c r="H83" i="12"/>
  <c r="E82" i="12"/>
  <c r="H82" i="12"/>
  <c r="E81" i="12"/>
  <c r="H81" i="12"/>
  <c r="E80" i="12"/>
  <c r="H80" i="12"/>
  <c r="E79" i="12"/>
  <c r="H79" i="12"/>
  <c r="H78" i="12"/>
  <c r="E77" i="12"/>
  <c r="H77" i="12"/>
  <c r="E76" i="12"/>
  <c r="H76" i="12"/>
  <c r="E75" i="12"/>
  <c r="H75" i="12"/>
  <c r="E74" i="12"/>
  <c r="H74" i="12"/>
  <c r="H73" i="12"/>
  <c r="H72" i="12"/>
  <c r="H71" i="12"/>
  <c r="H70" i="12"/>
  <c r="F62" i="12"/>
  <c r="F61" i="12"/>
  <c r="F60" i="12"/>
  <c r="F58" i="12"/>
  <c r="F56" i="12"/>
  <c r="F54" i="12"/>
  <c r="F49" i="12"/>
  <c r="F27" i="12"/>
  <c r="F9" i="12"/>
  <c r="F6" i="12"/>
  <c r="H215" i="12"/>
  <c r="F64" i="12"/>
  <c r="F63" i="12"/>
  <c r="F53" i="12"/>
  <c r="F32" i="12"/>
  <c r="F28" i="12"/>
  <c r="F8" i="12"/>
  <c r="F43" i="12"/>
  <c r="F42" i="12"/>
  <c r="F41" i="12"/>
  <c r="F40" i="12"/>
  <c r="F39" i="12"/>
  <c r="F38" i="12"/>
  <c r="F37" i="12"/>
  <c r="F36" i="12"/>
  <c r="F35" i="12"/>
  <c r="F34" i="12"/>
  <c r="F30" i="12"/>
  <c r="F25" i="12"/>
  <c r="F23" i="12"/>
  <c r="F22" i="12"/>
  <c r="F21" i="12"/>
  <c r="F20" i="12"/>
  <c r="F19" i="12"/>
  <c r="F18" i="12"/>
  <c r="F17" i="12"/>
  <c r="F16" i="12"/>
  <c r="F15" i="12"/>
  <c r="F14" i="12"/>
  <c r="F13" i="12"/>
  <c r="F12" i="12"/>
  <c r="F11" i="12"/>
  <c r="F10" i="12"/>
  <c r="H214" i="12"/>
  <c r="H212" i="12"/>
  <c r="G5" i="12" l="1"/>
  <c r="H5" i="12" s="1"/>
  <c r="G6" i="12"/>
  <c r="H6" i="12" s="1"/>
  <c r="E20" i="1"/>
  <c r="G55" i="12"/>
  <c r="H55" i="12" s="1"/>
  <c r="G52" i="12"/>
  <c r="H52" i="12" s="1"/>
  <c r="G51" i="12"/>
  <c r="H51" i="12" s="1"/>
  <c r="G47" i="12"/>
  <c r="H47" i="12" s="1"/>
  <c r="G45" i="12"/>
  <c r="H45" i="12" s="1"/>
  <c r="G33" i="12"/>
  <c r="H33" i="12" s="1"/>
  <c r="G31" i="12"/>
  <c r="H31" i="12" s="1"/>
  <c r="G29" i="12"/>
  <c r="H29" i="12" s="1"/>
  <c r="G24" i="12"/>
  <c r="H24" i="12" s="1"/>
  <c r="G7" i="12"/>
  <c r="H7" i="12" s="1"/>
  <c r="G50" i="12"/>
  <c r="H50" i="12" s="1"/>
  <c r="G48" i="12"/>
  <c r="H48" i="12" s="1"/>
  <c r="G46" i="12"/>
  <c r="H46" i="12" s="1"/>
  <c r="G44" i="12"/>
  <c r="H44" i="12" s="1"/>
  <c r="G26" i="12"/>
  <c r="H26" i="12" s="1"/>
  <c r="G62" i="12"/>
  <c r="H62" i="12" s="1"/>
  <c r="G61" i="12"/>
  <c r="H61" i="12" s="1"/>
  <c r="G60" i="12"/>
  <c r="H60" i="12" s="1"/>
  <c r="G58" i="12"/>
  <c r="H58" i="12" s="1"/>
  <c r="G56" i="12"/>
  <c r="H56" i="12" s="1"/>
  <c r="G54" i="12"/>
  <c r="H54" i="12" s="1"/>
  <c r="G49" i="12"/>
  <c r="H49" i="12" s="1"/>
  <c r="G27" i="12"/>
  <c r="H27" i="12" s="1"/>
  <c r="G9" i="12"/>
  <c r="H9" i="12" s="1"/>
  <c r="G64" i="12"/>
  <c r="H64" i="12" s="1"/>
  <c r="G63" i="12"/>
  <c r="H63" i="12" s="1"/>
  <c r="G53" i="12"/>
  <c r="H53" i="12" s="1"/>
  <c r="G32" i="12"/>
  <c r="H32" i="12" s="1"/>
  <c r="G28" i="12"/>
  <c r="H28" i="12" s="1"/>
  <c r="G8" i="12"/>
  <c r="H8" i="12" s="1"/>
  <c r="G43" i="12"/>
  <c r="H43" i="12" s="1"/>
  <c r="G42" i="12"/>
  <c r="H42" i="12" s="1"/>
  <c r="G41" i="12"/>
  <c r="H41" i="12" s="1"/>
  <c r="G40" i="12"/>
  <c r="H40" i="12" s="1"/>
  <c r="G25" i="12"/>
  <c r="H25" i="12" s="1"/>
  <c r="G23" i="12"/>
  <c r="H23" i="12" s="1"/>
  <c r="G22" i="12"/>
  <c r="H22" i="12" s="1"/>
  <c r="G21" i="12"/>
  <c r="H21" i="12" s="1"/>
  <c r="G39" i="12"/>
  <c r="H39" i="12" s="1"/>
  <c r="G38" i="12"/>
  <c r="H38" i="12" s="1"/>
  <c r="G37" i="12"/>
  <c r="H37" i="12" s="1"/>
  <c r="G36" i="12"/>
  <c r="H36" i="12" s="1"/>
  <c r="G35" i="12"/>
  <c r="H35" i="12" s="1"/>
  <c r="G34" i="12"/>
  <c r="H34" i="12" s="1"/>
  <c r="G30" i="12"/>
  <c r="H30" i="12" s="1"/>
  <c r="G20" i="12"/>
  <c r="H20" i="12" s="1"/>
  <c r="G19" i="12"/>
  <c r="H19" i="12" s="1"/>
  <c r="G18" i="12"/>
  <c r="H18" i="12" s="1"/>
  <c r="G17" i="12"/>
  <c r="H17" i="12" s="1"/>
  <c r="G16" i="12"/>
  <c r="H16" i="12" s="1"/>
  <c r="G15" i="12"/>
  <c r="H15" i="12" s="1"/>
  <c r="G14" i="12"/>
  <c r="H14" i="12" s="1"/>
  <c r="G13" i="12"/>
  <c r="H13" i="12" s="1"/>
  <c r="G12" i="12"/>
  <c r="H12" i="12" s="1"/>
  <c r="G11" i="12"/>
  <c r="H11" i="12" s="1"/>
  <c r="G10" i="12"/>
  <c r="H10" i="12" s="1"/>
  <c r="C20" i="1" l="1"/>
</calcChain>
</file>

<file path=xl/sharedStrings.xml><?xml version="1.0" encoding="utf-8"?>
<sst xmlns="http://schemas.openxmlformats.org/spreadsheetml/2006/main" count="17192" uniqueCount="4113">
  <si>
    <t>Jewellery Retail Analytics — KPI Dashboard</t>
  </si>
  <si>
    <t>All figures recalculate live from Cleaned_Sales / Cleaned_Products / Cleaned_Customers</t>
  </si>
  <si>
    <t>TOTAL REVENUE (₹)</t>
  </si>
  <si>
    <t>TOTAL ORDERS</t>
  </si>
  <si>
    <t>AVERAGE ORDER VALUE (₹)</t>
  </si>
  <si>
    <t>TOTAL ACTIVE CUSTOMERS</t>
  </si>
  <si>
    <t>REPEAT CUSTOMER RATE</t>
  </si>
  <si>
    <t>AVERAGE DISCOUNT GIVEN</t>
  </si>
  <si>
    <t>TOTAL INVENTORY VALUE (₹)</t>
  </si>
  <si>
    <t>AVG PRODUCT MARGIN %</t>
  </si>
  <si>
    <t>TOP CATEGORY (by revenue)</t>
  </si>
  <si>
    <t>REVENUE — 2024</t>
  </si>
  <si>
    <t>REVENUE — 2023</t>
  </si>
  <si>
    <t>YoY GROWTH (2023→2024)</t>
  </si>
  <si>
    <t>ONLINE SALES SHARE</t>
  </si>
  <si>
    <t>PRODUCTS IN CLASS 'A'</t>
  </si>
  <si>
    <t>CHAMPION CUSTOMERS</t>
  </si>
  <si>
    <t>TOTAL SKUs ACTIVE</t>
  </si>
  <si>
    <t>Notes on methodology</t>
  </si>
  <si>
    <t>• Revenue = Quantity × Unit Price × (1 − Discount%), computed on cleaned, deduplicated transactions only.</t>
  </si>
  <si>
    <t>• Repeat Customer Rate = customers with 2+ orders ÷ customers with 1+ orders (see Classification sheet).</t>
  </si>
  <si>
    <t>• ABC classification follows Pareto principle: Class A = top 80% cumulative revenue, B = next 15%, C = remaining 5%.</t>
  </si>
  <si>
    <t>• Customer segments (Champion/Loyal/At Risk/Occasional) use spend quartiles and 180-day recency threshold — see Classification sheet.</t>
  </si>
  <si>
    <t>• 2025 is a partial year in the source data (through Jul-2025) and is excluded from the YoY comparison above.</t>
  </si>
  <si>
    <t>Jewellery Retail Analytics — Raw Data Workbook</t>
  </si>
  <si>
    <t>This workbook contains intentionally messy, realistic raw data simulating exports from a POS/CRM system.</t>
  </si>
  <si>
    <t>Sheets:</t>
  </si>
  <si>
    <t xml:space="preserve"> - Raw_Sales: 950+ transaction records (2023-2025) with duplicates, blanks, inconsistent formats</t>
  </si>
  <si>
    <t xml:space="preserve"> - Raw_Products: 60+ SKUs across categories/materials with negative stock errors &amp; mixed price formats</t>
  </si>
  <si>
    <t xml:space="preserve"> - Raw_Customers: 150+ customers with inconsistent gender/city/date formats</t>
  </si>
  <si>
    <t xml:space="preserve"> - Raw_Stores: 8 retail store locations</t>
  </si>
  <si>
    <t>Known data quality issues (deliberately injected for the cleaning exercise):</t>
  </si>
  <si>
    <t xml:space="preserve"> 1. Mixed date formats (YYYY-MM-DD, DD/MM/YYYY, MM/DD/YYYY, DD-Mon-YYYY, Month DD YYYY, DD.MM.YYYY)</t>
  </si>
  <si>
    <t xml:space="preserve"> 2. Inconsistent text casing (gold/Gold/GOLD, online/Online/ONLINE)</t>
  </si>
  <si>
    <t xml:space="preserve"> 3. City name typos &amp; variants (Bombay/Mumbai, Bangalore/Bengaluru)</t>
  </si>
  <si>
    <t xml:space="preserve"> 4. Currency symbols &amp; thousands separators mixed with plain numbers (₹45,000 / Rs. 45000 / 45000)</t>
  </si>
  <si>
    <t xml:space="preserve"> 5. Negative/zero quantities and negative stock (data entry errors)</t>
  </si>
  <si>
    <t xml:space="preserve"> 6. Missing values: blank CustomerID, Email, Phone, Category, Weight</t>
  </si>
  <si>
    <t xml:space="preserve"> 7. Duplicate rows in Sales, Products, and Customers</t>
  </si>
  <si>
    <t xml:space="preserve"> 8. Inconsistent gender coding (Male/M/m/MALE)</t>
  </si>
  <si>
    <t xml:space="preserve"> 9. Discount field mixing numbers, percent-strings, blanks and negative values</t>
  </si>
  <si>
    <t>TransactionID</t>
  </si>
  <si>
    <t>OrderDate</t>
  </si>
  <si>
    <t>CustomerID</t>
  </si>
  <si>
    <t>ProductID</t>
  </si>
  <si>
    <t>StoreID</t>
  </si>
  <si>
    <t>Quantity</t>
  </si>
  <si>
    <t>UnitPrice</t>
  </si>
  <si>
    <t>DiscountPct</t>
  </si>
  <si>
    <t>PaymentMode</t>
  </si>
  <si>
    <t>SalesChannel</t>
  </si>
  <si>
    <t>SalesRep</t>
  </si>
  <si>
    <t>TXN5488</t>
  </si>
  <si>
    <t>02/05/2023</t>
  </si>
  <si>
    <t>C2102</t>
  </si>
  <si>
    <t>P1032</t>
  </si>
  <si>
    <t>S105</t>
  </si>
  <si>
    <t>COD</t>
  </si>
  <si>
    <t>instore</t>
  </si>
  <si>
    <t>Indali Kala</t>
  </si>
  <si>
    <t>TXN5125</t>
  </si>
  <si>
    <t>27-Nov-2024</t>
  </si>
  <si>
    <t>C2053</t>
  </si>
  <si>
    <t>P1027</t>
  </si>
  <si>
    <t>S108</t>
  </si>
  <si>
    <t xml:space="preserve">UPI </t>
  </si>
  <si>
    <t>IN-STORE</t>
  </si>
  <si>
    <t>Wriddhish Kulkarni</t>
  </si>
  <si>
    <t>TXN5484</t>
  </si>
  <si>
    <t>25-Nov-2024</t>
  </si>
  <si>
    <t>C2090</t>
  </si>
  <si>
    <t>P1049</t>
  </si>
  <si>
    <t>S107</t>
  </si>
  <si>
    <t>EMI</t>
  </si>
  <si>
    <t>in-store</t>
  </si>
  <si>
    <t>Ucchal Mann</t>
  </si>
  <si>
    <t>TXN5198</t>
  </si>
  <si>
    <t>28.11.2023</t>
  </si>
  <si>
    <t>C2042</t>
  </si>
  <si>
    <t>P1046</t>
  </si>
  <si>
    <t>S102</t>
  </si>
  <si>
    <t>10%</t>
  </si>
  <si>
    <t>CC</t>
  </si>
  <si>
    <t xml:space="preserve">online </t>
  </si>
  <si>
    <t>Harinakshi Sidhu</t>
  </si>
  <si>
    <t>TXN5571</t>
  </si>
  <si>
    <t>20-Jul-2023</t>
  </si>
  <si>
    <t>C2032</t>
  </si>
  <si>
    <t>P1023</t>
  </si>
  <si>
    <t>Credit_Card</t>
  </si>
  <si>
    <t>Web</t>
  </si>
  <si>
    <t>TXN5496</t>
  </si>
  <si>
    <t>27/10/2024</t>
  </si>
  <si>
    <t>C2103</t>
  </si>
  <si>
    <t>P1030</t>
  </si>
  <si>
    <t>Net Banking</t>
  </si>
  <si>
    <t>Anjali Korpal</t>
  </si>
  <si>
    <t>TXN5395</t>
  </si>
  <si>
    <t>27.03.2023</t>
  </si>
  <si>
    <t>C2130</t>
  </si>
  <si>
    <t>P1014</t>
  </si>
  <si>
    <t>S103</t>
  </si>
  <si>
    <t>Rs. 136,950</t>
  </si>
  <si>
    <t>Finn Chanda</t>
  </si>
  <si>
    <t>TXN5719</t>
  </si>
  <si>
    <t>27.11.2023</t>
  </si>
  <si>
    <t>C2027</t>
  </si>
  <si>
    <t>P1041</t>
  </si>
  <si>
    <t>S106</t>
  </si>
  <si>
    <t>TXN5273</t>
  </si>
  <si>
    <t>11.06.2024</t>
  </si>
  <si>
    <t>C2094</t>
  </si>
  <si>
    <t>P1057</t>
  </si>
  <si>
    <t>S101</t>
  </si>
  <si>
    <t>Upi</t>
  </si>
  <si>
    <t>online</t>
  </si>
  <si>
    <t>Yahvi Babu</t>
  </si>
  <si>
    <t>TXN5413</t>
  </si>
  <si>
    <t>10.05.2023</t>
  </si>
  <si>
    <t>C2132</t>
  </si>
  <si>
    <t>P1017</t>
  </si>
  <si>
    <t>Debit Card</t>
  </si>
  <si>
    <t>TXN5469</t>
  </si>
  <si>
    <t>03/07/2023</t>
  </si>
  <si>
    <t>C2008</t>
  </si>
  <si>
    <t>P1038</t>
  </si>
  <si>
    <t>S104</t>
  </si>
  <si>
    <t>TXN5222</t>
  </si>
  <si>
    <t>08-Mar-2023</t>
  </si>
  <si>
    <t>C2029</t>
  </si>
  <si>
    <t>212,060.00</t>
  </si>
  <si>
    <t>Omaja Bose</t>
  </si>
  <si>
    <t>TXN5602</t>
  </si>
  <si>
    <t>March 17, 2024</t>
  </si>
  <si>
    <t>C2086</t>
  </si>
  <si>
    <t>P1004</t>
  </si>
  <si>
    <t>₹94,970.00</t>
  </si>
  <si>
    <t>TXN5073</t>
  </si>
  <si>
    <t>04/12/2024</t>
  </si>
  <si>
    <t>C2068</t>
  </si>
  <si>
    <t>Prisha Kadakia</t>
  </si>
  <si>
    <t>TXN5842</t>
  </si>
  <si>
    <t>05/01/2023</t>
  </si>
  <si>
    <t>C2085</t>
  </si>
  <si>
    <t>P1012</t>
  </si>
  <si>
    <t>Gavin Ghose</t>
  </si>
  <si>
    <t>TXN5280</t>
  </si>
  <si>
    <t>2023-10-23</t>
  </si>
  <si>
    <t>C2038</t>
  </si>
  <si>
    <t>ONLINE</t>
  </si>
  <si>
    <t>Harita Grover</t>
  </si>
  <si>
    <t>TXN5639</t>
  </si>
  <si>
    <t>07/25/2023</t>
  </si>
  <si>
    <t>C2016</t>
  </si>
  <si>
    <t>P1009</t>
  </si>
  <si>
    <t>TXN5190</t>
  </si>
  <si>
    <t>29.06.2024</t>
  </si>
  <si>
    <t>C2031</t>
  </si>
  <si>
    <t>CASH</t>
  </si>
  <si>
    <t>Irya Bath</t>
  </si>
  <si>
    <t>TXN5393</t>
  </si>
  <si>
    <t>February 09, 2025</t>
  </si>
  <si>
    <t>C2099</t>
  </si>
  <si>
    <t>P1006</t>
  </si>
  <si>
    <t>Jalsa Sha</t>
  </si>
  <si>
    <t>TXN5126</t>
  </si>
  <si>
    <t>23/01/2025</t>
  </si>
  <si>
    <t>P1048</t>
  </si>
  <si>
    <t>Dayamai Patil</t>
  </si>
  <si>
    <t>TXN5028</t>
  </si>
  <si>
    <t>February 24, 2025</t>
  </si>
  <si>
    <t>C2060</t>
  </si>
  <si>
    <t>P1011</t>
  </si>
  <si>
    <t>165,590.00</t>
  </si>
  <si>
    <t>In Store</t>
  </si>
  <si>
    <t>Hemal Zachariah</t>
  </si>
  <si>
    <t>TXN5604</t>
  </si>
  <si>
    <t>08/12/2024</t>
  </si>
  <si>
    <t>C2062</t>
  </si>
  <si>
    <t>P1005</t>
  </si>
  <si>
    <t>Nicholas Cheema</t>
  </si>
  <si>
    <t>TXN5268</t>
  </si>
  <si>
    <t>15.01.2023</t>
  </si>
  <si>
    <t>C2111</t>
  </si>
  <si>
    <t>Chakrika Batta</t>
  </si>
  <si>
    <t>TXN5675</t>
  </si>
  <si>
    <t>12/10/2023</t>
  </si>
  <si>
    <t>C2118</t>
  </si>
  <si>
    <t>₹223,500.00</t>
  </si>
  <si>
    <t>Vivaan Lanka</t>
  </si>
  <si>
    <t>TXN5510</t>
  </si>
  <si>
    <t>11/03/2023</t>
  </si>
  <si>
    <t>P1058</t>
  </si>
  <si>
    <t>Krisha Parmar</t>
  </si>
  <si>
    <t>TXN5866</t>
  </si>
  <si>
    <t>27/07/2025</t>
  </si>
  <si>
    <t>P1060</t>
  </si>
  <si>
    <t>Upasna Hayre</t>
  </si>
  <si>
    <t>TXN5112</t>
  </si>
  <si>
    <t>August 02, 2024</t>
  </si>
  <si>
    <t>Warinder Choudhury</t>
  </si>
  <si>
    <t>TXN5632</t>
  </si>
  <si>
    <t>29-Jan-2024</t>
  </si>
  <si>
    <t>C2017</t>
  </si>
  <si>
    <t>TXN5205</t>
  </si>
  <si>
    <t>13/12/2024</t>
  </si>
  <si>
    <t>C2015</t>
  </si>
  <si>
    <t>P1007</t>
  </si>
  <si>
    <t>Qushi Mandal</t>
  </si>
  <si>
    <t>TXN5620</t>
  </si>
  <si>
    <t>May 24, 2023</t>
  </si>
  <si>
    <t>C2078</t>
  </si>
  <si>
    <t>P1051</t>
  </si>
  <si>
    <t>Ria Hayer</t>
  </si>
  <si>
    <t>TXN5029</t>
  </si>
  <si>
    <t>30/06/2023</t>
  </si>
  <si>
    <t>P1021</t>
  </si>
  <si>
    <t>Azad Sani</t>
  </si>
  <si>
    <t>TXN5135</t>
  </si>
  <si>
    <t>20.11.2024</t>
  </si>
  <si>
    <t>C2088</t>
  </si>
  <si>
    <t>Rs. 81,210</t>
  </si>
  <si>
    <t>Reva Nadig</t>
  </si>
  <si>
    <t>TXN5058</t>
  </si>
  <si>
    <t>17-Jul-2025</t>
  </si>
  <si>
    <t>C2104</t>
  </si>
  <si>
    <t>P1025</t>
  </si>
  <si>
    <t>Yutika Sama</t>
  </si>
  <si>
    <t>TXN5935</t>
  </si>
  <si>
    <t>18-Jan-2024</t>
  </si>
  <si>
    <t>C2117</t>
  </si>
  <si>
    <t>P1039</t>
  </si>
  <si>
    <t>TXN5138</t>
  </si>
  <si>
    <t>August 16, 2023</t>
  </si>
  <si>
    <t>C2033</t>
  </si>
  <si>
    <t>₹235,150.00</t>
  </si>
  <si>
    <t>Gaurangi Sami</t>
  </si>
  <si>
    <t>TXN5035</t>
  </si>
  <si>
    <t>29/09/2023</t>
  </si>
  <si>
    <t>C2064</t>
  </si>
  <si>
    <t>P1045</t>
  </si>
  <si>
    <t>₹67,140.00</t>
  </si>
  <si>
    <t>Balendra Bali</t>
  </si>
  <si>
    <t>TXN5487</t>
  </si>
  <si>
    <t>26/11/2024</t>
  </si>
  <si>
    <t>₹48,190.00</t>
  </si>
  <si>
    <t>TXN5817</t>
  </si>
  <si>
    <t>11/21/2023</t>
  </si>
  <si>
    <t>C2026</t>
  </si>
  <si>
    <t>P1059</t>
  </si>
  <si>
    <t>cash</t>
  </si>
  <si>
    <t>Saumya Raja</t>
  </si>
  <si>
    <t>TXN5732</t>
  </si>
  <si>
    <t>10.06.2025</t>
  </si>
  <si>
    <t>C2021</t>
  </si>
  <si>
    <t>P1010</t>
  </si>
  <si>
    <t>Dayita Sankaran</t>
  </si>
  <si>
    <t>TXN5796</t>
  </si>
  <si>
    <t>28-Dec-2024</t>
  </si>
  <si>
    <t>P1034</t>
  </si>
  <si>
    <t>Eta Naidu</t>
  </si>
  <si>
    <t>TXN5106</t>
  </si>
  <si>
    <t>2023-09-14</t>
  </si>
  <si>
    <t>C2051</t>
  </si>
  <si>
    <t>P1047</t>
  </si>
  <si>
    <t>TXN5103</t>
  </si>
  <si>
    <t>14/08/2023</t>
  </si>
  <si>
    <t>C2101</t>
  </si>
  <si>
    <t>CREDIT CARD</t>
  </si>
  <si>
    <t>TXN5240</t>
  </si>
  <si>
    <t>04-Feb-2024</t>
  </si>
  <si>
    <t>Christopher Bobal</t>
  </si>
  <si>
    <t>TXN5227</t>
  </si>
  <si>
    <t>06.08.2024</t>
  </si>
  <si>
    <t>Atharv Mane</t>
  </si>
  <si>
    <t>TXN5539</t>
  </si>
  <si>
    <t>02.04.2024</t>
  </si>
  <si>
    <t>C2124</t>
  </si>
  <si>
    <t>P1053</t>
  </si>
  <si>
    <t>Warhi Pathak</t>
  </si>
  <si>
    <t>TXN5553</t>
  </si>
  <si>
    <t>31/10/2024</t>
  </si>
  <si>
    <t>197,200.00</t>
  </si>
  <si>
    <t>TXN5490</t>
  </si>
  <si>
    <t>March 24, 2025</t>
  </si>
  <si>
    <t>C2047</t>
  </si>
  <si>
    <t>₹77,400.00</t>
  </si>
  <si>
    <t>Charita Chakraborty</t>
  </si>
  <si>
    <t>TXN5228</t>
  </si>
  <si>
    <t>2023-02-24</t>
  </si>
  <si>
    <t>C2145</t>
  </si>
  <si>
    <t>Meera Prakash</t>
  </si>
  <si>
    <t>TXN5175</t>
  </si>
  <si>
    <t>2023-11-04</t>
  </si>
  <si>
    <t>C2148</t>
  </si>
  <si>
    <t>P1026</t>
  </si>
  <si>
    <t>TXN5860</t>
  </si>
  <si>
    <t>24/04/2024</t>
  </si>
  <si>
    <t>C2034</t>
  </si>
  <si>
    <t>TXN5454</t>
  </si>
  <si>
    <t>03/12/2023</t>
  </si>
  <si>
    <t>C2072</t>
  </si>
  <si>
    <t>163,420.00</t>
  </si>
  <si>
    <t>Ishwar Chaudhary</t>
  </si>
  <si>
    <t>TXN5367</t>
  </si>
  <si>
    <t>29/08/2023</t>
  </si>
  <si>
    <t>C2144</t>
  </si>
  <si>
    <t>TXN5313</t>
  </si>
  <si>
    <t>May 02, 2024</t>
  </si>
  <si>
    <t>C2041</t>
  </si>
  <si>
    <t>P1033</t>
  </si>
  <si>
    <t>Neel Mani</t>
  </si>
  <si>
    <t>TXN5007</t>
  </si>
  <si>
    <t>07/06/2024</t>
  </si>
  <si>
    <t>C2040</t>
  </si>
  <si>
    <t>P1035</t>
  </si>
  <si>
    <t>Meghana Sarma</t>
  </si>
  <si>
    <t>TXN5752</t>
  </si>
  <si>
    <t>12-Mar-2025</t>
  </si>
  <si>
    <t>C2067</t>
  </si>
  <si>
    <t>TXN5057</t>
  </si>
  <si>
    <t>June 03, 2023</t>
  </si>
  <si>
    <t>Baljiwan Sharma</t>
  </si>
  <si>
    <t>TXN5089</t>
  </si>
  <si>
    <t>19/11/2024</t>
  </si>
  <si>
    <t>C2046</t>
  </si>
  <si>
    <t>Radhika Roy</t>
  </si>
  <si>
    <t>TXN5360</t>
  </si>
  <si>
    <t>26/10/2024</t>
  </si>
  <si>
    <t>P1028</t>
  </si>
  <si>
    <t>Hamsini Murty</t>
  </si>
  <si>
    <t>TXN5740</t>
  </si>
  <si>
    <t>05.09.2024</t>
  </si>
  <si>
    <t>C2082</t>
  </si>
  <si>
    <t>8,450.00</t>
  </si>
  <si>
    <t>Vritti Sharma</t>
  </si>
  <si>
    <t>TXN5915</t>
  </si>
  <si>
    <t>30.05.2025</t>
  </si>
  <si>
    <t>Fariq Memon</t>
  </si>
  <si>
    <t>TXN5917</t>
  </si>
  <si>
    <t>04/30/2023</t>
  </si>
  <si>
    <t>C2096</t>
  </si>
  <si>
    <t>P1036</t>
  </si>
  <si>
    <t>TXN5289</t>
  </si>
  <si>
    <t>June 07, 2025</t>
  </si>
  <si>
    <t>Chasmum Chahal</t>
  </si>
  <si>
    <t>TXN5877</t>
  </si>
  <si>
    <t>C2137</t>
  </si>
  <si>
    <t>P1001</t>
  </si>
  <si>
    <t>₹189,560.00</t>
  </si>
  <si>
    <t>TXN5165</t>
  </si>
  <si>
    <t>05.03.2025</t>
  </si>
  <si>
    <t>C2131</t>
  </si>
  <si>
    <t>TXN5442</t>
  </si>
  <si>
    <t>06/04/2024</t>
  </si>
  <si>
    <t>C2065</t>
  </si>
  <si>
    <t>Jai Wali</t>
  </si>
  <si>
    <t>TXN5882</t>
  </si>
  <si>
    <t>28/04/2024</t>
  </si>
  <si>
    <t>C2070</t>
  </si>
  <si>
    <t>P1022</t>
  </si>
  <si>
    <t>Rs. 126,340</t>
  </si>
  <si>
    <t>Aadhya Pall</t>
  </si>
  <si>
    <t>TXN5300</t>
  </si>
  <si>
    <t>07/19/2025</t>
  </si>
  <si>
    <t>C2012</t>
  </si>
  <si>
    <t>TXN5105</t>
  </si>
  <si>
    <t>09/23/2024</t>
  </si>
  <si>
    <t>C2050</t>
  </si>
  <si>
    <t>P1008</t>
  </si>
  <si>
    <t>Arunima Goda</t>
  </si>
  <si>
    <t>TXN5256</t>
  </si>
  <si>
    <t>10.04.2025</t>
  </si>
  <si>
    <t>Vamakshi Loyal</t>
  </si>
  <si>
    <t>TXN5324</t>
  </si>
  <si>
    <t>03/27/2025</t>
  </si>
  <si>
    <t>C2120</t>
  </si>
  <si>
    <t>₹163,140.00</t>
  </si>
  <si>
    <t>upi</t>
  </si>
  <si>
    <t>Harrison Sagar</t>
  </si>
  <si>
    <t>TXN5102</t>
  </si>
  <si>
    <t>03/16/2023</t>
  </si>
  <si>
    <t>153,220.00</t>
  </si>
  <si>
    <t>TXN5944</t>
  </si>
  <si>
    <t>April 10, 2024</t>
  </si>
  <si>
    <t>C2011</t>
  </si>
  <si>
    <t>₹53,000.00</t>
  </si>
  <si>
    <t>TXN5047</t>
  </si>
  <si>
    <t>28.01.2024</t>
  </si>
  <si>
    <t>C2126</t>
  </si>
  <si>
    <t>P1037</t>
  </si>
  <si>
    <t>Ekani Bhat</t>
  </si>
  <si>
    <t>TXN5739</t>
  </si>
  <si>
    <t>February 16, 2023</t>
  </si>
  <si>
    <t>TXN5133</t>
  </si>
  <si>
    <t>30-Jul-2024</t>
  </si>
  <si>
    <t>C2063</t>
  </si>
  <si>
    <t>Chameli Kade</t>
  </si>
  <si>
    <t>TXN5287</t>
  </si>
  <si>
    <t>03-Jan-2025</t>
  </si>
  <si>
    <t>C2095</t>
  </si>
  <si>
    <t>Triveni Ravel</t>
  </si>
  <si>
    <t>TXN5097</t>
  </si>
  <si>
    <t>15.07.2025</t>
  </si>
  <si>
    <t>Dayita Shetty</t>
  </si>
  <si>
    <t>TXN5036</t>
  </si>
  <si>
    <t>20-Jun-2023</t>
  </si>
  <si>
    <t>C2128</t>
  </si>
  <si>
    <t>₹138,320.00</t>
  </si>
  <si>
    <t>TXN5579</t>
  </si>
  <si>
    <t>2024-05-17</t>
  </si>
  <si>
    <t>C2106</t>
  </si>
  <si>
    <t>TXN5828</t>
  </si>
  <si>
    <t>2024-09-16</t>
  </si>
  <si>
    <t>C2092</t>
  </si>
  <si>
    <t>Arunima Nadkarni</t>
  </si>
  <si>
    <t>TXN5326</t>
  </si>
  <si>
    <t>11-Jul-2025</t>
  </si>
  <si>
    <t>P1043</t>
  </si>
  <si>
    <t>TXN5147</t>
  </si>
  <si>
    <t>03/10/2025</t>
  </si>
  <si>
    <t>Ekaja Seth</t>
  </si>
  <si>
    <t>TXN5412</t>
  </si>
  <si>
    <t>20-Apr-2024</t>
  </si>
  <si>
    <t>credit card</t>
  </si>
  <si>
    <t>Banjeet Virk</t>
  </si>
  <si>
    <t>TXN5849</t>
  </si>
  <si>
    <t>14/09/2023</t>
  </si>
  <si>
    <t>Rs. 100,260</t>
  </si>
  <si>
    <t>Saksham Magar</t>
  </si>
  <si>
    <t>TXN5701</t>
  </si>
  <si>
    <t>May 10, 2023</t>
  </si>
  <si>
    <t>P1042</t>
  </si>
  <si>
    <t>TXN5094</t>
  </si>
  <si>
    <t>05-Dec-2023</t>
  </si>
  <si>
    <t>P1003</t>
  </si>
  <si>
    <t>William Comar</t>
  </si>
  <si>
    <t>TXN5161</t>
  </si>
  <si>
    <t>10/02/2024</t>
  </si>
  <si>
    <t>C2003</t>
  </si>
  <si>
    <t>₹95,360.00</t>
  </si>
  <si>
    <t>Abha Dixit</t>
  </si>
  <si>
    <t>TXN5290</t>
  </si>
  <si>
    <t>24/07/2023</t>
  </si>
  <si>
    <t>C2098</t>
  </si>
  <si>
    <t>P1019</t>
  </si>
  <si>
    <t>206,410.00</t>
  </si>
  <si>
    <t>Krishna Atwal</t>
  </si>
  <si>
    <t>TXN5370</t>
  </si>
  <si>
    <t>February 19, 2025</t>
  </si>
  <si>
    <t>C2129</t>
  </si>
  <si>
    <t>163,180.00</t>
  </si>
  <si>
    <t>Rudra Mitra</t>
  </si>
  <si>
    <t>TXN5195</t>
  </si>
  <si>
    <t>2024-06-17</t>
  </si>
  <si>
    <t>TXN5772</t>
  </si>
  <si>
    <t>01/03/2025</t>
  </si>
  <si>
    <t>C2076</t>
  </si>
  <si>
    <t>P1054</t>
  </si>
  <si>
    <t>Arya Edwin</t>
  </si>
  <si>
    <t>TXN5585</t>
  </si>
  <si>
    <t>July 24, 2023</t>
  </si>
  <si>
    <t>C2091</t>
  </si>
  <si>
    <t>P1024</t>
  </si>
  <si>
    <t>₹45,140.00</t>
  </si>
  <si>
    <t>Jonathan Upadhyay</t>
  </si>
  <si>
    <t>TXN5835</t>
  </si>
  <si>
    <t>June 08, 2023</t>
  </si>
  <si>
    <t>C2087</t>
  </si>
  <si>
    <t>Yuvraj Kapadia</t>
  </si>
  <si>
    <t>TXN5705</t>
  </si>
  <si>
    <t>16.05.2024</t>
  </si>
  <si>
    <t>P1044</t>
  </si>
  <si>
    <t>Rs. 164,410</t>
  </si>
  <si>
    <t>Eshana Bajaj</t>
  </si>
  <si>
    <t>TXN5456</t>
  </si>
  <si>
    <t>13/03/2023</t>
  </si>
  <si>
    <t>C2014</t>
  </si>
  <si>
    <t>Rs. 34,890</t>
  </si>
  <si>
    <t>Aadhya Chakraborty</t>
  </si>
  <si>
    <t>TXN5016</t>
  </si>
  <si>
    <t>17/04/2023</t>
  </si>
  <si>
    <t>P1016</t>
  </si>
  <si>
    <t>Manan Sha</t>
  </si>
  <si>
    <t>TXN5673</t>
  </si>
  <si>
    <t>2025-04-22</t>
  </si>
  <si>
    <t>Aryan Gola</t>
  </si>
  <si>
    <t>TXN5098</t>
  </si>
  <si>
    <t>July 22, 2025</t>
  </si>
  <si>
    <t>TXN5669</t>
  </si>
  <si>
    <t>August 26, 2024</t>
  </si>
  <si>
    <t>C2022</t>
  </si>
  <si>
    <t>Shravya Sibal</t>
  </si>
  <si>
    <t>TXN5711</t>
  </si>
  <si>
    <t>11-Nov-2024</t>
  </si>
  <si>
    <t>C2107</t>
  </si>
  <si>
    <t>TXN5601</t>
  </si>
  <si>
    <t>2023-10-01</t>
  </si>
  <si>
    <t>C2123</t>
  </si>
  <si>
    <t>TXN5064</t>
  </si>
  <si>
    <t>15-Mar-2024</t>
  </si>
  <si>
    <t>Harish Jha</t>
  </si>
  <si>
    <t>TXN5892</t>
  </si>
  <si>
    <t>30.01.2023</t>
  </si>
  <si>
    <t>C2109</t>
  </si>
  <si>
    <t>Jackson Chanda</t>
  </si>
  <si>
    <t>TXN5770</t>
  </si>
  <si>
    <t>27-Sep-2023</t>
  </si>
  <si>
    <t>Raksha Dey</t>
  </si>
  <si>
    <t>TXN5771</t>
  </si>
  <si>
    <t>19-Feb-2025</t>
  </si>
  <si>
    <t>C2002</t>
  </si>
  <si>
    <t>TXN5015</t>
  </si>
  <si>
    <t>January 20, 2025</t>
  </si>
  <si>
    <t>Nidhi Sundaram</t>
  </si>
  <si>
    <t>TXN5832</t>
  </si>
  <si>
    <t>2023-06-22</t>
  </si>
  <si>
    <t>₹98,650.00</t>
  </si>
  <si>
    <t>TXN5388</t>
  </si>
  <si>
    <t>October 21, 2024</t>
  </si>
  <si>
    <t>P1013</t>
  </si>
  <si>
    <t>Bhavani Dey</t>
  </si>
  <si>
    <t>TXN5218</t>
  </si>
  <si>
    <t>25.05.2023</t>
  </si>
  <si>
    <t>C2073</t>
  </si>
  <si>
    <t>TXN5386</t>
  </si>
  <si>
    <t>01.05.2024</t>
  </si>
  <si>
    <t>TXN5609</t>
  </si>
  <si>
    <t>03.04.2025</t>
  </si>
  <si>
    <t>P1029</t>
  </si>
  <si>
    <t>247,490.00</t>
  </si>
  <si>
    <t>Unnati Kala</t>
  </si>
  <si>
    <t>TXN5282</t>
  </si>
  <si>
    <t>July 30, 2023</t>
  </si>
  <si>
    <t>C2009</t>
  </si>
  <si>
    <t>TXN5246</t>
  </si>
  <si>
    <t>27-Jan-2024</t>
  </si>
  <si>
    <t>₹47,770.00</t>
  </si>
  <si>
    <t>TXN5886</t>
  </si>
  <si>
    <t>19-Jan-2023</t>
  </si>
  <si>
    <t>Ayaan Divan</t>
  </si>
  <si>
    <t>TXN5060</t>
  </si>
  <si>
    <t>02/01/2025</t>
  </si>
  <si>
    <t>68,100.00</t>
  </si>
  <si>
    <t>Anmol Singh</t>
  </si>
  <si>
    <t>TXN5714</t>
  </si>
  <si>
    <t>21/01/2023</t>
  </si>
  <si>
    <t>TXN5933</t>
  </si>
  <si>
    <t>20.07.2024</t>
  </si>
  <si>
    <t>C2140</t>
  </si>
  <si>
    <t>P1055</t>
  </si>
  <si>
    <t>TXN5650</t>
  </si>
  <si>
    <t>11/07/2024</t>
  </si>
  <si>
    <t>TXN5365</t>
  </si>
  <si>
    <t>12/02/2024</t>
  </si>
  <si>
    <t>Dipta Padmanabhan</t>
  </si>
  <si>
    <t>TXN5599</t>
  </si>
  <si>
    <t>May 18, 2025</t>
  </si>
  <si>
    <t>C2028</t>
  </si>
  <si>
    <t>Harita Gulati</t>
  </si>
  <si>
    <t>TXN5789</t>
  </si>
  <si>
    <t>01/17/2023</t>
  </si>
  <si>
    <t>C2083</t>
  </si>
  <si>
    <t>₹47,630.00</t>
  </si>
  <si>
    <t>Gavin Babu</t>
  </si>
  <si>
    <t>TXN5403</t>
  </si>
  <si>
    <t>2024-01-07</t>
  </si>
  <si>
    <t>Vedhika Shankar</t>
  </si>
  <si>
    <t>TXN5738</t>
  </si>
  <si>
    <t>September 22, 2024</t>
  </si>
  <si>
    <t>Yatin Vora</t>
  </si>
  <si>
    <t>TXN5333</t>
  </si>
  <si>
    <t>08.07.2023</t>
  </si>
  <si>
    <t>C2115</t>
  </si>
  <si>
    <t>TXN5182</t>
  </si>
  <si>
    <t>25/02/2023</t>
  </si>
  <si>
    <t>P1056</t>
  </si>
  <si>
    <t>TXN5086</t>
  </si>
  <si>
    <t>2025-01-23</t>
  </si>
  <si>
    <t>C2143</t>
  </si>
  <si>
    <t>TXN5827</t>
  </si>
  <si>
    <t>22/12/2024</t>
  </si>
  <si>
    <t>Sachi Narasimhan</t>
  </si>
  <si>
    <t>TXN5676</t>
  </si>
  <si>
    <t>2024-10-04</t>
  </si>
  <si>
    <t>169,640.00</t>
  </si>
  <si>
    <t>Jagrati Butala</t>
  </si>
  <si>
    <t>TXN5244</t>
  </si>
  <si>
    <t>03/11/2024</t>
  </si>
  <si>
    <t>TXN5507</t>
  </si>
  <si>
    <t>10/28/2023</t>
  </si>
  <si>
    <t>C2055</t>
  </si>
  <si>
    <t>Sai Dasgupta</t>
  </si>
  <si>
    <t>TXN5950</t>
  </si>
  <si>
    <t>01/04/2024</t>
  </si>
  <si>
    <t>TXN5208</t>
  </si>
  <si>
    <t>12.01.2023</t>
  </si>
  <si>
    <t>C2052</t>
  </si>
  <si>
    <t>198,390.00</t>
  </si>
  <si>
    <t>Vyanjana Dora</t>
  </si>
  <si>
    <t>TXN5288</t>
  </si>
  <si>
    <t>01-Mar-2024</t>
  </si>
  <si>
    <t>C2074</t>
  </si>
  <si>
    <t>Chavvi Patel</t>
  </si>
  <si>
    <t>TXN5011</t>
  </si>
  <si>
    <t>2023-09-19</t>
  </si>
  <si>
    <t>₹186,230.00</t>
  </si>
  <si>
    <t>Hamsini Iyer</t>
  </si>
  <si>
    <t>TXN5051</t>
  </si>
  <si>
    <t>2023-07-25</t>
  </si>
  <si>
    <t>Hemani Parikh</t>
  </si>
  <si>
    <t>TXN5419</t>
  </si>
  <si>
    <t>28/04/2023</t>
  </si>
  <si>
    <t>C2075</t>
  </si>
  <si>
    <t>₹14,800.00</t>
  </si>
  <si>
    <t>Dalaja Mander</t>
  </si>
  <si>
    <t>TXN5083</t>
  </si>
  <si>
    <t>03.01.2025</t>
  </si>
  <si>
    <t>Darpan Vig</t>
  </si>
  <si>
    <t>TXN5545</t>
  </si>
  <si>
    <t>06-Jul-2023</t>
  </si>
  <si>
    <t>C2036</t>
  </si>
  <si>
    <t>105,230.00</t>
  </si>
  <si>
    <t>Diya Ahluwalia</t>
  </si>
  <si>
    <t>TXN5532</t>
  </si>
  <si>
    <t>2025-04-07</t>
  </si>
  <si>
    <t>TXN5635</t>
  </si>
  <si>
    <t>17.01.2025</t>
  </si>
  <si>
    <t>TXN5535</t>
  </si>
  <si>
    <t>2023-10-31</t>
  </si>
  <si>
    <t>Rs. 4,300</t>
  </si>
  <si>
    <t>Rachana Ray</t>
  </si>
  <si>
    <t>TXN5350</t>
  </si>
  <si>
    <t>31.03.2025</t>
  </si>
  <si>
    <t>Harita Mangat</t>
  </si>
  <si>
    <t>TXN5179</t>
  </si>
  <si>
    <t>February 13, 2024</t>
  </si>
  <si>
    <t>C2113</t>
  </si>
  <si>
    <t>P1050</t>
  </si>
  <si>
    <t>Rs. 122,310</t>
  </si>
  <si>
    <t>TXN5597</t>
  </si>
  <si>
    <t>2024-12-29</t>
  </si>
  <si>
    <t>₹174,960.00</t>
  </si>
  <si>
    <t>TXN5494</t>
  </si>
  <si>
    <t>06/19/2024</t>
  </si>
  <si>
    <t>C2139</t>
  </si>
  <si>
    <t>₹167,000.00</t>
  </si>
  <si>
    <t>Rachana Kade</t>
  </si>
  <si>
    <t>TXN5574</t>
  </si>
  <si>
    <t>March 31, 2025</t>
  </si>
  <si>
    <t>103,170.00</t>
  </si>
  <si>
    <t>Lakshmi Ratti</t>
  </si>
  <si>
    <t>TXN5558</t>
  </si>
  <si>
    <t>08.09.2023</t>
  </si>
  <si>
    <t>Rs. 75,500</t>
  </si>
  <si>
    <t>Hritik Solanki</t>
  </si>
  <si>
    <t>TXN5132</t>
  </si>
  <si>
    <t>2024-06-02</t>
  </si>
  <si>
    <t>Charvi Chana</t>
  </si>
  <si>
    <t>TXN5486</t>
  </si>
  <si>
    <t>07/07/2025</t>
  </si>
  <si>
    <t>C2054</t>
  </si>
  <si>
    <t>Anjali Krishna</t>
  </si>
  <si>
    <t>TXN5111</t>
  </si>
  <si>
    <t>August 17, 2023</t>
  </si>
  <si>
    <t>TXN5883</t>
  </si>
  <si>
    <t>19-Mar-2024</t>
  </si>
  <si>
    <t>₹240,510.00</t>
  </si>
  <si>
    <t>Jyoti Bhardwaj</t>
  </si>
  <si>
    <t>TXN5573</t>
  </si>
  <si>
    <t>15.06.2024</t>
  </si>
  <si>
    <t>Daksh Ben</t>
  </si>
  <si>
    <t>TXN5008</t>
  </si>
  <si>
    <t>01/03/2023</t>
  </si>
  <si>
    <t>C2023</t>
  </si>
  <si>
    <t>Jagdish Dhar</t>
  </si>
  <si>
    <t>TXN5090</t>
  </si>
  <si>
    <t>2024-06-19</t>
  </si>
  <si>
    <t>C2007</t>
  </si>
  <si>
    <t>Rs. 168,880</t>
  </si>
  <si>
    <t>Devansh Jani</t>
  </si>
  <si>
    <t>TXN5653</t>
  </si>
  <si>
    <t>07-Aug-2024</t>
  </si>
  <si>
    <t>C2010</t>
  </si>
  <si>
    <t>P1040</t>
  </si>
  <si>
    <t>70,110.00</t>
  </si>
  <si>
    <t>Zilmil Shetty</t>
  </si>
  <si>
    <t>TXN5603</t>
  </si>
  <si>
    <t>June 30, 2023</t>
  </si>
  <si>
    <t>C2071</t>
  </si>
  <si>
    <t>₹30,860.00</t>
  </si>
  <si>
    <t>Chandani Sahota</t>
  </si>
  <si>
    <t>TXN5644</t>
  </si>
  <si>
    <t>25/03/2024</t>
  </si>
  <si>
    <t>Pushti Konda</t>
  </si>
  <si>
    <t>TXN5824</t>
  </si>
  <si>
    <t>July 28, 2025</t>
  </si>
  <si>
    <t>Saksham Doshi</t>
  </si>
  <si>
    <t>TXN5829</t>
  </si>
  <si>
    <t>31.01.2023</t>
  </si>
  <si>
    <t>Oeshi Mani</t>
  </si>
  <si>
    <t>TXN5940</t>
  </si>
  <si>
    <t>07/16/2023</t>
  </si>
  <si>
    <t>C2134</t>
  </si>
  <si>
    <t>Raghav Aggarwal</t>
  </si>
  <si>
    <t>TXN5684</t>
  </si>
  <si>
    <t>12/22/2024</t>
  </si>
  <si>
    <t>Chasmum Maharaj</t>
  </si>
  <si>
    <t>TXN5207</t>
  </si>
  <si>
    <t>2023-01-02</t>
  </si>
  <si>
    <t>Rajata Gala</t>
  </si>
  <si>
    <t>TXN5440</t>
  </si>
  <si>
    <t>21.07.2025</t>
  </si>
  <si>
    <t>₹175,870.00</t>
  </si>
  <si>
    <t>Chatresh Vig</t>
  </si>
  <si>
    <t>TXN5658</t>
  </si>
  <si>
    <t>November 30, 2023</t>
  </si>
  <si>
    <t>Warda Som</t>
  </si>
  <si>
    <t>TXN5873</t>
  </si>
  <si>
    <t>05.12.2023</t>
  </si>
  <si>
    <t>Rs. 177,220</t>
  </si>
  <si>
    <t>TXN5664</t>
  </si>
  <si>
    <t>04-Apr-2024</t>
  </si>
  <si>
    <t>C2059</t>
  </si>
  <si>
    <t>Frado Desai</t>
  </si>
  <si>
    <t>TXN5864</t>
  </si>
  <si>
    <t>2025-02-12</t>
  </si>
  <si>
    <t>C2035</t>
  </si>
  <si>
    <t>Rs. 97,320</t>
  </si>
  <si>
    <t>Bhanumati Prashad</t>
  </si>
  <si>
    <t>TXN5640</t>
  </si>
  <si>
    <t>14-Mar-2023</t>
  </si>
  <si>
    <t>236,860.00</t>
  </si>
  <si>
    <t>Kalpit Gupta</t>
  </si>
  <si>
    <t>TXN5049</t>
  </si>
  <si>
    <t>08/06/2025</t>
  </si>
  <si>
    <t>P1020</t>
  </si>
  <si>
    <t>Ikshita Bala</t>
  </si>
  <si>
    <t>TXN5239</t>
  </si>
  <si>
    <t>August 04, 2023</t>
  </si>
  <si>
    <t>C2089</t>
  </si>
  <si>
    <t>Chanakya Mandal</t>
  </si>
  <si>
    <t>TXN5189</t>
  </si>
  <si>
    <t>09/07/2024</t>
  </si>
  <si>
    <t>216,200.00</t>
  </si>
  <si>
    <t>TXN5483</t>
  </si>
  <si>
    <t>23/02/2023</t>
  </si>
  <si>
    <t>Siya Barman</t>
  </si>
  <si>
    <t>TXN5024</t>
  </si>
  <si>
    <t>13-Feb-2023</t>
  </si>
  <si>
    <t>C2013</t>
  </si>
  <si>
    <t>TXN5889</t>
  </si>
  <si>
    <t>10-Mar-2023</t>
  </si>
  <si>
    <t>C2100</t>
  </si>
  <si>
    <t>TXN5329</t>
  </si>
  <si>
    <t>30/11/2024</t>
  </si>
  <si>
    <t>TXN5328</t>
  </si>
  <si>
    <t>09-Oct-2023</t>
  </si>
  <si>
    <t>C2105</t>
  </si>
  <si>
    <t>Champak Badami</t>
  </si>
  <si>
    <t>TXN5531</t>
  </si>
  <si>
    <t>16/06/2023</t>
  </si>
  <si>
    <t>Zayyan Setty</t>
  </si>
  <si>
    <t>TXN5651</t>
  </si>
  <si>
    <t>April 29, 2025</t>
  </si>
  <si>
    <t>Oliver Trivedi</t>
  </si>
  <si>
    <t>TXN5400</t>
  </si>
  <si>
    <t>2025-07-12</t>
  </si>
  <si>
    <t>C2045</t>
  </si>
  <si>
    <t>Wishi Sampath</t>
  </si>
  <si>
    <t>TXN5317</t>
  </si>
  <si>
    <t>21-Nov-2023</t>
  </si>
  <si>
    <t>₹202,850.00</t>
  </si>
  <si>
    <t>TXN5751</t>
  </si>
  <si>
    <t>19/07/2025</t>
  </si>
  <si>
    <t>Bishakha Bhavsar</t>
  </si>
  <si>
    <t>TXN5120</t>
  </si>
  <si>
    <t>11.01.2025</t>
  </si>
  <si>
    <t>Kavya Chowdhury</t>
  </si>
  <si>
    <t>TXN5325</t>
  </si>
  <si>
    <t>12.10.2023</t>
  </si>
  <si>
    <t>C2142</t>
  </si>
  <si>
    <t>₹196,430.00</t>
  </si>
  <si>
    <t>Chavvi Keer</t>
  </si>
  <si>
    <t>TXN5698</t>
  </si>
  <si>
    <t>03-Jun-2023</t>
  </si>
  <si>
    <t>C2018</t>
  </si>
  <si>
    <t>₹53,020.00</t>
  </si>
  <si>
    <t>Ayushman Prasad</t>
  </si>
  <si>
    <t>TXN5194</t>
  </si>
  <si>
    <t>12/05/2024</t>
  </si>
  <si>
    <t>C2119</t>
  </si>
  <si>
    <t>₹103,600.00</t>
  </si>
  <si>
    <t>Kevin Barman</t>
  </si>
  <si>
    <t>TXN5087</t>
  </si>
  <si>
    <t>September 06, 2024</t>
  </si>
  <si>
    <t>Janya Shere</t>
  </si>
  <si>
    <t>TXN5116</t>
  </si>
  <si>
    <t>2023-08-24</t>
  </si>
  <si>
    <t>C2133</t>
  </si>
  <si>
    <t>Rs. 40,960</t>
  </si>
  <si>
    <t>Pallavi Kamdar</t>
  </si>
  <si>
    <t>TXN5285</t>
  </si>
  <si>
    <t>February 16, 2024</t>
  </si>
  <si>
    <t>C2057</t>
  </si>
  <si>
    <t>Agastya Garg</t>
  </si>
  <si>
    <t>TXN5843</t>
  </si>
  <si>
    <t>08.03.2024</t>
  </si>
  <si>
    <t>Warinder Tripathi</t>
  </si>
  <si>
    <t>TXN5668</t>
  </si>
  <si>
    <t>2025-01-09</t>
  </si>
  <si>
    <t>C2019</t>
  </si>
  <si>
    <t>Yauvani Nayar</t>
  </si>
  <si>
    <t>TXN5898</t>
  </si>
  <si>
    <t>15/12/2024</t>
  </si>
  <si>
    <t>Darika Sabharwal</t>
  </si>
  <si>
    <t>TXN5687</t>
  </si>
  <si>
    <t>15.05.2023</t>
  </si>
  <si>
    <t>Netra Ravi</t>
  </si>
  <si>
    <t>TXN5891</t>
  </si>
  <si>
    <t>04.03.2023</t>
  </si>
  <si>
    <t>TXN5528</t>
  </si>
  <si>
    <t>February 23, 2024</t>
  </si>
  <si>
    <t>Rs. 206,690</t>
  </si>
  <si>
    <t>Anusha Handa</t>
  </si>
  <si>
    <t>TXN5040</t>
  </si>
  <si>
    <t>2023-04-10</t>
  </si>
  <si>
    <t>₹120,500.00</t>
  </si>
  <si>
    <t>Lopa Sura</t>
  </si>
  <si>
    <t>TXN5470</t>
  </si>
  <si>
    <t>2024-06-18</t>
  </si>
  <si>
    <t>C2097</t>
  </si>
  <si>
    <t>120,420.00</t>
  </si>
  <si>
    <t>Warjas Tailor</t>
  </si>
  <si>
    <t>TXN5501</t>
  </si>
  <si>
    <t>29/08/2024</t>
  </si>
  <si>
    <t>Aarnav Soni</t>
  </si>
  <si>
    <t>TXN5815</t>
  </si>
  <si>
    <t>03.01.2024</t>
  </si>
  <si>
    <t>₹113,720.00</t>
  </si>
  <si>
    <t>Parth Nadkarni</t>
  </si>
  <si>
    <t>TXN5260</t>
  </si>
  <si>
    <t>01.04.2023</t>
  </si>
  <si>
    <t>Rs. 141,200</t>
  </si>
  <si>
    <t>Ubika Kapur</t>
  </si>
  <si>
    <t>TXN5178</t>
  </si>
  <si>
    <t>16-Aug-2023</t>
  </si>
  <si>
    <t>₹36,520.00</t>
  </si>
  <si>
    <t>Tara Chada</t>
  </si>
  <si>
    <t>TXN5786</t>
  </si>
  <si>
    <t>15.08.2024</t>
  </si>
  <si>
    <t>Charles Agrawal</t>
  </si>
  <si>
    <t>TXN5680</t>
  </si>
  <si>
    <t>09-Nov-2024</t>
  </si>
  <si>
    <t>C2030</t>
  </si>
  <si>
    <t>166,510.00</t>
  </si>
  <si>
    <t>Balvan Iyer</t>
  </si>
  <si>
    <t>TXN5245</t>
  </si>
  <si>
    <t>23.04.2024</t>
  </si>
  <si>
    <t>C2020</t>
  </si>
  <si>
    <t>Gaurav Bail</t>
  </si>
  <si>
    <t>TXN5196</t>
  </si>
  <si>
    <t>02/12/2024</t>
  </si>
  <si>
    <t>Abha Gara</t>
  </si>
  <si>
    <t>TXN5598</t>
  </si>
  <si>
    <t>30/01/2024</t>
  </si>
  <si>
    <t>Sai Jaggi</t>
  </si>
  <si>
    <t>TXN5321</t>
  </si>
  <si>
    <t>November 18, 2024</t>
  </si>
  <si>
    <t>Rs. 145,900</t>
  </si>
  <si>
    <t>Vasudha Dayal</t>
  </si>
  <si>
    <t>TXN5938</t>
  </si>
  <si>
    <t>14.02.2025</t>
  </si>
  <si>
    <t>Yuvraj Pillay</t>
  </si>
  <si>
    <t>TXN5397</t>
  </si>
  <si>
    <t>12.05.2025</t>
  </si>
  <si>
    <t>Tanish Sehgal</t>
  </si>
  <si>
    <t>TXN5559</t>
  </si>
  <si>
    <t>2024-11-16</t>
  </si>
  <si>
    <t>Rs. 30,840</t>
  </si>
  <si>
    <t>TXN5554</t>
  </si>
  <si>
    <t>September 17, 2024</t>
  </si>
  <si>
    <t>₹27,960.00</t>
  </si>
  <si>
    <t>Dev Chatterjee</t>
  </si>
  <si>
    <t>TXN5679</t>
  </si>
  <si>
    <t>26.03.2025</t>
  </si>
  <si>
    <t>Rs. 76,670</t>
  </si>
  <si>
    <t>Jagat Bora</t>
  </si>
  <si>
    <t>TXN5107</t>
  </si>
  <si>
    <t>04/06/2024</t>
  </si>
  <si>
    <t>C2079</t>
  </si>
  <si>
    <t>Vedika Bahri</t>
  </si>
  <si>
    <t>TXN5066</t>
  </si>
  <si>
    <t>11.04.2024</t>
  </si>
  <si>
    <t>C2135</t>
  </si>
  <si>
    <t>Ojas Mistry</t>
  </si>
  <si>
    <t>TXN5331</t>
  </si>
  <si>
    <t>30/05/2025</t>
  </si>
  <si>
    <t>C2114</t>
  </si>
  <si>
    <t>198,170.00</t>
  </si>
  <si>
    <t>Advika Parikh</t>
  </si>
  <si>
    <t>TXN5075</t>
  </si>
  <si>
    <t>18.06.2025</t>
  </si>
  <si>
    <t>C2024</t>
  </si>
  <si>
    <t>Rachita Zacharia</t>
  </si>
  <si>
    <t>TXN5790</t>
  </si>
  <si>
    <t>03.08.2023</t>
  </si>
  <si>
    <t>Rs. 107,130</t>
  </si>
  <si>
    <t>Ayaan Atwal</t>
  </si>
  <si>
    <t>TXN5764</t>
  </si>
  <si>
    <t>2024-03-28</t>
  </si>
  <si>
    <t>151,180.00</t>
  </si>
  <si>
    <t>Baljiwan Anne</t>
  </si>
  <si>
    <t>TXN5905</t>
  </si>
  <si>
    <t>08/09/2024</t>
  </si>
  <si>
    <t>C2127</t>
  </si>
  <si>
    <t>P1031</t>
  </si>
  <si>
    <t>₹23,110.00</t>
  </si>
  <si>
    <t>Ekaraj Sahni</t>
  </si>
  <si>
    <t>TXN5697</t>
  </si>
  <si>
    <t>15-Sep-2023</t>
  </si>
  <si>
    <t>Shaurya Sarna</t>
  </si>
  <si>
    <t>TXN5799</t>
  </si>
  <si>
    <t>06/10/2024</t>
  </si>
  <si>
    <t>Hitesh Parikh</t>
  </si>
  <si>
    <t>TXN5417</t>
  </si>
  <si>
    <t>2023-06-16</t>
  </si>
  <si>
    <t>₹57,970.00</t>
  </si>
  <si>
    <t>Lucky Sama</t>
  </si>
  <si>
    <t>TXN5355</t>
  </si>
  <si>
    <t>19-Jun-2024</t>
  </si>
  <si>
    <t>Odika Rout</t>
  </si>
  <si>
    <t>TXN5006</t>
  </si>
  <si>
    <t>03-Mar-2023</t>
  </si>
  <si>
    <t>₹176,650.00</t>
  </si>
  <si>
    <t>Agastya Swamy</t>
  </si>
  <si>
    <t>TXN5266</t>
  </si>
  <si>
    <t>10/12/2023</t>
  </si>
  <si>
    <t>Manthan Datta</t>
  </si>
  <si>
    <t>TXN5373</t>
  </si>
  <si>
    <t>29/03/2024</t>
  </si>
  <si>
    <t>Tanay Chander</t>
  </si>
  <si>
    <t>TXN5346</t>
  </si>
  <si>
    <t>13-Apr-2024</t>
  </si>
  <si>
    <t>Rs. 90,000</t>
  </si>
  <si>
    <t>Hardik Dube</t>
  </si>
  <si>
    <t>TXN5236</t>
  </si>
  <si>
    <t>2024-08-09</t>
  </si>
  <si>
    <t>P1052</t>
  </si>
  <si>
    <t>₹123,250.00</t>
  </si>
  <si>
    <t>TXN5269</t>
  </si>
  <si>
    <t>11-Feb-2023</t>
  </si>
  <si>
    <t>Chakradev Varghese</t>
  </si>
  <si>
    <t>TXN5556</t>
  </si>
  <si>
    <t>04/29/2024</t>
  </si>
  <si>
    <t>Varsha Sankaran</t>
  </si>
  <si>
    <t>TXN5806</t>
  </si>
  <si>
    <t>23-Oct-2024</t>
  </si>
  <si>
    <t>₹209,240.00</t>
  </si>
  <si>
    <t>TXN5753</t>
  </si>
  <si>
    <t>07.06.2024</t>
  </si>
  <si>
    <t>39,910.00</t>
  </si>
  <si>
    <t>Wakeeta Sabharwal</t>
  </si>
  <si>
    <t>TXN5463</t>
  </si>
  <si>
    <t>04/12/2025</t>
  </si>
  <si>
    <t>TXN5723</t>
  </si>
  <si>
    <t>2023-02-25</t>
  </si>
  <si>
    <t>C2080</t>
  </si>
  <si>
    <t>Rs. 116,840</t>
  </si>
  <si>
    <t>TXN5761</t>
  </si>
  <si>
    <t>13.02.2024</t>
  </si>
  <si>
    <t>TXN5611</t>
  </si>
  <si>
    <t>01/02/2023</t>
  </si>
  <si>
    <t>C2149</t>
  </si>
  <si>
    <t>₹54,750.00</t>
  </si>
  <si>
    <t>Vasana Narula</t>
  </si>
  <si>
    <t>TXN5745</t>
  </si>
  <si>
    <t>April 24, 2023</t>
  </si>
  <si>
    <t>Zaid Gola</t>
  </si>
  <si>
    <t>TXN5186</t>
  </si>
  <si>
    <t>10/02/2023</t>
  </si>
  <si>
    <t>Rs. 100,780</t>
  </si>
  <si>
    <t>Girish Bhargava</t>
  </si>
  <si>
    <t>TXN5709</t>
  </si>
  <si>
    <t>02/09/2023</t>
  </si>
  <si>
    <t>₹218,240.00</t>
  </si>
  <si>
    <t>Raghav Soman</t>
  </si>
  <si>
    <t>TXN5100</t>
  </si>
  <si>
    <t>03.02.2025</t>
  </si>
  <si>
    <t>P1002</t>
  </si>
  <si>
    <t>₹13,320.00</t>
  </si>
  <si>
    <t>Saksham Dutta</t>
  </si>
  <si>
    <t>TXN5900</t>
  </si>
  <si>
    <t>02/08/2023</t>
  </si>
  <si>
    <t>Amruta Kadakia</t>
  </si>
  <si>
    <t>TXN5869</t>
  </si>
  <si>
    <t>May 14, 2023</t>
  </si>
  <si>
    <t>Nidhi Sagar</t>
  </si>
  <si>
    <t>TXN5219</t>
  </si>
  <si>
    <t>13.07.2025</t>
  </si>
  <si>
    <t>Girik Jani</t>
  </si>
  <si>
    <t>TXN5030</t>
  </si>
  <si>
    <t>29-Jun-2023</t>
  </si>
  <si>
    <t>₹152,010.00</t>
  </si>
  <si>
    <t>TXN5551</t>
  </si>
  <si>
    <t>27/05/2024</t>
  </si>
  <si>
    <t>C2081</t>
  </si>
  <si>
    <t>TXN5074</t>
  </si>
  <si>
    <t>2025-01-26</t>
  </si>
  <si>
    <t>C2025</t>
  </si>
  <si>
    <t>Faraj Mittal</t>
  </si>
  <si>
    <t>TXN5142</t>
  </si>
  <si>
    <t>20/07/2023</t>
  </si>
  <si>
    <t>C2039</t>
  </si>
  <si>
    <t>₹107,690.00</t>
  </si>
  <si>
    <t>Qarin Sawhney</t>
  </si>
  <si>
    <t>TXN5566</t>
  </si>
  <si>
    <t>11-Oct-2024</t>
  </si>
  <si>
    <t>C2150</t>
  </si>
  <si>
    <t>Rs. 187,440</t>
  </si>
  <si>
    <t>TXN5888</t>
  </si>
  <si>
    <t>2025-06-30</t>
  </si>
  <si>
    <t>Yug Edwin</t>
  </si>
  <si>
    <t>TXN5683</t>
  </si>
  <si>
    <t>August 15, 2023</t>
  </si>
  <si>
    <t>C2043</t>
  </si>
  <si>
    <t>TXN5515</t>
  </si>
  <si>
    <t>11.09.2023</t>
  </si>
  <si>
    <t>TXN5014</t>
  </si>
  <si>
    <t>20-Jul-2024</t>
  </si>
  <si>
    <t>142,700.00</t>
  </si>
  <si>
    <t>Mugdha Parekh</t>
  </si>
  <si>
    <t>TXN5850</t>
  </si>
  <si>
    <t>10.12.2023</t>
  </si>
  <si>
    <t>TXN5497</t>
  </si>
  <si>
    <t>14.12.2024</t>
  </si>
  <si>
    <t>Rs. 107,240</t>
  </si>
  <si>
    <t>TXN5197</t>
  </si>
  <si>
    <t>January 09, 2025</t>
  </si>
  <si>
    <t>TXN5411</t>
  </si>
  <si>
    <t>15.04.2023</t>
  </si>
  <si>
    <t>Jai Pingle</t>
  </si>
  <si>
    <t>TXN5309</t>
  </si>
  <si>
    <t>24/05/2024</t>
  </si>
  <si>
    <t>Pahal Mutti</t>
  </si>
  <si>
    <t>TXN5797</t>
  </si>
  <si>
    <t>24/03/2025</t>
  </si>
  <si>
    <t>Rs. 209,500</t>
  </si>
  <si>
    <t>Sarthak Rana</t>
  </si>
  <si>
    <t>TXN5284</t>
  </si>
  <si>
    <t>February 11, 2025</t>
  </si>
  <si>
    <t>Abdul Rana</t>
  </si>
  <si>
    <t>TXN5685</t>
  </si>
  <si>
    <t>07/21/2025</t>
  </si>
  <si>
    <t>₹235,240.00</t>
  </si>
  <si>
    <t>Lakshit Lal</t>
  </si>
  <si>
    <t>TXN5593</t>
  </si>
  <si>
    <t>2023-04-16</t>
  </si>
  <si>
    <t>C2058</t>
  </si>
  <si>
    <t>29,860.00</t>
  </si>
  <si>
    <t>Dayamai Oza</t>
  </si>
  <si>
    <t>TXN5649</t>
  </si>
  <si>
    <t>03/03/2023</t>
  </si>
  <si>
    <t>₹98,630.00</t>
  </si>
  <si>
    <t>Finn Singhal</t>
  </si>
  <si>
    <t>TXN5906</t>
  </si>
  <si>
    <t>07-Nov-2023</t>
  </si>
  <si>
    <t>Rs. 17,170</t>
  </si>
  <si>
    <t>Bhavya Sankar</t>
  </si>
  <si>
    <t>TXN5312</t>
  </si>
  <si>
    <t>2023-02-06</t>
  </si>
  <si>
    <t>₹124,900.00</t>
  </si>
  <si>
    <t>Saumya Sarin</t>
  </si>
  <si>
    <t>TXN5347</t>
  </si>
  <si>
    <t>2024-08-20</t>
  </si>
  <si>
    <t>C2136</t>
  </si>
  <si>
    <t>Rs. 230,420</t>
  </si>
  <si>
    <t>Gaurika Devi</t>
  </si>
  <si>
    <t>TXN5327</t>
  </si>
  <si>
    <t>03/04/2023</t>
  </si>
  <si>
    <t>TXN5672</t>
  </si>
  <si>
    <t>September 23, 2023</t>
  </si>
  <si>
    <t>Rs. 38,690</t>
  </si>
  <si>
    <t>TXN5114</t>
  </si>
  <si>
    <t>September 27, 2023</t>
  </si>
  <si>
    <t>C2141</t>
  </si>
  <si>
    <t>Wazir Das</t>
  </si>
  <si>
    <t>TXN5379</t>
  </si>
  <si>
    <t>30.08.2023</t>
  </si>
  <si>
    <t>TXN5275</t>
  </si>
  <si>
    <t>07/08/2025</t>
  </si>
  <si>
    <t>Maya Bath</t>
  </si>
  <si>
    <t>TXN5003</t>
  </si>
  <si>
    <t>06.09.2024</t>
  </si>
  <si>
    <t>Priya Gulati</t>
  </si>
  <si>
    <t>TXN5278</t>
  </si>
  <si>
    <t>30.03.2024</t>
  </si>
  <si>
    <t>C2006</t>
  </si>
  <si>
    <t>Suhani Sengupta</t>
  </si>
  <si>
    <t>TXN5203</t>
  </si>
  <si>
    <t>02/07/2023</t>
  </si>
  <si>
    <t>Dhriti Basu</t>
  </si>
  <si>
    <t>TXN5131</t>
  </si>
  <si>
    <t>January 13, 2025</t>
  </si>
  <si>
    <t>TXN5118</t>
  </si>
  <si>
    <t>14/06/2023</t>
  </si>
  <si>
    <t>Anvi Sarraf</t>
  </si>
  <si>
    <t>TXN5319</t>
  </si>
  <si>
    <t>02/18/2023</t>
  </si>
  <si>
    <t>Jagvi Sodhi</t>
  </si>
  <si>
    <t>TXN5154</t>
  </si>
  <si>
    <t>08/14/2023</t>
  </si>
  <si>
    <t>TXN5781</t>
  </si>
  <si>
    <t>14-Dec-2023</t>
  </si>
  <si>
    <t>102,760.00</t>
  </si>
  <si>
    <t>TXN5735</t>
  </si>
  <si>
    <t>February 07, 2023</t>
  </si>
  <si>
    <t>₹135,610.00</t>
  </si>
  <si>
    <t>Yadavi Shanker</t>
  </si>
  <si>
    <t>TXN5642</t>
  </si>
  <si>
    <t>23-Feb-2025</t>
  </si>
  <si>
    <t>₹32,430.00</t>
  </si>
  <si>
    <t>Kritika Prasad</t>
  </si>
  <si>
    <t>TXN5543</t>
  </si>
  <si>
    <t>May 28, 2023</t>
  </si>
  <si>
    <t>₹17,740.00</t>
  </si>
  <si>
    <t>TXN5727</t>
  </si>
  <si>
    <t>TXN5349</t>
  </si>
  <si>
    <t>10/05/2024</t>
  </si>
  <si>
    <t>Abeer Korpal</t>
  </si>
  <si>
    <t>TXN5841</t>
  </si>
  <si>
    <t>10/07/2023</t>
  </si>
  <si>
    <t>Lohit Jayaraman</t>
  </si>
  <si>
    <t>TXN5366</t>
  </si>
  <si>
    <t>29/03/2025</t>
  </si>
  <si>
    <t>Rs. 35,760</t>
  </si>
  <si>
    <t>Ati Wable</t>
  </si>
  <si>
    <t>TXN5033</t>
  </si>
  <si>
    <t>21.01.2025</t>
  </si>
  <si>
    <t>Krisha Savant</t>
  </si>
  <si>
    <t>TXN5209</t>
  </si>
  <si>
    <t>10.02.2024</t>
  </si>
  <si>
    <t>C2147</t>
  </si>
  <si>
    <t>TXN5010</t>
  </si>
  <si>
    <t>October 06, 2023</t>
  </si>
  <si>
    <t>Dhruv Patla</t>
  </si>
  <si>
    <t>TXN5305</t>
  </si>
  <si>
    <t>August 20, 2023</t>
  </si>
  <si>
    <t>Rachana Sagar</t>
  </si>
  <si>
    <t>TXN5546</t>
  </si>
  <si>
    <t>February 02, 2023</t>
  </si>
  <si>
    <t>Robert Natt</t>
  </si>
  <si>
    <t>TXN5568</t>
  </si>
  <si>
    <t>28-Feb-2024</t>
  </si>
  <si>
    <t>Rs. 31,890</t>
  </si>
  <si>
    <t>TXN5234</t>
  </si>
  <si>
    <t>07.10.2024</t>
  </si>
  <si>
    <t>Sudiksha Luthra</t>
  </si>
  <si>
    <t>TXN5813</t>
  </si>
  <si>
    <t>19.11.2024</t>
  </si>
  <si>
    <t>Zayan Chandran</t>
  </si>
  <si>
    <t>TXN5149</t>
  </si>
  <si>
    <t>2023-06-09</t>
  </si>
  <si>
    <t>Kiaan Lad</t>
  </si>
  <si>
    <t>TXN5920</t>
  </si>
  <si>
    <t>02-May-2023</t>
  </si>
  <si>
    <t>175,660.00</t>
  </si>
  <si>
    <t>Wahab Sridhar</t>
  </si>
  <si>
    <t>TXN5702</t>
  </si>
  <si>
    <t>26/08/2023</t>
  </si>
  <si>
    <t>TXN5459</t>
  </si>
  <si>
    <t>03/27/2023</t>
  </si>
  <si>
    <t>Daniel Nanda</t>
  </si>
  <si>
    <t>TXN5375</t>
  </si>
  <si>
    <t>04/26/2025</t>
  </si>
  <si>
    <t>Rs. 113,760</t>
  </si>
  <si>
    <t>Ayaan Zacharia</t>
  </si>
  <si>
    <t>TXN5549</t>
  </si>
  <si>
    <t>09/09/2024</t>
  </si>
  <si>
    <t>₹137,230.00</t>
  </si>
  <si>
    <t>TXN5271</t>
  </si>
  <si>
    <t>21-Dec-2024</t>
  </si>
  <si>
    <t>₹118,090.00</t>
  </si>
  <si>
    <t>Girindra Shetty</t>
  </si>
  <si>
    <t>TXN5872</t>
  </si>
  <si>
    <t>08/08/2024</t>
  </si>
  <si>
    <t>Kashvi Rajagopalan</t>
  </si>
  <si>
    <t>TXN5743</t>
  </si>
  <si>
    <t>01.08.2023</t>
  </si>
  <si>
    <t>Mahika Gill</t>
  </si>
  <si>
    <t>TXN5141</t>
  </si>
  <si>
    <t>24-May-2025</t>
  </si>
  <si>
    <t>Sudiksha Bala</t>
  </si>
  <si>
    <t>TXN5930</t>
  </si>
  <si>
    <t>2023-06-15</t>
  </si>
  <si>
    <t>TXN5581</t>
  </si>
  <si>
    <t>July 17, 2023</t>
  </si>
  <si>
    <t>TXN5800</t>
  </si>
  <si>
    <t>03/06/2023</t>
  </si>
  <si>
    <t>TXN5109</t>
  </si>
  <si>
    <t>May 13, 2024</t>
  </si>
  <si>
    <t>₹215,240.00</t>
  </si>
  <si>
    <t>Devansh Ray</t>
  </si>
  <si>
    <t>TXN5536</t>
  </si>
  <si>
    <t>20.08.2023</t>
  </si>
  <si>
    <t>₹45,710.00</t>
  </si>
  <si>
    <t>TXN5854</t>
  </si>
  <si>
    <t>18/08/2023</t>
  </si>
  <si>
    <t>Ridhi Sami</t>
  </si>
  <si>
    <t>TXN5805</t>
  </si>
  <si>
    <t>02.08.2023</t>
  </si>
  <si>
    <t>₹189,770.00</t>
  </si>
  <si>
    <t>Dominic Mallick</t>
  </si>
  <si>
    <t>TXN5834</t>
  </si>
  <si>
    <t>2024-09-29</t>
  </si>
  <si>
    <t>₹234,020.00</t>
  </si>
  <si>
    <t>TXN5529</t>
  </si>
  <si>
    <t>05-Dec-2024</t>
  </si>
  <si>
    <t>C2066</t>
  </si>
  <si>
    <t>58,280.00</t>
  </si>
  <si>
    <t>TXN5879</t>
  </si>
  <si>
    <t>191,800.00</t>
  </si>
  <si>
    <t>TXN5844</t>
  </si>
  <si>
    <t>01/22/2024</t>
  </si>
  <si>
    <t>C2049</t>
  </si>
  <si>
    <t>TXN5773</t>
  </si>
  <si>
    <t>2023-04-20</t>
  </si>
  <si>
    <t>Andrew Chaudhry</t>
  </si>
  <si>
    <t>TXN5795</t>
  </si>
  <si>
    <t>26.03.2023</t>
  </si>
  <si>
    <t>₹222,180.00</t>
  </si>
  <si>
    <t>Chaitanya Sagar</t>
  </si>
  <si>
    <t>TXN5185</t>
  </si>
  <si>
    <t>25-Aug-2023</t>
  </si>
  <si>
    <t>Pallavi Kunda</t>
  </si>
  <si>
    <t>TXN5563</t>
  </si>
  <si>
    <t>TXN5462</t>
  </si>
  <si>
    <t>19.09.2023</t>
  </si>
  <si>
    <t>TXN5214</t>
  </si>
  <si>
    <t>07/14/2023</t>
  </si>
  <si>
    <t>C2125</t>
  </si>
  <si>
    <t>Jack Talwar</t>
  </si>
  <si>
    <t>TXN5862</t>
  </si>
  <si>
    <t>November 20, 2023</t>
  </si>
  <si>
    <t>C2116</t>
  </si>
  <si>
    <t>₹75,280.00</t>
  </si>
  <si>
    <t>Parth Kurian</t>
  </si>
  <si>
    <t>TXN5660</t>
  </si>
  <si>
    <t>Theodore Jain</t>
  </si>
  <si>
    <t>TXN5143</t>
  </si>
  <si>
    <t>2024-02-12</t>
  </si>
  <si>
    <t>Aarush Rattan</t>
  </si>
  <si>
    <t>TXN5254</t>
  </si>
  <si>
    <t>25-May-2023</t>
  </si>
  <si>
    <t>C2005</t>
  </si>
  <si>
    <t>₹176,520.00</t>
  </si>
  <si>
    <t>Gopal Pillai</t>
  </si>
  <si>
    <t>TXN5707</t>
  </si>
  <si>
    <t>January 06, 2023</t>
  </si>
  <si>
    <t>Mahika Raj</t>
  </si>
  <si>
    <t>TXN5263</t>
  </si>
  <si>
    <t>30-Jan-2023</t>
  </si>
  <si>
    <t>Warhi Vyas</t>
  </si>
  <si>
    <t>TXN5633</t>
  </si>
  <si>
    <t>16-Dec-2024</t>
  </si>
  <si>
    <t>Tanmayi Khatri</t>
  </si>
  <si>
    <t>TXN5072</t>
  </si>
  <si>
    <t>2025-07-17</t>
  </si>
  <si>
    <t>Anjali Bhavsar</t>
  </si>
  <si>
    <t>TXN5791</t>
  </si>
  <si>
    <t>16/03/2025</t>
  </si>
  <si>
    <t>TXN5390</t>
  </si>
  <si>
    <t>06/24/2024</t>
  </si>
  <si>
    <t>Zinal Kota</t>
  </si>
  <si>
    <t>TXN5794</t>
  </si>
  <si>
    <t>04/25/2024</t>
  </si>
  <si>
    <t>TXN5514</t>
  </si>
  <si>
    <t>16-Oct-2023</t>
  </si>
  <si>
    <t>Sai Andra</t>
  </si>
  <si>
    <t>TXN5749</t>
  </si>
  <si>
    <t>January 30, 2025</t>
  </si>
  <si>
    <t>TXN5925</t>
  </si>
  <si>
    <t>September 17, 2023</t>
  </si>
  <si>
    <t>225,960.00</t>
  </si>
  <si>
    <t>Vedika Solanki</t>
  </si>
  <si>
    <t>TXN5129</t>
  </si>
  <si>
    <t>26.07.2023</t>
  </si>
  <si>
    <t>TXN5467</t>
  </si>
  <si>
    <t>06/30/2023</t>
  </si>
  <si>
    <t>C2048</t>
  </si>
  <si>
    <t>TXN5004</t>
  </si>
  <si>
    <t>13/03/2025</t>
  </si>
  <si>
    <t>Vamakshi Pillai</t>
  </si>
  <si>
    <t>TXN5836</t>
  </si>
  <si>
    <t>03-Sep-2023</t>
  </si>
  <si>
    <t>Ekanta Goswami</t>
  </si>
  <si>
    <t>TXN5291</t>
  </si>
  <si>
    <t>2023-01-28</t>
  </si>
  <si>
    <t>Isaac Babu</t>
  </si>
  <si>
    <t>TXN5880</t>
  </si>
  <si>
    <t>20-Jun-2025</t>
  </si>
  <si>
    <t>C2084</t>
  </si>
  <si>
    <t>Nicholas Hari</t>
  </si>
  <si>
    <t>TXN5681</t>
  </si>
  <si>
    <t>07-Sep-2024</t>
  </si>
  <si>
    <t>C2061</t>
  </si>
  <si>
    <t>Ronith Narayan</t>
  </si>
  <si>
    <t>TXN5217</t>
  </si>
  <si>
    <t>07/10/2023</t>
  </si>
  <si>
    <t>P1018</t>
  </si>
  <si>
    <t>Manbir Dasgupta</t>
  </si>
  <si>
    <t>TXN5402</t>
  </si>
  <si>
    <t>2024-03-31</t>
  </si>
  <si>
    <t>Maanas Tiwari</t>
  </si>
  <si>
    <t>TXN5645</t>
  </si>
  <si>
    <t>2024-11-03</t>
  </si>
  <si>
    <t>Ranbir Wason</t>
  </si>
  <si>
    <t>TXN5231</t>
  </si>
  <si>
    <t>05-Apr-2025</t>
  </si>
  <si>
    <t>TXN5767</t>
  </si>
  <si>
    <t>November 23, 2023</t>
  </si>
  <si>
    <t>C2122</t>
  </si>
  <si>
    <t>Ucchal Sundaram</t>
  </si>
  <si>
    <t>TXN5717</t>
  </si>
  <si>
    <t>05/08/2024</t>
  </si>
  <si>
    <t>Avi Grover</t>
  </si>
  <si>
    <t>TXN5338</t>
  </si>
  <si>
    <t>14-May-2023</t>
  </si>
  <si>
    <t>Rs. 182,770</t>
  </si>
  <si>
    <t>Amara Dora</t>
  </si>
  <si>
    <t>TXN5837</t>
  </si>
  <si>
    <t>July 30, 2024</t>
  </si>
  <si>
    <t>C2138</t>
  </si>
  <si>
    <t>₹73,510.00</t>
  </si>
  <si>
    <t>Abeer Bhattacharyya</t>
  </si>
  <si>
    <t>TXN5427</t>
  </si>
  <si>
    <t>C2121</t>
  </si>
  <si>
    <t>Eshana Chakraborty</t>
  </si>
  <si>
    <t>TXN5617</t>
  </si>
  <si>
    <t>2025-07-14</t>
  </si>
  <si>
    <t>TXN5607</t>
  </si>
  <si>
    <t>14.01.2023</t>
  </si>
  <si>
    <t>47,670.00</t>
  </si>
  <si>
    <t>Aarush Kapoor</t>
  </si>
  <si>
    <t>TXN5734</t>
  </si>
  <si>
    <t>2025-02-24</t>
  </si>
  <si>
    <t>₹91,790.00</t>
  </si>
  <si>
    <t>TXN5939</t>
  </si>
  <si>
    <t>10/05/2023</t>
  </si>
  <si>
    <t>232,000.00</t>
  </si>
  <si>
    <t>Vaishnavi Varma</t>
  </si>
  <si>
    <t>TXN5655</t>
  </si>
  <si>
    <t>03/23/2023</t>
  </si>
  <si>
    <t>Ekanta Prakash</t>
  </si>
  <si>
    <t>TXN5913</t>
  </si>
  <si>
    <t>June 28, 2023</t>
  </si>
  <si>
    <t>₹192,760.00</t>
  </si>
  <si>
    <t>Rehaan Lad</t>
  </si>
  <si>
    <t>TXN5177</t>
  </si>
  <si>
    <t>2024-06-20</t>
  </si>
  <si>
    <t>Rs. 127,590</t>
  </si>
  <si>
    <t>Shravya Kothari</t>
  </si>
  <si>
    <t>TXN5455</t>
  </si>
  <si>
    <t>Bhavika Dhawan</t>
  </si>
  <si>
    <t>TXN5452</t>
  </si>
  <si>
    <t>Arjun Wable</t>
  </si>
  <si>
    <t>TXN5433</t>
  </si>
  <si>
    <t>14/12/2023</t>
  </si>
  <si>
    <t>₹84,220.00</t>
  </si>
  <si>
    <t>Noah Bakshi</t>
  </si>
  <si>
    <t>TXN5187</t>
  </si>
  <si>
    <t>August 30, 2023</t>
  </si>
  <si>
    <t>TXN5821</t>
  </si>
  <si>
    <t>21/05/2024</t>
  </si>
  <si>
    <t>Rs. 163,380</t>
  </si>
  <si>
    <t>Fariq Bhasin</t>
  </si>
  <si>
    <t>TXN5336</t>
  </si>
  <si>
    <t>07/23/2023</t>
  </si>
  <si>
    <t>C2044</t>
  </si>
  <si>
    <t>₹151,700.00</t>
  </si>
  <si>
    <t>Udarsh Sur</t>
  </si>
  <si>
    <t>TXN5548</t>
  </si>
  <si>
    <t>24-Apr-2024</t>
  </si>
  <si>
    <t>TXN5401</t>
  </si>
  <si>
    <t>28-Dec-2023</t>
  </si>
  <si>
    <t>Vrishti Saha</t>
  </si>
  <si>
    <t>TXN5674</t>
  </si>
  <si>
    <t>05/20/2024</t>
  </si>
  <si>
    <t>₹183,980.00</t>
  </si>
  <si>
    <t>TXN5155</t>
  </si>
  <si>
    <t>24.04.2023</t>
  </si>
  <si>
    <t>TXN5724</t>
  </si>
  <si>
    <t>24/03/2023</t>
  </si>
  <si>
    <t>Rs. 26,180</t>
  </si>
  <si>
    <t>TXN5818</t>
  </si>
  <si>
    <t>12/26/2023</t>
  </si>
  <si>
    <t>239,990.00</t>
  </si>
  <si>
    <t>Yahvi Arya</t>
  </si>
  <si>
    <t>TXN5344</t>
  </si>
  <si>
    <t>07/13/2025</t>
  </si>
  <si>
    <t>223,600.00</t>
  </si>
  <si>
    <t>TXN5652</t>
  </si>
  <si>
    <t>16-Jun-2023</t>
  </si>
  <si>
    <t>227,300.00</t>
  </si>
  <si>
    <t>Yashodhara Prasad</t>
  </si>
  <si>
    <t>TXN5492</t>
  </si>
  <si>
    <t>04/02/2024</t>
  </si>
  <si>
    <t>₹164,550.00</t>
  </si>
  <si>
    <t>TXN5063</t>
  </si>
  <si>
    <t>18/02/2025</t>
  </si>
  <si>
    <t>Ekantika Chaudhari</t>
  </si>
  <si>
    <t>TXN5755</t>
  </si>
  <si>
    <t>02/14/2025</t>
  </si>
  <si>
    <t>Yamini Nanda</t>
  </si>
  <si>
    <t>TXN5223</t>
  </si>
  <si>
    <t>2025-03-26</t>
  </si>
  <si>
    <t>TXN5247</t>
  </si>
  <si>
    <t>07-Jul-2024</t>
  </si>
  <si>
    <t>C2056</t>
  </si>
  <si>
    <t>₹179,990.00</t>
  </si>
  <si>
    <t>Nicholas Rama</t>
  </si>
  <si>
    <t>TXN5368</t>
  </si>
  <si>
    <t>24/09/2024</t>
  </si>
  <si>
    <t>67,420.00</t>
  </si>
  <si>
    <t>Netra Sehgal</t>
  </si>
  <si>
    <t>TXN5123</t>
  </si>
  <si>
    <t>23/02/2025</t>
  </si>
  <si>
    <t>Vaishnavi Pillai</t>
  </si>
  <si>
    <t>TXN5297</t>
  </si>
  <si>
    <t>2025-07-27</t>
  </si>
  <si>
    <t>121,960.00</t>
  </si>
  <si>
    <t>Pahal Bains</t>
  </si>
  <si>
    <t>TXN5164</t>
  </si>
  <si>
    <t>19-Jan-2025</t>
  </si>
  <si>
    <t>Sudiksha Talwar</t>
  </si>
  <si>
    <t>TXN5775</t>
  </si>
  <si>
    <t>2025-02-06</t>
  </si>
  <si>
    <t>Chaitaly Dash</t>
  </si>
  <si>
    <t>TXN5737</t>
  </si>
  <si>
    <t>12.12.2023</t>
  </si>
  <si>
    <t>Sanaya Bhatt</t>
  </si>
  <si>
    <t>TXN5145</t>
  </si>
  <si>
    <t>29.11.2023</t>
  </si>
  <si>
    <t>97,740.00</t>
  </si>
  <si>
    <t>Indrajit Dugar</t>
  </si>
  <si>
    <t>TXN5630</t>
  </si>
  <si>
    <t>12.09.2024</t>
  </si>
  <si>
    <t>TXN5371</t>
  </si>
  <si>
    <t>2025-02-26</t>
  </si>
  <si>
    <t>Rs. 74,540</t>
  </si>
  <si>
    <t>Balhaar Yogi</t>
  </si>
  <si>
    <t>TXN5431</t>
  </si>
  <si>
    <t>10.01.2025</t>
  </si>
  <si>
    <t>Harinakshi Zachariah</t>
  </si>
  <si>
    <t>TXN5065</t>
  </si>
  <si>
    <t>12/09/2023</t>
  </si>
  <si>
    <t>Watika Thakkar</t>
  </si>
  <si>
    <t>TXN5230</t>
  </si>
  <si>
    <t>06/07/2023</t>
  </si>
  <si>
    <t>₹163,500.00</t>
  </si>
  <si>
    <t>TXN5634</t>
  </si>
  <si>
    <t>08/04/2025</t>
  </si>
  <si>
    <t>TXN5769</t>
  </si>
  <si>
    <t>16-Jul-2023</t>
  </si>
  <si>
    <t>Ekansh Butala</t>
  </si>
  <si>
    <t>TXN5061</t>
  </si>
  <si>
    <t>2024-05-27</t>
  </si>
  <si>
    <t>Edhitha Purohit</t>
  </si>
  <si>
    <t>TXN5848</t>
  </si>
  <si>
    <t>24.03.2024</t>
  </si>
  <si>
    <t>C2037</t>
  </si>
  <si>
    <t>Chavvi Mangal</t>
  </si>
  <si>
    <t>TXN5031</t>
  </si>
  <si>
    <t>07/01/2023</t>
  </si>
  <si>
    <t>Leela Sengupta</t>
  </si>
  <si>
    <t>TXN5041</t>
  </si>
  <si>
    <t>October 19, 2024</t>
  </si>
  <si>
    <t>Vritti Zacharia</t>
  </si>
  <si>
    <t>TXN5019</t>
  </si>
  <si>
    <t>06/10/2023</t>
  </si>
  <si>
    <t>Ayushman Chaudhary</t>
  </si>
  <si>
    <t>TXN5677</t>
  </si>
  <si>
    <t>15/05/2023</t>
  </si>
  <si>
    <t>Yachana Varghese</t>
  </si>
  <si>
    <t>TXN5667</t>
  </si>
  <si>
    <t>26-Jun-2024</t>
  </si>
  <si>
    <t>C2110</t>
  </si>
  <si>
    <t>Rs. 175,440</t>
  </si>
  <si>
    <t>Victor Barman</t>
  </si>
  <si>
    <t>TXN5498</t>
  </si>
  <si>
    <t>2024-06-28</t>
  </si>
  <si>
    <t>TXN5436</t>
  </si>
  <si>
    <t>13-Mar-2023</t>
  </si>
  <si>
    <t>TXN5124</t>
  </si>
  <si>
    <t>Ansh Banerjee</t>
  </si>
  <si>
    <t>TXN5108</t>
  </si>
  <si>
    <t>18-Oct-2024</t>
  </si>
  <si>
    <t>171,180.00</t>
  </si>
  <si>
    <t>Fiyaz Murthy</t>
  </si>
  <si>
    <t>TXN5509</t>
  </si>
  <si>
    <t>2023-07-22</t>
  </si>
  <si>
    <t>TXN5693</t>
  </si>
  <si>
    <t>C2146</t>
  </si>
  <si>
    <t>Rs. 69,960</t>
  </si>
  <si>
    <t>Zaitra Sidhu</t>
  </si>
  <si>
    <t>TXN5465</t>
  </si>
  <si>
    <t>08/23/2024</t>
  </si>
  <si>
    <t>Aarna Prashad</t>
  </si>
  <si>
    <t>TXN5121</t>
  </si>
  <si>
    <t>2024-09-12</t>
  </si>
  <si>
    <t>Pallavi Soman</t>
  </si>
  <si>
    <t>TXN5215</t>
  </si>
  <si>
    <t>December 31, 2024</t>
  </si>
  <si>
    <t>Riya Parikh</t>
  </si>
  <si>
    <t>TXN5206</t>
  </si>
  <si>
    <t>June 22, 2024</t>
  </si>
  <si>
    <t>Aishani Varughese</t>
  </si>
  <si>
    <t>TXN5922</t>
  </si>
  <si>
    <t>Amaira Amble</t>
  </si>
  <si>
    <t>TXN5575</t>
  </si>
  <si>
    <t>October 08, 2024</t>
  </si>
  <si>
    <t>Rs. 237,380</t>
  </si>
  <si>
    <t>TXN5712</t>
  </si>
  <si>
    <t>October 10, 2023</t>
  </si>
  <si>
    <t>Girik Garg</t>
  </si>
  <si>
    <t>TXN5550</t>
  </si>
  <si>
    <t>March 29, 2023</t>
  </si>
  <si>
    <t>₹15,820.00</t>
  </si>
  <si>
    <t>Falan Krish</t>
  </si>
  <si>
    <t>TXN5261</t>
  </si>
  <si>
    <t>06/11/2024</t>
  </si>
  <si>
    <t>TXN5812</t>
  </si>
  <si>
    <t>May 07, 2025</t>
  </si>
  <si>
    <t>TXN5569</t>
  </si>
  <si>
    <t>15.05.2025</t>
  </si>
  <si>
    <t>Dhruv Datta</t>
  </si>
  <si>
    <t>TXN5560</t>
  </si>
  <si>
    <t>Harini Bhagat</t>
  </si>
  <si>
    <t>TXN5243</t>
  </si>
  <si>
    <t>April 11, 2023</t>
  </si>
  <si>
    <t>57,980.00</t>
  </si>
  <si>
    <t>Pranav Khatri</t>
  </si>
  <si>
    <t>TXN5643</t>
  </si>
  <si>
    <t>2025-07-29</t>
  </si>
  <si>
    <t>P1015</t>
  </si>
  <si>
    <t>TXN5541</t>
  </si>
  <si>
    <t>16-Jul-2024</t>
  </si>
  <si>
    <t>TXN5341</t>
  </si>
  <si>
    <t>04/27/2024</t>
  </si>
  <si>
    <t>Benjamin Tripathi</t>
  </si>
  <si>
    <t>TXN5174</t>
  </si>
  <si>
    <t>01.03.2025</t>
  </si>
  <si>
    <t>TXN5819</t>
  </si>
  <si>
    <t>February 12, 2024</t>
  </si>
  <si>
    <t>Ansh Dash</t>
  </si>
  <si>
    <t>TXN5825</t>
  </si>
  <si>
    <t>2024-08-11</t>
  </si>
  <si>
    <t>₹149,400.00</t>
  </si>
  <si>
    <t>TXN5439</t>
  </si>
  <si>
    <t>21-Jun-2025</t>
  </si>
  <si>
    <t>TXN5353</t>
  </si>
  <si>
    <t>Max Wagle</t>
  </si>
  <si>
    <t>TXN5115</t>
  </si>
  <si>
    <t>12-Jun-2024</t>
  </si>
  <si>
    <t>Forum Ramakrishnan</t>
  </si>
  <si>
    <t>TXN5890</t>
  </si>
  <si>
    <t>April 24, 2025</t>
  </si>
  <si>
    <t>TXN5552</t>
  </si>
  <si>
    <t>26-Mar-2025</t>
  </si>
  <si>
    <t>Nitesh Narayan</t>
  </si>
  <si>
    <t>TXN5784</t>
  </si>
  <si>
    <t>03/10/2024</t>
  </si>
  <si>
    <t>Riya Batta</t>
  </si>
  <si>
    <t>TXN5557</t>
  </si>
  <si>
    <t>03/27/2024</t>
  </si>
  <si>
    <t>Gaurika Krishna</t>
  </si>
  <si>
    <t>TXN5473</t>
  </si>
  <si>
    <t>07/11/2024</t>
  </si>
  <si>
    <t>C2001</t>
  </si>
  <si>
    <t>TXN5942</t>
  </si>
  <si>
    <t>10/10/2024</t>
  </si>
  <si>
    <t>Eshana Sawhney</t>
  </si>
  <si>
    <t>TXN5947</t>
  </si>
  <si>
    <t>September 10, 2024</t>
  </si>
  <si>
    <t>C2069</t>
  </si>
  <si>
    <t>Ijaya Sangha</t>
  </si>
  <si>
    <t>TXN5081</t>
  </si>
  <si>
    <t>27-May-2025</t>
  </si>
  <si>
    <t>₹187,330.00</t>
  </si>
  <si>
    <t>Xalak Kala</t>
  </si>
  <si>
    <t>TXN5692</t>
  </si>
  <si>
    <t>27/03/2023</t>
  </si>
  <si>
    <t>Shaurya Som</t>
  </si>
  <si>
    <t>TXN5610</t>
  </si>
  <si>
    <t>04/27/2025</t>
  </si>
  <si>
    <t>TXN5916</t>
  </si>
  <si>
    <t>May 28, 2024</t>
  </si>
  <si>
    <t>Krishna Dash</t>
  </si>
  <si>
    <t>TXN5034</t>
  </si>
  <si>
    <t>18/09/2024</t>
  </si>
  <si>
    <t>₹85,470.00</t>
  </si>
  <si>
    <t>TXN5071</t>
  </si>
  <si>
    <t>02.01.2024</t>
  </si>
  <si>
    <t>George Chandran</t>
  </si>
  <si>
    <t>TXN5726</t>
  </si>
  <si>
    <t>17-May-2023</t>
  </si>
  <si>
    <t>Mahika Dugar</t>
  </si>
  <si>
    <t>TXN5314</t>
  </si>
  <si>
    <t>2023-03-04</t>
  </si>
  <si>
    <t>Upasna Padmanabhan</t>
  </si>
  <si>
    <t>TXN5691</t>
  </si>
  <si>
    <t>May 03, 2024</t>
  </si>
  <si>
    <t>Mitali Kari</t>
  </si>
  <si>
    <t>TXN5037</t>
  </si>
  <si>
    <t>2025-05-16</t>
  </si>
  <si>
    <t>₹238,110.00</t>
  </si>
  <si>
    <t>TXN5270</t>
  </si>
  <si>
    <t>13.01.2023</t>
  </si>
  <si>
    <t>Rs. 92,170</t>
  </si>
  <si>
    <t>Yashvi Sandal</t>
  </si>
  <si>
    <t>TXN5606</t>
  </si>
  <si>
    <t>18.07.2025</t>
  </si>
  <si>
    <t>Brijesh Tandon</t>
  </si>
  <si>
    <t>TXN5524</t>
  </si>
  <si>
    <t>12-Feb-2024</t>
  </si>
  <si>
    <t>Arunima Tella</t>
  </si>
  <si>
    <t>TXN5777</t>
  </si>
  <si>
    <t>04/02/2025</t>
  </si>
  <si>
    <t>117,360.00</t>
  </si>
  <si>
    <t>TXN5508</t>
  </si>
  <si>
    <t>2023-12-31</t>
  </si>
  <si>
    <t>30,360.00</t>
  </si>
  <si>
    <t>TXN5608</t>
  </si>
  <si>
    <t>TXN5056</t>
  </si>
  <si>
    <t>August 31, 2024</t>
  </si>
  <si>
    <t>Anmol Yohannan</t>
  </si>
  <si>
    <t>TXN5570</t>
  </si>
  <si>
    <t>23.05.2024</t>
  </si>
  <si>
    <t>Riya Bhakta</t>
  </si>
  <si>
    <t>TXN5422</t>
  </si>
  <si>
    <t>14/05/2023</t>
  </si>
  <si>
    <t>Chaitanya Sahni</t>
  </si>
  <si>
    <t>TXN5902</t>
  </si>
  <si>
    <t>12/01/2023</t>
  </si>
  <si>
    <t>TXN5088</t>
  </si>
  <si>
    <t>08/04/2024</t>
  </si>
  <si>
    <t>Wridesh Dora</t>
  </si>
  <si>
    <t>TXN5754</t>
  </si>
  <si>
    <t>11/03/2024</t>
  </si>
  <si>
    <t>₹55,680.00</t>
  </si>
  <si>
    <t>Jyoti Bose</t>
  </si>
  <si>
    <t>TXN5099</t>
  </si>
  <si>
    <t>March 02, 2025</t>
  </si>
  <si>
    <t>Rajata Sami</t>
  </si>
  <si>
    <t>TXN5421</t>
  </si>
  <si>
    <t>13/12/2023</t>
  </si>
  <si>
    <t>Jason Palla</t>
  </si>
  <si>
    <t>TXN5596</t>
  </si>
  <si>
    <t>June 18, 2024</t>
  </si>
  <si>
    <t>244,180.00</t>
  </si>
  <si>
    <t>Pahal Padmanabhan</t>
  </si>
  <si>
    <t>TXN5315</t>
  </si>
  <si>
    <t>03/14/2024</t>
  </si>
  <si>
    <t>Rs. 166,670</t>
  </si>
  <si>
    <t>TXN5468</t>
  </si>
  <si>
    <t>06/02/2025</t>
  </si>
  <si>
    <t>TXN5756</t>
  </si>
  <si>
    <t>27/01/2023</t>
  </si>
  <si>
    <t>Shravya Gala</t>
  </si>
  <si>
    <t>TXN5299</t>
  </si>
  <si>
    <t>11.03.2024</t>
  </si>
  <si>
    <t>₹190,300.00</t>
  </si>
  <si>
    <t>Vedhika Sinha</t>
  </si>
  <si>
    <t>TXN5020</t>
  </si>
  <si>
    <t>18-Nov-2023</t>
  </si>
  <si>
    <t>Ekansh Tara</t>
  </si>
  <si>
    <t>TXN5521</t>
  </si>
  <si>
    <t>23.07.2025</t>
  </si>
  <si>
    <t>Waida Kadakia</t>
  </si>
  <si>
    <t>TXN5833</t>
  </si>
  <si>
    <t>08/12/2023</t>
  </si>
  <si>
    <t>Xavier Jha</t>
  </si>
  <si>
    <t>TXN5159</t>
  </si>
  <si>
    <t>2025-01-22</t>
  </si>
  <si>
    <t>TXN5458</t>
  </si>
  <si>
    <t>TXN5085</t>
  </si>
  <si>
    <t>22-May-2025</t>
  </si>
  <si>
    <t>TXN5895</t>
  </si>
  <si>
    <t>February 13, 2025</t>
  </si>
  <si>
    <t>TXN5045</t>
  </si>
  <si>
    <t>TXN5293</t>
  </si>
  <si>
    <t>2024-08-12</t>
  </si>
  <si>
    <t>TXN5932</t>
  </si>
  <si>
    <t>01/10/2023</t>
  </si>
  <si>
    <t>Rs. 201,100</t>
  </si>
  <si>
    <t>TXN5183</t>
  </si>
  <si>
    <t>04/07/2024</t>
  </si>
  <si>
    <t>TXN5682</t>
  </si>
  <si>
    <t>26-Feb-2024</t>
  </si>
  <si>
    <t>228,440.00</t>
  </si>
  <si>
    <t>TXN5424</t>
  </si>
  <si>
    <t>June 21, 2023</t>
  </si>
  <si>
    <t>Rs. 131,650</t>
  </si>
  <si>
    <t>Krishna Soman</t>
  </si>
  <si>
    <t>TXN5710</t>
  </si>
  <si>
    <t>2023-11-18</t>
  </si>
  <si>
    <t>Falguni Seth</t>
  </si>
  <si>
    <t>TXN5352</t>
  </si>
  <si>
    <t>01/23/2025</t>
  </si>
  <si>
    <t>Oeshi Patel</t>
  </si>
  <si>
    <t>TXN5348</t>
  </si>
  <si>
    <t>19.10.2023</t>
  </si>
  <si>
    <t>Rs. 209,900</t>
  </si>
  <si>
    <t>Saksham Sarna</t>
  </si>
  <si>
    <t>TXN5188</t>
  </si>
  <si>
    <t>07.02.2024</t>
  </si>
  <si>
    <t>Gaurangi Keer</t>
  </si>
  <si>
    <t>TXN5432</t>
  </si>
  <si>
    <t>03-Aug-2023</t>
  </si>
  <si>
    <t>Saanvi Mall</t>
  </si>
  <si>
    <t>TXN5659</t>
  </si>
  <si>
    <t>22.02.2024</t>
  </si>
  <si>
    <t>₹43,440.00</t>
  </si>
  <si>
    <t>Nandini Bansal</t>
  </si>
  <si>
    <t>TXN5626</t>
  </si>
  <si>
    <t>2024-11-14</t>
  </si>
  <si>
    <t>Rohan Bains</t>
  </si>
  <si>
    <t>TXN5910</t>
  </si>
  <si>
    <t>January 14, 2023</t>
  </si>
  <si>
    <t>Shravya Kala</t>
  </si>
  <si>
    <t>TXN5091</t>
  </si>
  <si>
    <t>2025-05-09</t>
  </si>
  <si>
    <t>₹204,250.00</t>
  </si>
  <si>
    <t>Amara Mangat</t>
  </si>
  <si>
    <t>TXN5523</t>
  </si>
  <si>
    <t>March 05, 2024</t>
  </si>
  <si>
    <t>Rohan Randhawa</t>
  </si>
  <si>
    <t>TXN5002</t>
  </si>
  <si>
    <t>2023-03-30</t>
  </si>
  <si>
    <t>Upkaar Reddy</t>
  </si>
  <si>
    <t>TXN5027</t>
  </si>
  <si>
    <t>July 23, 2025</t>
  </si>
  <si>
    <t>48,230.00</t>
  </si>
  <si>
    <t>Widisha Swaminathan</t>
  </si>
  <si>
    <t>TXN5078</t>
  </si>
  <si>
    <t>22.12.2024</t>
  </si>
  <si>
    <t>TXN5332</t>
  </si>
  <si>
    <t>04-Jan-2025</t>
  </si>
  <si>
    <t>Owen Thakur</t>
  </si>
  <si>
    <t>TXN5358</t>
  </si>
  <si>
    <t>19-Apr-2023</t>
  </si>
  <si>
    <t>Rs. 32,700</t>
  </si>
  <si>
    <t>Zansi Boase</t>
  </si>
  <si>
    <t>TXN5647</t>
  </si>
  <si>
    <t>2023-10-14</t>
  </si>
  <si>
    <t>Chatresh Mammen</t>
  </si>
  <si>
    <t>TXN5407</t>
  </si>
  <si>
    <t>2023-11-20</t>
  </si>
  <si>
    <t>TXN5479</t>
  </si>
  <si>
    <t>2025-02-01</t>
  </si>
  <si>
    <t>Jeremiah Modi</t>
  </si>
  <si>
    <t>TXN5048</t>
  </si>
  <si>
    <t>20.02.2023</t>
  </si>
  <si>
    <t>Chakradev Dave</t>
  </si>
  <si>
    <t>TXN5648</t>
  </si>
  <si>
    <t>₹126,730.00</t>
  </si>
  <si>
    <t>Yashoda Suresh</t>
  </si>
  <si>
    <t>TXN5253</t>
  </si>
  <si>
    <t>TXN5627</t>
  </si>
  <si>
    <t>01/29/2023</t>
  </si>
  <si>
    <t>₹146,810.00</t>
  </si>
  <si>
    <t>Adweta Chaudhuri</t>
  </si>
  <si>
    <t>TXN5657</t>
  </si>
  <si>
    <t>01/01/2025</t>
  </si>
  <si>
    <t>151,740.00</t>
  </si>
  <si>
    <t>TXN5077</t>
  </si>
  <si>
    <t>2024-09-18</t>
  </si>
  <si>
    <t>Zayan Varma</t>
  </si>
  <si>
    <t>TXN5005</t>
  </si>
  <si>
    <t>05-Aug-2024</t>
  </si>
  <si>
    <t>TXN5871</t>
  </si>
  <si>
    <t>27-Mar-2023</t>
  </si>
  <si>
    <t>₹9,660.00</t>
  </si>
  <si>
    <t>TXN5408</t>
  </si>
  <si>
    <t>12/04/2023</t>
  </si>
  <si>
    <t>TXN5894</t>
  </si>
  <si>
    <t>13/01/2024</t>
  </si>
  <si>
    <t>TXN5505</t>
  </si>
  <si>
    <t>26.01.2025</t>
  </si>
  <si>
    <t>Faras Yohannan</t>
  </si>
  <si>
    <t>TXN5855</t>
  </si>
  <si>
    <t>2023-05-28</t>
  </si>
  <si>
    <t>Nachiket Subramaniam</t>
  </si>
  <si>
    <t>TXN5612</t>
  </si>
  <si>
    <t>June 16, 2025</t>
  </si>
  <si>
    <t>Samesh Ratta</t>
  </si>
  <si>
    <t>TXN5437</t>
  </si>
  <si>
    <t>12-Mar-2023</t>
  </si>
  <si>
    <t>TXN5193</t>
  </si>
  <si>
    <t>2025-02-21</t>
  </si>
  <si>
    <t>Chasmum Rana</t>
  </si>
  <si>
    <t>TXN5304</t>
  </si>
  <si>
    <t>05.01.2024</t>
  </si>
  <si>
    <t>₹84,720.00</t>
  </si>
  <si>
    <t>Gauri Anand</t>
  </si>
  <si>
    <t>TXN5594</t>
  </si>
  <si>
    <t>04/11/2025</t>
  </si>
  <si>
    <t>₹221,300.00</t>
  </si>
  <si>
    <t>Jyoti Anand</t>
  </si>
  <si>
    <t>TXN5757</t>
  </si>
  <si>
    <t>08.06.2023</t>
  </si>
  <si>
    <t>Rs. 67,300</t>
  </si>
  <si>
    <t>TXN5584</t>
  </si>
  <si>
    <t>150,700.00</t>
  </si>
  <si>
    <t>Advik Bir</t>
  </si>
  <si>
    <t>TXN5345</t>
  </si>
  <si>
    <t>24/08/2023</t>
  </si>
  <si>
    <t>Riya Toor</t>
  </si>
  <si>
    <t>TXN5169</t>
  </si>
  <si>
    <t>04/21/2025</t>
  </si>
  <si>
    <t>Lavanya De</t>
  </si>
  <si>
    <t>TXN5908</t>
  </si>
  <si>
    <t>2023-01-15</t>
  </si>
  <si>
    <t>Krish Hora</t>
  </si>
  <si>
    <t>TXN5294</t>
  </si>
  <si>
    <t>10/13/2024</t>
  </si>
  <si>
    <t>Maanav Khurana</t>
  </si>
  <si>
    <t>TXN5241</t>
  </si>
  <si>
    <t>10/14/2024</t>
  </si>
  <si>
    <t>C2112</t>
  </si>
  <si>
    <t>George Rastogi</t>
  </si>
  <si>
    <t>TXN5441</t>
  </si>
  <si>
    <t>15.12.2024</t>
  </si>
  <si>
    <t>Vamakshi Thakkar</t>
  </si>
  <si>
    <t>TXN5578</t>
  </si>
  <si>
    <t>2024-09-02</t>
  </si>
  <si>
    <t>₹224,070.00</t>
  </si>
  <si>
    <t>Sudiksha Rajagopalan</t>
  </si>
  <si>
    <t>TXN5220</t>
  </si>
  <si>
    <t>17/04/2025</t>
  </si>
  <si>
    <t>Pranit Ganguly</t>
  </si>
  <si>
    <t>TXN5706</t>
  </si>
  <si>
    <t>August 07, 2023</t>
  </si>
  <si>
    <t>Liam Dube</t>
  </si>
  <si>
    <t>TXN5451</t>
  </si>
  <si>
    <t>25.11.2024</t>
  </si>
  <si>
    <t>Rajeshri Gole</t>
  </si>
  <si>
    <t>TXN5699</t>
  </si>
  <si>
    <t>03/10/2023</t>
  </si>
  <si>
    <t>Kabir Mody</t>
  </si>
  <si>
    <t>TXN5822</t>
  </si>
  <si>
    <t>February 29, 2024</t>
  </si>
  <si>
    <t>Kavya Tara</t>
  </si>
  <si>
    <t>TXN5316</t>
  </si>
  <si>
    <t>2023-06-23</t>
  </si>
  <si>
    <t>Vincent Tripathi</t>
  </si>
  <si>
    <t>TXN5122</t>
  </si>
  <si>
    <t>2025-06-14</t>
  </si>
  <si>
    <t>Arunima Dhillon</t>
  </si>
  <si>
    <t>TXN5380</t>
  </si>
  <si>
    <t>19/08/2024</t>
  </si>
  <si>
    <t>C2093</t>
  </si>
  <si>
    <t>Kashish Lad</t>
  </si>
  <si>
    <t>TXN5342</t>
  </si>
  <si>
    <t>July 02, 2025</t>
  </si>
  <si>
    <t>Oliver Dalal</t>
  </si>
  <si>
    <t>TXN5032</t>
  </si>
  <si>
    <t>12/11/2023</t>
  </si>
  <si>
    <t>TXN5485</t>
  </si>
  <si>
    <t>05/15/2023</t>
  </si>
  <si>
    <t>Rs. 116,550</t>
  </si>
  <si>
    <t>Aadi Bhasin</t>
  </si>
  <si>
    <t>TXN5425</t>
  </si>
  <si>
    <t>October 02, 2023</t>
  </si>
  <si>
    <t>Rs. 58,000</t>
  </si>
  <si>
    <t>Lakshit Thaman</t>
  </si>
  <si>
    <t>TXN5625</t>
  </si>
  <si>
    <t>18/03/2024</t>
  </si>
  <si>
    <t>Harinakshi Korpal</t>
  </si>
  <si>
    <t>TXN5443</t>
  </si>
  <si>
    <t>2024-02-11</t>
  </si>
  <si>
    <t>Anirudh Maharaj</t>
  </si>
  <si>
    <t>TXN5416</t>
  </si>
  <si>
    <t>2023-07-26</t>
  </si>
  <si>
    <t>151,540.00</t>
  </si>
  <si>
    <t>Vedika Bala</t>
  </si>
  <si>
    <t>TXN5846</t>
  </si>
  <si>
    <t>October 19, 2023</t>
  </si>
  <si>
    <t>Nitesh Hora</t>
  </si>
  <si>
    <t>TXN5788</t>
  </si>
  <si>
    <t>2025-05-28</t>
  </si>
  <si>
    <t>Kavya Khare</t>
  </si>
  <si>
    <t>TXN5923</t>
  </si>
  <si>
    <t>26/03/2023</t>
  </si>
  <si>
    <t>Gunbir Kakar</t>
  </si>
  <si>
    <t>TXN5590</t>
  </si>
  <si>
    <t>TXN5493</t>
  </si>
  <si>
    <t>Jason Dey</t>
  </si>
  <si>
    <t>TXN5167</t>
  </si>
  <si>
    <t>02/02/2023</t>
  </si>
  <si>
    <t>Udarsh Jani</t>
  </si>
  <si>
    <t>TXN5249</t>
  </si>
  <si>
    <t>18.02.2024</t>
  </si>
  <si>
    <t>Bhavani Dube</t>
  </si>
  <si>
    <t>TXN5084</t>
  </si>
  <si>
    <t>2024-12-19</t>
  </si>
  <si>
    <t>TXN5722</t>
  </si>
  <si>
    <t>03/03/2025</t>
  </si>
  <si>
    <t>Jyoti Vasa</t>
  </si>
  <si>
    <t>TXN5666</t>
  </si>
  <si>
    <t>Chakrika Saxena</t>
  </si>
  <si>
    <t>TXN5430</t>
  </si>
  <si>
    <t>02/27/2025</t>
  </si>
  <si>
    <t>TXN5410</t>
  </si>
  <si>
    <t>Jagat Rege</t>
  </si>
  <si>
    <t>TXN5861</t>
  </si>
  <si>
    <t>2025-07-31</t>
  </si>
  <si>
    <t>Charita Yogi</t>
  </si>
  <si>
    <t>TXN5372</t>
  </si>
  <si>
    <t>06.10.2024</t>
  </si>
  <si>
    <t>Madhavi Date</t>
  </si>
  <si>
    <t>TXN5518</t>
  </si>
  <si>
    <t>09/10/2023</t>
  </si>
  <si>
    <t>Timothy Kaur</t>
  </si>
  <si>
    <t>TXN5101</t>
  </si>
  <si>
    <t>22-Feb-2024</t>
  </si>
  <si>
    <t>Laban Balakrishnan</t>
  </si>
  <si>
    <t>TXN5801</t>
  </si>
  <si>
    <t>March 22, 2024</t>
  </si>
  <si>
    <t>Oscar Aurora</t>
  </si>
  <si>
    <t>TXN5476</t>
  </si>
  <si>
    <t>06.11.2024</t>
  </si>
  <si>
    <t>Dominic Sule</t>
  </si>
  <si>
    <t>TXN5768</t>
  </si>
  <si>
    <t>2023-07-18</t>
  </si>
  <si>
    <t>TXN5589</t>
  </si>
  <si>
    <t>Joshua Muni</t>
  </si>
  <si>
    <t>TXN5229</t>
  </si>
  <si>
    <t>29-Dec-2024</t>
  </si>
  <si>
    <t>Ekiya Dube</t>
  </si>
  <si>
    <t>TXN5152</t>
  </si>
  <si>
    <t>15/02/2025</t>
  </si>
  <si>
    <t>Qabil Ramaswamy</t>
  </si>
  <si>
    <t>TXN5110</t>
  </si>
  <si>
    <t>May 19, 2025</t>
  </si>
  <si>
    <t>Gautam Ranganathan</t>
  </si>
  <si>
    <t>TXN5264</t>
  </si>
  <si>
    <t>2025-03-08</t>
  </si>
  <si>
    <t>Bina Sidhu</t>
  </si>
  <si>
    <t>TXN5909</t>
  </si>
  <si>
    <t>18.01.2025</t>
  </si>
  <si>
    <t>₹170,790.00</t>
  </si>
  <si>
    <t>Qabil Thakkar</t>
  </si>
  <si>
    <t>TXN5638</t>
  </si>
  <si>
    <t>2024-09-25</t>
  </si>
  <si>
    <t>Dhruv Dani</t>
  </si>
  <si>
    <t>TXN5803</t>
  </si>
  <si>
    <t>13.04.2023</t>
  </si>
  <si>
    <t>TXN5511</t>
  </si>
  <si>
    <t>01/06/2023</t>
  </si>
  <si>
    <t>Peter Anand</t>
  </si>
  <si>
    <t>TXN5308</t>
  </si>
  <si>
    <t>31-Dec-2023</t>
  </si>
  <si>
    <t>₹129,810.00</t>
  </si>
  <si>
    <t>Vincent Bhat</t>
  </si>
  <si>
    <t>TXN5857</t>
  </si>
  <si>
    <t>96,200.00</t>
  </si>
  <si>
    <t>TXN5337</t>
  </si>
  <si>
    <t>09.04.2024</t>
  </si>
  <si>
    <t>Harini Pant</t>
  </si>
  <si>
    <t>TXN5793</t>
  </si>
  <si>
    <t>05-Apr-2023</t>
  </si>
  <si>
    <t>Gopal Ganesh</t>
  </si>
  <si>
    <t>TXN5591</t>
  </si>
  <si>
    <t>June 30, 2024</t>
  </si>
  <si>
    <t>Yochana Parmar</t>
  </si>
  <si>
    <t>TXN5445</t>
  </si>
  <si>
    <t>2024-11-18</t>
  </si>
  <si>
    <t>TXN5901</t>
  </si>
  <si>
    <t>June 05, 2023</t>
  </si>
  <si>
    <t>Darika Ahuja</t>
  </si>
  <si>
    <t>TXN5232</t>
  </si>
  <si>
    <t>January 08, 2023</t>
  </si>
  <si>
    <t>Finn Sharma</t>
  </si>
  <si>
    <t>TXN5689</t>
  </si>
  <si>
    <t>November 02, 2024</t>
  </si>
  <si>
    <t>TXN5776</t>
  </si>
  <si>
    <t>December 02, 2023</t>
  </si>
  <si>
    <t>₹173,630.00</t>
  </si>
  <si>
    <t>Om Brahmbhatt</t>
  </si>
  <si>
    <t>TXN5746</t>
  </si>
  <si>
    <t>TXN5782</t>
  </si>
  <si>
    <t>23/09/2023</t>
  </si>
  <si>
    <t>Rs. 164,790</t>
  </si>
  <si>
    <t>TXN5540</t>
  </si>
  <si>
    <t>Udarsh Batta</t>
  </si>
  <si>
    <t>TXN5641</t>
  </si>
  <si>
    <t>10/27/2024</t>
  </si>
  <si>
    <t>₹9,280.00</t>
  </si>
  <si>
    <t>TXN5623</t>
  </si>
  <si>
    <t>2025-01-06</t>
  </si>
  <si>
    <t>Rs. 20,520</t>
  </si>
  <si>
    <t>TXN5629</t>
  </si>
  <si>
    <t>January 06, 2025</t>
  </si>
  <si>
    <t>Laksh Raghavan</t>
  </si>
  <si>
    <t>TXN5572</t>
  </si>
  <si>
    <t>11/05/2024</t>
  </si>
  <si>
    <t>Rachana Bhatti</t>
  </si>
  <si>
    <t>TXN5265</t>
  </si>
  <si>
    <t>25-Feb-2023</t>
  </si>
  <si>
    <t>₹99,280.00</t>
  </si>
  <si>
    <t>Fariq Sridhar</t>
  </si>
  <si>
    <t>TXN5783</t>
  </si>
  <si>
    <t>2023-07-05</t>
  </si>
  <si>
    <t>TXN5937</t>
  </si>
  <si>
    <t>02/07/2024</t>
  </si>
  <si>
    <t>Jason Wali</t>
  </si>
  <si>
    <t>TXN5948</t>
  </si>
  <si>
    <t>July 08, 2024</t>
  </si>
  <si>
    <t>Harish Rajan</t>
  </si>
  <si>
    <t>TXN5471</t>
  </si>
  <si>
    <t>16/04/2025</t>
  </si>
  <si>
    <t>Ishwar Luthra</t>
  </si>
  <si>
    <t>TXN5853</t>
  </si>
  <si>
    <t>December 03, 2024</t>
  </si>
  <si>
    <t>154,700.00</t>
  </si>
  <si>
    <t>Krishna Ganesh</t>
  </si>
  <si>
    <t>TXN5117</t>
  </si>
  <si>
    <t>2025-01-07</t>
  </si>
  <si>
    <t>Rs. 55,830</t>
  </si>
  <si>
    <t>Hredhaan Gill</t>
  </si>
  <si>
    <t>TXN5506</t>
  </si>
  <si>
    <t>TXN5662</t>
  </si>
  <si>
    <t>Damini Sandal</t>
  </si>
  <si>
    <t>TXN5480</t>
  </si>
  <si>
    <t>11/24/2023</t>
  </si>
  <si>
    <t>Sanaya Chacko</t>
  </si>
  <si>
    <t>TXN5878</t>
  </si>
  <si>
    <t>21.02.2025</t>
  </si>
  <si>
    <t>Balvan Dash</t>
  </si>
  <si>
    <t>TXN5595</t>
  </si>
  <si>
    <t>December 05, 2024</t>
  </si>
  <si>
    <t>₹147,530.00</t>
  </si>
  <si>
    <t>Dakshesh Khanna</t>
  </si>
  <si>
    <t>TXN5495</t>
  </si>
  <si>
    <t>May 18, 2023</t>
  </si>
  <si>
    <t>Hema Lal</t>
  </si>
  <si>
    <t>TXN5272</t>
  </si>
  <si>
    <t>31.05.2025</t>
  </si>
  <si>
    <t>Isha Kumar</t>
  </si>
  <si>
    <t>TXN5039</t>
  </si>
  <si>
    <t>01/11/2023</t>
  </si>
  <si>
    <t>Raagini Desai</t>
  </si>
  <si>
    <t>TXN5168</t>
  </si>
  <si>
    <t>11/01/2024</t>
  </si>
  <si>
    <t>Amaira Mani</t>
  </si>
  <si>
    <t>TXN5068</t>
  </si>
  <si>
    <t>September 19, 2023</t>
  </si>
  <si>
    <t>₹164,780.00</t>
  </si>
  <si>
    <t>Faqid Wason</t>
  </si>
  <si>
    <t>TXN5760</t>
  </si>
  <si>
    <t>Triya Raj</t>
  </si>
  <si>
    <t>TXN5216</t>
  </si>
  <si>
    <t>05.11.2024</t>
  </si>
  <si>
    <t>Rs. 82,940</t>
  </si>
  <si>
    <t>Tanvi Tailor</t>
  </si>
  <si>
    <t>TXN5851</t>
  </si>
  <si>
    <t>2024-12-02</t>
  </si>
  <si>
    <t>182,120.00</t>
  </si>
  <si>
    <t>TXN5582</t>
  </si>
  <si>
    <t>09/12/2024</t>
  </si>
  <si>
    <t>238,490.00</t>
  </si>
  <si>
    <t>Atharv Setty</t>
  </si>
  <si>
    <t>TXN5561</t>
  </si>
  <si>
    <t>Rs. 244,730</t>
  </si>
  <si>
    <t>Zinal Khalsa</t>
  </si>
  <si>
    <t>TXN5438</t>
  </si>
  <si>
    <t>08/01/2023</t>
  </si>
  <si>
    <t>TXN5156</t>
  </si>
  <si>
    <t>04/15/2023</t>
  </si>
  <si>
    <t>Rs. 61,270</t>
  </si>
  <si>
    <t>Veer Chakraborty</t>
  </si>
  <si>
    <t>TXN5428</t>
  </si>
  <si>
    <t>26/01/2023</t>
  </si>
  <si>
    <t>₹92,340.00</t>
  </si>
  <si>
    <t>TXN5708</t>
  </si>
  <si>
    <t>Mahika Bhatt</t>
  </si>
  <si>
    <t>TXN5583</t>
  </si>
  <si>
    <t>08-Jun-2024</t>
  </si>
  <si>
    <t>Reyansh Chokshi</t>
  </si>
  <si>
    <t>TXN5429</t>
  </si>
  <si>
    <t>February 09, 2023</t>
  </si>
  <si>
    <t>Lila Kaul</t>
  </si>
  <si>
    <t>TXN5200</t>
  </si>
  <si>
    <t>23.10.2023</t>
  </si>
  <si>
    <t>Lucky Lad</t>
  </si>
  <si>
    <t>TXN5137</t>
  </si>
  <si>
    <t>10-Nov-2024</t>
  </si>
  <si>
    <t>95,310.00</t>
  </si>
  <si>
    <t>Vyanjana Sinha</t>
  </si>
  <si>
    <t>TXN5013</t>
  </si>
  <si>
    <t>29.05.2024</t>
  </si>
  <si>
    <t>₹238,700.00</t>
  </si>
  <si>
    <t>Xalak Mallick</t>
  </si>
  <si>
    <t>TXN5311</t>
  </si>
  <si>
    <t>April 08, 2025</t>
  </si>
  <si>
    <t>₹220,510.00</t>
  </si>
  <si>
    <t>Jackson Talwar</t>
  </si>
  <si>
    <t>TXN5046</t>
  </si>
  <si>
    <t>August 03, 2024</t>
  </si>
  <si>
    <t>₹142,420.00</t>
  </si>
  <si>
    <t>Krishna Pandit</t>
  </si>
  <si>
    <t>TXN5043</t>
  </si>
  <si>
    <t>March 04, 2024</t>
  </si>
  <si>
    <t>TXN5226</t>
  </si>
  <si>
    <t>May 23, 2023</t>
  </si>
  <si>
    <t>115,430.00</t>
  </si>
  <si>
    <t>Wishi Chandra</t>
  </si>
  <si>
    <t>TXN5787</t>
  </si>
  <si>
    <t>2023-08-04</t>
  </si>
  <si>
    <t>Krishna Jaggi</t>
  </si>
  <si>
    <t>TXN5283</t>
  </si>
  <si>
    <t>26/05/2024</t>
  </si>
  <si>
    <t>Hitesh Saraf</t>
  </si>
  <si>
    <t>TXN5394</t>
  </si>
  <si>
    <t>2025-07-24</t>
  </si>
  <si>
    <t>Manan Sandal</t>
  </si>
  <si>
    <t>TXN5096</t>
  </si>
  <si>
    <t>24/12/2023</t>
  </si>
  <si>
    <t>Rs. 92,760</t>
  </si>
  <si>
    <t>TXN5202</t>
  </si>
  <si>
    <t>26.02.2023</t>
  </si>
  <si>
    <t>TXN5704</t>
  </si>
  <si>
    <t>May 08, 2025</t>
  </si>
  <si>
    <t>Netra Yogi</t>
  </si>
  <si>
    <t>TXN5936</t>
  </si>
  <si>
    <t>18-Mar-2023</t>
  </si>
  <si>
    <t>Neelima Dewan</t>
  </si>
  <si>
    <t>TXN5274</t>
  </si>
  <si>
    <t>Turvi Gola</t>
  </si>
  <si>
    <t>TXN5339</t>
  </si>
  <si>
    <t>Chandresh Sarma</t>
  </si>
  <si>
    <t>TXN5762</t>
  </si>
  <si>
    <t>27/01/2025</t>
  </si>
  <si>
    <t>Mohini Hayer</t>
  </si>
  <si>
    <t>TXN5158</t>
  </si>
  <si>
    <t>10-Jul-2024</t>
  </si>
  <si>
    <t>₹207,750.00</t>
  </si>
  <si>
    <t>TXN5763</t>
  </si>
  <si>
    <t>04/03/2023</t>
  </si>
  <si>
    <t>TXN5747</t>
  </si>
  <si>
    <t>January 04, 2023</t>
  </si>
  <si>
    <t>₹172,100.00</t>
  </si>
  <si>
    <t>Tanvi Rajagopalan</t>
  </si>
  <si>
    <t>TXN5580</t>
  </si>
  <si>
    <t>14/07/2025</t>
  </si>
  <si>
    <t>Priya Chaudhuri</t>
  </si>
  <si>
    <t>TXN5826</t>
  </si>
  <si>
    <t>24/12/2024</t>
  </si>
  <si>
    <t>238,860.00</t>
  </si>
  <si>
    <t>Samarth Barad</t>
  </si>
  <si>
    <t>TXN5918</t>
  </si>
  <si>
    <t>11/12/2024</t>
  </si>
  <si>
    <t>₹39,510.00</t>
  </si>
  <si>
    <t>Devansh Oommen</t>
  </si>
  <si>
    <t>TXN5527</t>
  </si>
  <si>
    <t>2023-10-04</t>
  </si>
  <si>
    <t>4,340.00</t>
  </si>
  <si>
    <t>Joshua Lad</t>
  </si>
  <si>
    <t>TXN5678</t>
  </si>
  <si>
    <t>20-Sep-2024</t>
  </si>
  <si>
    <t>Aradhana Kari</t>
  </si>
  <si>
    <t>TXN5500</t>
  </si>
  <si>
    <t>06/05/2025</t>
  </si>
  <si>
    <t>Falguni Babu</t>
  </si>
  <si>
    <t>TXN5449</t>
  </si>
  <si>
    <t>2023-06-27</t>
  </si>
  <si>
    <t>Ekani Ratti</t>
  </si>
  <si>
    <t>TXN5127</t>
  </si>
  <si>
    <t>14-Jun-2023</t>
  </si>
  <si>
    <t>TXN5876</t>
  </si>
  <si>
    <t>05/18/2025</t>
  </si>
  <si>
    <t>Darika Bobal</t>
  </si>
  <si>
    <t>TXN5874</t>
  </si>
  <si>
    <t>03/12/2024</t>
  </si>
  <si>
    <t>TXN5729</t>
  </si>
  <si>
    <t>25-Sep-2023</t>
  </si>
  <si>
    <t>₹118,370.00</t>
  </si>
  <si>
    <t>TXN5292</t>
  </si>
  <si>
    <t>2023-01-30</t>
  </si>
  <si>
    <t>Avi Kadakia</t>
  </si>
  <si>
    <t>TXN5335</t>
  </si>
  <si>
    <t>2023-07-23</t>
  </si>
  <si>
    <t>Ishaan Karan</t>
  </si>
  <si>
    <t>TXN5637</t>
  </si>
  <si>
    <t>Rs. 218,620</t>
  </si>
  <si>
    <t>Kashish Garg</t>
  </si>
  <si>
    <t>TXN5356</t>
  </si>
  <si>
    <t>12/30/2023</t>
  </si>
  <si>
    <t>Zaitra Pathak</t>
  </si>
  <si>
    <t>TXN5758</t>
  </si>
  <si>
    <t>January 08, 2025</t>
  </si>
  <si>
    <t>Sarthak Toor</t>
  </si>
  <si>
    <t>TXN5628</t>
  </si>
  <si>
    <t>04/14/2024</t>
  </si>
  <si>
    <t>TXN5343</t>
  </si>
  <si>
    <t>19/03/2024</t>
  </si>
  <si>
    <t>Janaki Dugar</t>
  </si>
  <si>
    <t>TXN5750</t>
  </si>
  <si>
    <t>2023-03-08</t>
  </si>
  <si>
    <t>Wriddhish Dugar</t>
  </si>
  <si>
    <t>TXN5460</t>
  </si>
  <si>
    <t>Avi Bhardwaj</t>
  </si>
  <si>
    <t>TXN5720</t>
  </si>
  <si>
    <t>April 23, 2024</t>
  </si>
  <si>
    <t>Samesh Kaul</t>
  </si>
  <si>
    <t>TXN5695</t>
  </si>
  <si>
    <t>2025-06-09</t>
  </si>
  <si>
    <t>Harini Chada</t>
  </si>
  <si>
    <t>TXN5839</t>
  </si>
  <si>
    <t>2024-06-24</t>
  </si>
  <si>
    <t>TXN5646</t>
  </si>
  <si>
    <t>March 09, 2025</t>
  </si>
  <si>
    <t>Manthan Narang</t>
  </si>
  <si>
    <t>TXN5924</t>
  </si>
  <si>
    <t>Keya Venkatesh</t>
  </si>
  <si>
    <t>TXN5522</t>
  </si>
  <si>
    <t>30.06.2024</t>
  </si>
  <si>
    <t>TXN5026</t>
  </si>
  <si>
    <t>21-May-2023</t>
  </si>
  <si>
    <t>Unnati Jaggi</t>
  </si>
  <si>
    <t>TXN5062</t>
  </si>
  <si>
    <t>05/27/2023</t>
  </si>
  <si>
    <t>TXN5277</t>
  </si>
  <si>
    <t>2023-03-20</t>
  </si>
  <si>
    <t>TXN5576</t>
  </si>
  <si>
    <t>December 25, 2024</t>
  </si>
  <si>
    <t>₹186,620.00</t>
  </si>
  <si>
    <t>Nirja Kaul</t>
  </si>
  <si>
    <t>TXN5688</t>
  </si>
  <si>
    <t>22-Mar-2025</t>
  </si>
  <si>
    <t>TXN5686</t>
  </si>
  <si>
    <t>13/02/2023</t>
  </si>
  <si>
    <t>Chandani Manda</t>
  </si>
  <si>
    <t>TXN5012</t>
  </si>
  <si>
    <t>28/01/2024</t>
  </si>
  <si>
    <t>Rs. 59,230</t>
  </si>
  <si>
    <t>Jason Kaul</t>
  </si>
  <si>
    <t>TXN5170</t>
  </si>
  <si>
    <t>14/07/2023</t>
  </si>
  <si>
    <t>Samuel Kale</t>
  </si>
  <si>
    <t>TXN5519</t>
  </si>
  <si>
    <t>17/03/2024</t>
  </si>
  <si>
    <t>₹86,230.00</t>
  </si>
  <si>
    <t>Janani Bansal</t>
  </si>
  <si>
    <t>TXN5318</t>
  </si>
  <si>
    <t>09/21/2024</t>
  </si>
  <si>
    <t>Chaaya Ramakrishnan</t>
  </si>
  <si>
    <t>TXN5199</t>
  </si>
  <si>
    <t>14/02/2023</t>
  </si>
  <si>
    <t>Rs. 217,730</t>
  </si>
  <si>
    <t>Gaurav Nadig</t>
  </si>
  <si>
    <t>TXN5340</t>
  </si>
  <si>
    <t>12.02.2024</t>
  </si>
  <si>
    <t>185,080.00</t>
  </si>
  <si>
    <t>Indrajit Cherian</t>
  </si>
  <si>
    <t>TXN5361</t>
  </si>
  <si>
    <t>Nitesh Saraf</t>
  </si>
  <si>
    <t>TXN5070</t>
  </si>
  <si>
    <t>18/12/2024</t>
  </si>
  <si>
    <t>Chameli Ratti</t>
  </si>
  <si>
    <t>TXN5881</t>
  </si>
  <si>
    <t>13/06/2025</t>
  </si>
  <si>
    <t>TXN5042</t>
  </si>
  <si>
    <t>05/07/2025</t>
  </si>
  <si>
    <t>25,080.00</t>
  </si>
  <si>
    <t>Vamakshi Dugar</t>
  </si>
  <si>
    <t>TXN5489</t>
  </si>
  <si>
    <t>09.10.2024</t>
  </si>
  <si>
    <t>₹32,690.00</t>
  </si>
  <si>
    <t>Chakradev Edwin</t>
  </si>
  <si>
    <t>TXN5565</t>
  </si>
  <si>
    <t>04-Jun-2023</t>
  </si>
  <si>
    <t>Jeet Chada</t>
  </si>
  <si>
    <t>TXN5525</t>
  </si>
  <si>
    <t>2023-07-08</t>
  </si>
  <si>
    <t>Onkar Hari</t>
  </si>
  <si>
    <t>TXN5364</t>
  </si>
  <si>
    <t>30-Apr-2023</t>
  </si>
  <si>
    <t>Oni Ratti</t>
  </si>
  <si>
    <t>TXN5302</t>
  </si>
  <si>
    <t>Chaitaly Ramanathan</t>
  </si>
  <si>
    <t>TXN5613</t>
  </si>
  <si>
    <t>06-May-2023</t>
  </si>
  <si>
    <t>₹31,110.00</t>
  </si>
  <si>
    <t>Abeer Patil</t>
  </si>
  <si>
    <t>TXN5934</t>
  </si>
  <si>
    <t>10-Feb-2025</t>
  </si>
  <si>
    <t>Harish Aggarwal</t>
  </si>
  <si>
    <t>TXN5444</t>
  </si>
  <si>
    <t>24/03/2024</t>
  </si>
  <si>
    <t>₹45,960.00</t>
  </si>
  <si>
    <t>TXN5670</t>
  </si>
  <si>
    <t>08/26/2023</t>
  </si>
  <si>
    <t>Nilima Pillai</t>
  </si>
  <si>
    <t>TXN5396</t>
  </si>
  <si>
    <t>02-Jan-2023</t>
  </si>
  <si>
    <t>Pavani De</t>
  </si>
  <si>
    <t>TXN5696</t>
  </si>
  <si>
    <t>Raghav Sanghvi</t>
  </si>
  <si>
    <t>TXN5359</t>
  </si>
  <si>
    <t>November 07, 2023</t>
  </si>
  <si>
    <t>₹25,560.00</t>
  </si>
  <si>
    <t>TXN5055</t>
  </si>
  <si>
    <t>05-Jul-2025</t>
  </si>
  <si>
    <t>Ishwar Nazareth</t>
  </si>
  <si>
    <t>TXN5384</t>
  </si>
  <si>
    <t>01/19/2024</t>
  </si>
  <si>
    <t>Saumya Misra</t>
  </si>
  <si>
    <t>TXN5303</t>
  </si>
  <si>
    <t>20/04/2023</t>
  </si>
  <si>
    <t>TXN5814</t>
  </si>
  <si>
    <t>159,110.00</t>
  </si>
  <si>
    <t>Lipika Deol</t>
  </si>
  <si>
    <t>TXN5766</t>
  </si>
  <si>
    <t>10/22/2024</t>
  </si>
  <si>
    <t>TXN5150</t>
  </si>
  <si>
    <t>05/31/2025</t>
  </si>
  <si>
    <t>Falak Manda</t>
  </si>
  <si>
    <t>TXN5774</t>
  </si>
  <si>
    <t>October 14, 2023</t>
  </si>
  <si>
    <t>17,800.00</t>
  </si>
  <si>
    <t>TXN5053</t>
  </si>
  <si>
    <t>2023-10-19</t>
  </si>
  <si>
    <t>Yug Keer</t>
  </si>
  <si>
    <t>TXN5426</t>
  </si>
  <si>
    <t>29-Jun-2025</t>
  </si>
  <si>
    <t>₹139,440.00</t>
  </si>
  <si>
    <t>Shivani Sen</t>
  </si>
  <si>
    <t>TXN5134</t>
  </si>
  <si>
    <t>27.01.2024</t>
  </si>
  <si>
    <t>TXN5475</t>
  </si>
  <si>
    <t>03/31/2023</t>
  </si>
  <si>
    <t>TXN5210</t>
  </si>
  <si>
    <t>April 16, 2024</t>
  </si>
  <si>
    <t>209,440.00</t>
  </si>
  <si>
    <t>Chatresh Gulati</t>
  </si>
  <si>
    <t>TXN5381</t>
  </si>
  <si>
    <t>02/05/2024</t>
  </si>
  <si>
    <t>Jatin Batta</t>
  </si>
  <si>
    <t>TXN5477</t>
  </si>
  <si>
    <t>08.07.2025</t>
  </si>
  <si>
    <t>Nikita Kaur</t>
  </si>
  <si>
    <t>TXN5748</t>
  </si>
  <si>
    <t>May 22, 2023</t>
  </si>
  <si>
    <t>Rs. 83,950</t>
  </si>
  <si>
    <t>Girish Ramaswamy</t>
  </si>
  <si>
    <t>TXN5409</t>
  </si>
  <si>
    <t>2023-12-15</t>
  </si>
  <si>
    <t>Bachittar Dugar</t>
  </si>
  <si>
    <t>TXN5718</t>
  </si>
  <si>
    <t>04/23/2024</t>
  </si>
  <si>
    <t>Ekaraj Raju</t>
  </si>
  <si>
    <t>TXN5259</t>
  </si>
  <si>
    <t>11-Dec-2024</t>
  </si>
  <si>
    <t>Girik Baria</t>
  </si>
  <si>
    <t>TXN5450</t>
  </si>
  <si>
    <t>10/03/2023</t>
  </si>
  <si>
    <t>Vyanjana Bajaj</t>
  </si>
  <si>
    <t>TXN5233</t>
  </si>
  <si>
    <t>April 26, 2023</t>
  </si>
  <si>
    <t>TXN5931</t>
  </si>
  <si>
    <t>Dakshesh Parekh</t>
  </si>
  <si>
    <t>TXN5847</t>
  </si>
  <si>
    <t>06-Feb-2023</t>
  </si>
  <si>
    <t>Panini Goda</t>
  </si>
  <si>
    <t>TXN5251</t>
  </si>
  <si>
    <t>C2077</t>
  </si>
  <si>
    <t>TXN5406</t>
  </si>
  <si>
    <t>05.05.2023</t>
  </si>
  <si>
    <t>₹131,250.00</t>
  </si>
  <si>
    <t>Simon Shah</t>
  </si>
  <si>
    <t>TXN5310</t>
  </si>
  <si>
    <t>Rs. 199,010</t>
  </si>
  <si>
    <t>Amrita Sahni</t>
  </si>
  <si>
    <t>TXN5665</t>
  </si>
  <si>
    <t>TXN5144</t>
  </si>
  <si>
    <t>January 04, 2024</t>
  </si>
  <si>
    <t>₹8,880.00</t>
  </si>
  <si>
    <t>Dalaja Murthy</t>
  </si>
  <si>
    <t>TXN5605</t>
  </si>
  <si>
    <t>19.06.2025</t>
  </si>
  <si>
    <t>197,290.00</t>
  </si>
  <si>
    <t>TXN5461</t>
  </si>
  <si>
    <t>01/30/2025</t>
  </si>
  <si>
    <t>₹104,560.00</t>
  </si>
  <si>
    <t>Madhavi Chaudhary</t>
  </si>
  <si>
    <t>TXN5151</t>
  </si>
  <si>
    <t>Frado Sachdeva</t>
  </si>
  <si>
    <t>TXN5654</t>
  </si>
  <si>
    <t>17/05/2025</t>
  </si>
  <si>
    <t>₹6,180.00</t>
  </si>
  <si>
    <t>TXN5446</t>
  </si>
  <si>
    <t>12-Nov-2023</t>
  </si>
  <si>
    <t>TXN5221</t>
  </si>
  <si>
    <t>26/04/2024</t>
  </si>
  <si>
    <t>Simon Agrawal</t>
  </si>
  <si>
    <t>TXN5017</t>
  </si>
  <si>
    <t>July 07, 2025</t>
  </si>
  <si>
    <t>₹243,740.00</t>
  </si>
  <si>
    <t>Jason Krishna</t>
  </si>
  <si>
    <t>TXN5204</t>
  </si>
  <si>
    <t>08-Jul-2025</t>
  </si>
  <si>
    <t>₹76,040.00</t>
  </si>
  <si>
    <t>Xalak Mand</t>
  </si>
  <si>
    <t>TXN5499</t>
  </si>
  <si>
    <t>22/01/2024</t>
  </si>
  <si>
    <t>Harita Kade</t>
  </si>
  <si>
    <t>TXN5323</t>
  </si>
  <si>
    <t>11/10/2024</t>
  </si>
  <si>
    <t>TXN5911</t>
  </si>
  <si>
    <t>29.08.2023</t>
  </si>
  <si>
    <t>TXN5383</t>
  </si>
  <si>
    <t>03/02/2025</t>
  </si>
  <si>
    <t>TXN5307</t>
  </si>
  <si>
    <t>Mugdha Sunder</t>
  </si>
  <si>
    <t>TXN5385</t>
  </si>
  <si>
    <t>2024-05-15</t>
  </si>
  <si>
    <t>Sudiksha Nori</t>
  </si>
  <si>
    <t>TXN5392</t>
  </si>
  <si>
    <t>04/12/2023</t>
  </si>
  <si>
    <t>TXN5423</t>
  </si>
  <si>
    <t>02/12/2023</t>
  </si>
  <si>
    <t>Dayita Sethi</t>
  </si>
  <si>
    <t>TXN5619</t>
  </si>
  <si>
    <t>12/11/2024</t>
  </si>
  <si>
    <t>TXN5119</t>
  </si>
  <si>
    <t>10-Aug-2023</t>
  </si>
  <si>
    <t>Aachal Bhalla</t>
  </si>
  <si>
    <t>TXN5306</t>
  </si>
  <si>
    <t>18.05.2024</t>
  </si>
  <si>
    <t>Bina Bansal</t>
  </si>
  <si>
    <t>TXN5778</t>
  </si>
  <si>
    <t>25-Feb-2024</t>
  </si>
  <si>
    <t>₹208,590.00</t>
  </si>
  <si>
    <t>Anjali Dube</t>
  </si>
  <si>
    <t>TXN5914</t>
  </si>
  <si>
    <t>March 30, 2023</t>
  </si>
  <si>
    <t>Ridhi Chopra</t>
  </si>
  <si>
    <t>TXN5076</t>
  </si>
  <si>
    <t>Ryan Sachdeva</t>
  </si>
  <si>
    <t>TXN5212</t>
  </si>
  <si>
    <t>02/08/2025</t>
  </si>
  <si>
    <t>Balendra Singhal</t>
  </si>
  <si>
    <t>TXN5868</t>
  </si>
  <si>
    <t>12/18/2024</t>
  </si>
  <si>
    <t>Xiti Prasad</t>
  </si>
  <si>
    <t>TXN5130</t>
  </si>
  <si>
    <t>01/01/2023</t>
  </si>
  <si>
    <t>Abhiram Ramaswamy</t>
  </si>
  <si>
    <t>TXN5945</t>
  </si>
  <si>
    <t>2023-11-17</t>
  </si>
  <si>
    <t>TXN5516</t>
  </si>
  <si>
    <t>Rs. 8,340</t>
  </si>
  <si>
    <t>Anmol Mand</t>
  </si>
  <si>
    <t>TXN5840</t>
  </si>
  <si>
    <t>TXN5418</t>
  </si>
  <si>
    <t>02-Sep-2023</t>
  </si>
  <si>
    <t>TXN5949</t>
  </si>
  <si>
    <t>15/08/2023</t>
  </si>
  <si>
    <t>229,740.00</t>
  </si>
  <si>
    <t>Robert Dhar</t>
  </si>
  <si>
    <t>TXN5258</t>
  </si>
  <si>
    <t>October 09, 2024</t>
  </si>
  <si>
    <t>₹220,390.00</t>
  </si>
  <si>
    <t>Quincy Saraf</t>
  </si>
  <si>
    <t>TXN5921</t>
  </si>
  <si>
    <t>September 26, 2024</t>
  </si>
  <si>
    <t>Harrison Andra</t>
  </si>
  <si>
    <t>TXN5736</t>
  </si>
  <si>
    <t>20-Dec-2023</t>
  </si>
  <si>
    <t>Saksham Amble</t>
  </si>
  <si>
    <t>TXN5592</t>
  </si>
  <si>
    <t>02/10/2025</t>
  </si>
  <si>
    <t>Madhav Din</t>
  </si>
  <si>
    <t>TXN5765</t>
  </si>
  <si>
    <t>July 19, 2023</t>
  </si>
  <si>
    <t>Ishwar Deshpande</t>
  </si>
  <si>
    <t>TXN5363</t>
  </si>
  <si>
    <t>June 09, 2024</t>
  </si>
  <si>
    <t>107,810.00</t>
  </si>
  <si>
    <t>Dalbir Venkatesh</t>
  </si>
  <si>
    <t>TXN5533</t>
  </si>
  <si>
    <t>October 04, 2024</t>
  </si>
  <si>
    <t>C2004</t>
  </si>
  <si>
    <t>Prisha Ben</t>
  </si>
  <si>
    <t>TXN5663</t>
  </si>
  <si>
    <t>10/12/2024</t>
  </si>
  <si>
    <t>Naksh Prasad</t>
  </si>
  <si>
    <t>TXN5478</t>
  </si>
  <si>
    <t>₹58,990.00</t>
  </si>
  <si>
    <t>Amruta Chaudhuri</t>
  </si>
  <si>
    <t>TXN5852</t>
  </si>
  <si>
    <t>2024-07-30</t>
  </si>
  <si>
    <t>₹191,500.00</t>
  </si>
  <si>
    <t>Fariq Parsa</t>
  </si>
  <si>
    <t>TXN5926</t>
  </si>
  <si>
    <t>23.04.2023</t>
  </si>
  <si>
    <t>Rs. 122,610</t>
  </si>
  <si>
    <t>Pushti Nayar</t>
  </si>
  <si>
    <t>TXN5744</t>
  </si>
  <si>
    <t>2024-03-01</t>
  </si>
  <si>
    <t>TXN5555</t>
  </si>
  <si>
    <t>04/10/2024</t>
  </si>
  <si>
    <t>TXN5564</t>
  </si>
  <si>
    <t>December 10, 2024</t>
  </si>
  <si>
    <t>Reva Chandran</t>
  </si>
  <si>
    <t>TXN5405</t>
  </si>
  <si>
    <t>2024-11-25</t>
  </si>
  <si>
    <t>Yochana Wadhwa</t>
  </si>
  <si>
    <t>TXN5694</t>
  </si>
  <si>
    <t>26-Nov-2023</t>
  </si>
  <si>
    <t>₹108,720.00</t>
  </si>
  <si>
    <t>TXN5502</t>
  </si>
  <si>
    <t>07-Jul-2023</t>
  </si>
  <si>
    <t>TXN5542</t>
  </si>
  <si>
    <t>2023-07-28</t>
  </si>
  <si>
    <t>₹230,540.00</t>
  </si>
  <si>
    <t>Osha Walia</t>
  </si>
  <si>
    <t>TXN5472</t>
  </si>
  <si>
    <t>12/01/2025</t>
  </si>
  <si>
    <t>Eesha Shetty</t>
  </si>
  <si>
    <t>TXN5295</t>
  </si>
  <si>
    <t>26.04.2025</t>
  </si>
  <si>
    <t>Rayaan Chadha</t>
  </si>
  <si>
    <t>TXN5001</t>
  </si>
  <si>
    <t>18.10.2024</t>
  </si>
  <si>
    <t>Tanmayi Muni</t>
  </si>
  <si>
    <t>TXN5140</t>
  </si>
  <si>
    <t>07/15/2024</t>
  </si>
  <si>
    <t>Indira Salvi</t>
  </si>
  <si>
    <t>TXN5929</t>
  </si>
  <si>
    <t>02/04/2023</t>
  </si>
  <si>
    <t>20,030.00</t>
  </si>
  <si>
    <t>TXN5816</t>
  </si>
  <si>
    <t>June 03, 2025</t>
  </si>
  <si>
    <t>Rs. 196,120</t>
  </si>
  <si>
    <t>Ekansh Nayak</t>
  </si>
  <si>
    <t>TXN5044</t>
  </si>
  <si>
    <t>21/06/2023</t>
  </si>
  <si>
    <t>Mahika Lall</t>
  </si>
  <si>
    <t>TXN5621</t>
  </si>
  <si>
    <t>April 18, 2024</t>
  </si>
  <si>
    <t>Caleb Balan</t>
  </si>
  <si>
    <t>TXN5656</t>
  </si>
  <si>
    <t>May 31, 2023</t>
  </si>
  <si>
    <t>TXN5166</t>
  </si>
  <si>
    <t>30-Nov-2024</t>
  </si>
  <si>
    <t>104,810.00</t>
  </si>
  <si>
    <t>TXN5919</t>
  </si>
  <si>
    <t>08.07.2024</t>
  </si>
  <si>
    <t>7,990.00</t>
  </si>
  <si>
    <t>TXN5903</t>
  </si>
  <si>
    <t>20.04.2023</t>
  </si>
  <si>
    <t>TXN5113</t>
  </si>
  <si>
    <t>13.02.2023</t>
  </si>
  <si>
    <t>Zayan Taneja</t>
  </si>
  <si>
    <t>TXN5728</t>
  </si>
  <si>
    <t>08/05/2023</t>
  </si>
  <si>
    <t>Kai Yadav</t>
  </si>
  <si>
    <t>TXN5180</t>
  </si>
  <si>
    <t>06-Mar-2025</t>
  </si>
  <si>
    <t>Upasna Deol</t>
  </si>
  <si>
    <t>TXN5466</t>
  </si>
  <si>
    <t>Charles Jain</t>
  </si>
  <si>
    <t>TXN5808</t>
  </si>
  <si>
    <t>May 08, 2023</t>
  </si>
  <si>
    <t>TXN5927</t>
  </si>
  <si>
    <t>06/11/2023</t>
  </si>
  <si>
    <t>Hemal Murty</t>
  </si>
  <si>
    <t>TXN5845</t>
  </si>
  <si>
    <t>2023-04-28</t>
  </si>
  <si>
    <t>49,110.00</t>
  </si>
  <si>
    <t>Pooja Sibal</t>
  </si>
  <si>
    <t>TXN5588</t>
  </si>
  <si>
    <t>Laksh Basu</t>
  </si>
  <si>
    <t>TXN5377</t>
  </si>
  <si>
    <t>November 16, 2023</t>
  </si>
  <si>
    <t>Yashasvi Choudhry</t>
  </si>
  <si>
    <t>TXN5624</t>
  </si>
  <si>
    <t>January 26, 2023</t>
  </si>
  <si>
    <t>Theodore Lala</t>
  </si>
  <si>
    <t>TXN5248</t>
  </si>
  <si>
    <t>07-Jul-2025</t>
  </si>
  <si>
    <t>167,490.00</t>
  </si>
  <si>
    <t>TXN5136</t>
  </si>
  <si>
    <t>Bahadurjit Mahal</t>
  </si>
  <si>
    <t>TXN5160</t>
  </si>
  <si>
    <t>02/11/2023</t>
  </si>
  <si>
    <t>Rs. 243,430</t>
  </si>
  <si>
    <t>Chandran Rattan</t>
  </si>
  <si>
    <t>TXN5912</t>
  </si>
  <si>
    <t>April 01, 2023</t>
  </si>
  <si>
    <t>Sai Bhargava</t>
  </si>
  <si>
    <t>TXN5865</t>
  </si>
  <si>
    <t>2024-04-03</t>
  </si>
  <si>
    <t>Ekbal Nath</t>
  </si>
  <si>
    <t>TXN5823</t>
  </si>
  <si>
    <t>TXN5139</t>
  </si>
  <si>
    <t>December 16, 2024</t>
  </si>
  <si>
    <t>Naveen Lal</t>
  </si>
  <si>
    <t>TXN5404</t>
  </si>
  <si>
    <t>19/07/2024</t>
  </si>
  <si>
    <t>TXN5059</t>
  </si>
  <si>
    <t>10.05.2025</t>
  </si>
  <si>
    <t>TXN5517</t>
  </si>
  <si>
    <t>08/16/2023</t>
  </si>
  <si>
    <t>162,390.00</t>
  </si>
  <si>
    <t>Rehaan Chana</t>
  </si>
  <si>
    <t>TXN5513</t>
  </si>
  <si>
    <t>2025-03-22</t>
  </si>
  <si>
    <t>Rs. 192,780</t>
  </si>
  <si>
    <t>TXN5946</t>
  </si>
  <si>
    <t>09.04.2023</t>
  </si>
  <si>
    <t>6,420.00</t>
  </si>
  <si>
    <t>TXN5526</t>
  </si>
  <si>
    <t>31.10.2023</t>
  </si>
  <si>
    <t>Dhruv Dave</t>
  </si>
  <si>
    <t>TXN5279</t>
  </si>
  <si>
    <t>May 12, 2024</t>
  </si>
  <si>
    <t>₹78,800.00</t>
  </si>
  <si>
    <t>TXN5785</t>
  </si>
  <si>
    <t>24.05.2025</t>
  </si>
  <si>
    <t>Rs. 111,880</t>
  </si>
  <si>
    <t>Madhavi Morar</t>
  </si>
  <si>
    <t>TXN5176</t>
  </si>
  <si>
    <t>April 07, 2025</t>
  </si>
  <si>
    <t>TXN5334</t>
  </si>
  <si>
    <t>31.12.2024</t>
  </si>
  <si>
    <t>Devansh Nazareth</t>
  </si>
  <si>
    <t>TXN5009</t>
  </si>
  <si>
    <t>₹45,070.00</t>
  </si>
  <si>
    <t>Nandini Chaudry</t>
  </si>
  <si>
    <t>TXN5252</t>
  </si>
  <si>
    <t>26.01.2023</t>
  </si>
  <si>
    <t>Dayita Deep</t>
  </si>
  <si>
    <t>TXN5192</t>
  </si>
  <si>
    <t>2024-01-03</t>
  </si>
  <si>
    <t>TXN5810</t>
  </si>
  <si>
    <t>28.02.2023</t>
  </si>
  <si>
    <t>Nirja Mitra</t>
  </si>
  <si>
    <t>TXN5157</t>
  </si>
  <si>
    <t>15-Mar-2025</t>
  </si>
  <si>
    <t>Rushil Lala</t>
  </si>
  <si>
    <t>TXN5811</t>
  </si>
  <si>
    <t>2023-03-27</t>
  </si>
  <si>
    <t>Rs. 148,100</t>
  </si>
  <si>
    <t>Harsh Yadav</t>
  </si>
  <si>
    <t>TXN5741</t>
  </si>
  <si>
    <t>October 12, 2024</t>
  </si>
  <si>
    <t>₹232,750.00</t>
  </si>
  <si>
    <t>Balveer Chand</t>
  </si>
  <si>
    <t>TXN5378</t>
  </si>
  <si>
    <t>2025-01-19</t>
  </si>
  <si>
    <t>TXN5780</t>
  </si>
  <si>
    <t>2023-07-15</t>
  </si>
  <si>
    <t>Bakhshi Walia</t>
  </si>
  <si>
    <t>TXN5856</t>
  </si>
  <si>
    <t>21-Jan-2025</t>
  </si>
  <si>
    <t>93,440.00</t>
  </si>
  <si>
    <t>Lakshmi Sane</t>
  </si>
  <si>
    <t>TXN5474</t>
  </si>
  <si>
    <t>2024-09-19</t>
  </si>
  <si>
    <t>184,630.00</t>
  </si>
  <si>
    <t>TXN5798</t>
  </si>
  <si>
    <t>05/28/2025</t>
  </si>
  <si>
    <t>Jai Kata</t>
  </si>
  <si>
    <t>TXN5128</t>
  </si>
  <si>
    <t>08.02.2023</t>
  </si>
  <si>
    <t>Warjas Savant</t>
  </si>
  <si>
    <t>TXN5547</t>
  </si>
  <si>
    <t>09/03/2024</t>
  </si>
  <si>
    <t>Aryan Kara</t>
  </si>
  <si>
    <t>TXN5184</t>
  </si>
  <si>
    <t>18/10/2023</t>
  </si>
  <si>
    <t>Mitali Kala</t>
  </si>
  <si>
    <t>TXN5831</t>
  </si>
  <si>
    <t>08/21/2023</t>
  </si>
  <si>
    <t>₹132,870.00</t>
  </si>
  <si>
    <t>Veer Narula</t>
  </si>
  <si>
    <t>TXN5884</t>
  </si>
  <si>
    <t>August 29, 2023</t>
  </si>
  <si>
    <t>Panini Koshy</t>
  </si>
  <si>
    <t>TXN5104</t>
  </si>
  <si>
    <t>02-Sep-2024</t>
  </si>
  <si>
    <t>TXN5792</t>
  </si>
  <si>
    <t>Rehaan Bhatnagar</t>
  </si>
  <si>
    <t>TXN5838</t>
  </si>
  <si>
    <t>21-Mar-2024</t>
  </si>
  <si>
    <t>Ekaraj Hans</t>
  </si>
  <si>
    <t>TXN5079</t>
  </si>
  <si>
    <t>23.11.2024</t>
  </si>
  <si>
    <t>Rs. 162,280</t>
  </si>
  <si>
    <t>TXN5730</t>
  </si>
  <si>
    <t>August 11, 2024</t>
  </si>
  <si>
    <t>Vanya Biswas</t>
  </si>
  <si>
    <t>TXN5618</t>
  </si>
  <si>
    <t>21/07/2024</t>
  </si>
  <si>
    <t>Ishwar Dhar</t>
  </si>
  <si>
    <t>TXN5870</t>
  </si>
  <si>
    <t>₹177,990.00</t>
  </si>
  <si>
    <t>TXN5018</t>
  </si>
  <si>
    <t>August 29, 2024</t>
  </si>
  <si>
    <t>Widisha Kashyap</t>
  </si>
  <si>
    <t>TXN5242</t>
  </si>
  <si>
    <t>TXN5172</t>
  </si>
  <si>
    <t>27.02.2024</t>
  </si>
  <si>
    <t>Rs. 142,530</t>
  </si>
  <si>
    <t>Nilima Dhingra</t>
  </si>
  <si>
    <t>TXN5434</t>
  </si>
  <si>
    <t>26/01/2024</t>
  </si>
  <si>
    <t>120,800.00</t>
  </si>
  <si>
    <t>TXN5482</t>
  </si>
  <si>
    <t>08.10.2023</t>
  </si>
  <si>
    <t>Yatan Yogi</t>
  </si>
  <si>
    <t>TXN5562</t>
  </si>
  <si>
    <t>12/10/2024</t>
  </si>
  <si>
    <t>103,650.00</t>
  </si>
  <si>
    <t>TXN5296</t>
  </si>
  <si>
    <t>08-Mar-2025</t>
  </si>
  <si>
    <t>Ubika Divan</t>
  </si>
  <si>
    <t>TXN5181</t>
  </si>
  <si>
    <t>TXN5759</t>
  </si>
  <si>
    <t>25/10/2024</t>
  </si>
  <si>
    <t>₹224,690.00</t>
  </si>
  <si>
    <t>Turvi Bala</t>
  </si>
  <si>
    <t>TXN5804</t>
  </si>
  <si>
    <t>July 11, 2025</t>
  </si>
  <si>
    <t>Simon Shanker</t>
  </si>
  <si>
    <t>TXN5802</t>
  </si>
  <si>
    <t>December 29, 2023</t>
  </si>
  <si>
    <t>Diya Arora</t>
  </si>
  <si>
    <t>TXN5671</t>
  </si>
  <si>
    <t>44,740.00</t>
  </si>
  <si>
    <t>Edhitha Mahajan</t>
  </si>
  <si>
    <t>TXN5587</t>
  </si>
  <si>
    <t>03/09/2025</t>
  </si>
  <si>
    <t>Rs. 180,330</t>
  </si>
  <si>
    <t>Sai Grewal</t>
  </si>
  <si>
    <t>TXN5054</t>
  </si>
  <si>
    <t>04.06.2025</t>
  </si>
  <si>
    <t>₹151,880.00</t>
  </si>
  <si>
    <t>Frado Bhatti</t>
  </si>
  <si>
    <t>TXN5636</t>
  </si>
  <si>
    <t>02-Oct-2024</t>
  </si>
  <si>
    <t>196,470.00</t>
  </si>
  <si>
    <t>TXN5941</t>
  </si>
  <si>
    <t>04.12.2024</t>
  </si>
  <si>
    <t>Anay Parsa</t>
  </si>
  <si>
    <t>TXN5238</t>
  </si>
  <si>
    <t>Ekta Dayal</t>
  </si>
  <si>
    <t>TXN5069</t>
  </si>
  <si>
    <t>07/14/2024</t>
  </si>
  <si>
    <t>Bhavna Lanka</t>
  </si>
  <si>
    <t>TXN5534</t>
  </si>
  <si>
    <t>15/04/2025</t>
  </si>
  <si>
    <t>TXN5171</t>
  </si>
  <si>
    <t>2025-06-23</t>
  </si>
  <si>
    <t>Ranbir Sahota</t>
  </si>
  <si>
    <t>TXN5320</t>
  </si>
  <si>
    <t>08/03/2023</t>
  </si>
  <si>
    <t>Sarthak Mandal</t>
  </si>
  <si>
    <t>TXN5420</t>
  </si>
  <si>
    <t>December 14, 2023</t>
  </si>
  <si>
    <t>47,320.00</t>
  </si>
  <si>
    <t>Qadim Suresh</t>
  </si>
  <si>
    <t>TXN5863</t>
  </si>
  <si>
    <t>June 29, 2024</t>
  </si>
  <si>
    <t>Ubika Mohan</t>
  </si>
  <si>
    <t>TXN5191</t>
  </si>
  <si>
    <t>05/06/2023</t>
  </si>
  <si>
    <t>Zehaan Thaman</t>
  </si>
  <si>
    <t>TXN5286</t>
  </si>
  <si>
    <t>2023-01-24</t>
  </si>
  <si>
    <t>TXN5893</t>
  </si>
  <si>
    <t>04/21/2023</t>
  </si>
  <si>
    <t>Mitali Buch</t>
  </si>
  <si>
    <t>TXN5146</t>
  </si>
  <si>
    <t>2025-05-19</t>
  </si>
  <si>
    <t>Zaitra De</t>
  </si>
  <si>
    <t>TXN5301</t>
  </si>
  <si>
    <t>30.05.2023</t>
  </si>
  <si>
    <t>Shivani Kibe</t>
  </si>
  <si>
    <t>TXN5153</t>
  </si>
  <si>
    <t>03/09/2024</t>
  </si>
  <si>
    <t>Udarsh Bail</t>
  </si>
  <si>
    <t>TXN5904</t>
  </si>
  <si>
    <t>01/25/2023</t>
  </si>
  <si>
    <t>Vyanjana Agarwal</t>
  </si>
  <si>
    <t>TXN5887</t>
  </si>
  <si>
    <t>08/14/2024</t>
  </si>
  <si>
    <t>Tamanna Din</t>
  </si>
  <si>
    <t>TXN5538</t>
  </si>
  <si>
    <t>10/21/2023</t>
  </si>
  <si>
    <t>TXN5082</t>
  </si>
  <si>
    <t>25.09.2024</t>
  </si>
  <si>
    <t>Amrita Walia</t>
  </si>
  <si>
    <t>TXN5257</t>
  </si>
  <si>
    <t>05/04/2023</t>
  </si>
  <si>
    <t>Gautam Sami</t>
  </si>
  <si>
    <t>TXN5052</t>
  </si>
  <si>
    <t>2024-11-28</t>
  </si>
  <si>
    <t>Indali Bhalla</t>
  </si>
  <si>
    <t>TXN5567</t>
  </si>
  <si>
    <t>15.07.2023</t>
  </si>
  <si>
    <t>₹204,190.00</t>
  </si>
  <si>
    <t>Bahadurjit Purohit</t>
  </si>
  <si>
    <t>TXN5713</t>
  </si>
  <si>
    <t>16-Dec-2023</t>
  </si>
  <si>
    <t>Peter Balay</t>
  </si>
  <si>
    <t>TXN5943</t>
  </si>
  <si>
    <t>September 18, 2023</t>
  </si>
  <si>
    <t>Vedhika Ratta</t>
  </si>
  <si>
    <t>TXN5095</t>
  </si>
  <si>
    <t>13.03.2025</t>
  </si>
  <si>
    <t>Rehaan Bala</t>
  </si>
  <si>
    <t>TXN5163</t>
  </si>
  <si>
    <t>Akshay Vora</t>
  </si>
  <si>
    <t>TXN5725</t>
  </si>
  <si>
    <t>17.07.2024</t>
  </si>
  <si>
    <t>Onveer Narain</t>
  </si>
  <si>
    <t>TXN5093</t>
  </si>
  <si>
    <t>01.07.2023</t>
  </si>
  <si>
    <t>Aahana Keer</t>
  </si>
  <si>
    <t>TXN5885</t>
  </si>
  <si>
    <t>Vanya Banerjee</t>
  </si>
  <si>
    <t>TXN5779</t>
  </si>
  <si>
    <t>05/18/2024</t>
  </si>
  <si>
    <t>Ishita Gokhale</t>
  </si>
  <si>
    <t>TXN5050</t>
  </si>
  <si>
    <t>February 16, 2025</t>
  </si>
  <si>
    <t>Lajita Chatterjee</t>
  </si>
  <si>
    <t>TXN5374</t>
  </si>
  <si>
    <t>07.11.2024</t>
  </si>
  <si>
    <t>Harini Dutta</t>
  </si>
  <si>
    <t>TXN5896</t>
  </si>
  <si>
    <t>Pallavi Gandhi</t>
  </si>
  <si>
    <t>TXN5038</t>
  </si>
  <si>
    <t>₹42,650.00</t>
  </si>
  <si>
    <t>Chavvi Gala</t>
  </si>
  <si>
    <t>TXN5867</t>
  </si>
  <si>
    <t>September 28, 2024</t>
  </si>
  <si>
    <t>51,240.00</t>
  </si>
  <si>
    <t>Ranveer Agrawal</t>
  </si>
  <si>
    <t>TXN5201</t>
  </si>
  <si>
    <t>14-Sep-2024</t>
  </si>
  <si>
    <t>₹104,900.00</t>
  </si>
  <si>
    <t>TXN5830</t>
  </si>
  <si>
    <t>05/17/2025</t>
  </si>
  <si>
    <t>TXN5544</t>
  </si>
  <si>
    <t>TXN5614</t>
  </si>
  <si>
    <t>11/11/2024</t>
  </si>
  <si>
    <t>₹200,750.00</t>
  </si>
  <si>
    <t>TXN5530</t>
  </si>
  <si>
    <t>12-Jul-2025</t>
  </si>
  <si>
    <t>TXN5907</t>
  </si>
  <si>
    <t>14-Oct-2023</t>
  </si>
  <si>
    <t>78,300.00</t>
  </si>
  <si>
    <t>Patrick Prasad</t>
  </si>
  <si>
    <t>TXN5600</t>
  </si>
  <si>
    <t>Unni Narula</t>
  </si>
  <si>
    <t>TXN5875</t>
  </si>
  <si>
    <t>November 23, 2024</t>
  </si>
  <si>
    <t>TXN5225</t>
  </si>
  <si>
    <t>10-Apr-2023</t>
  </si>
  <si>
    <t>TXN5928</t>
  </si>
  <si>
    <t>September 11, 2024</t>
  </si>
  <si>
    <t>Jalsa Rastogi</t>
  </si>
  <si>
    <t>TXN5162</t>
  </si>
  <si>
    <t>124,010.00</t>
  </si>
  <si>
    <t>Jhalak Garde</t>
  </si>
  <si>
    <t>TXN5491</t>
  </si>
  <si>
    <t>February 08, 2024</t>
  </si>
  <si>
    <t>TXN5267</t>
  </si>
  <si>
    <t>06/26/2025</t>
  </si>
  <si>
    <t>Yuvraj Virk</t>
  </si>
  <si>
    <t>TXN5376</t>
  </si>
  <si>
    <t>06/21/2025</t>
  </si>
  <si>
    <t>Wyatt Modi</t>
  </si>
  <si>
    <t>TXN5276</t>
  </si>
  <si>
    <t>November 25, 2024</t>
  </si>
  <si>
    <t>Omaja Mishra</t>
  </si>
  <si>
    <t>TXN5235</t>
  </si>
  <si>
    <t>03/07/2024</t>
  </si>
  <si>
    <t>Forum Bassi</t>
  </si>
  <si>
    <t>TXN5357</t>
  </si>
  <si>
    <t>11/01/2023</t>
  </si>
  <si>
    <t>157,460.00</t>
  </si>
  <si>
    <t>Saanvi Dhingra</t>
  </si>
  <si>
    <t>TXN5262</t>
  </si>
  <si>
    <t>01/08/2024</t>
  </si>
  <si>
    <t>TXN5092</t>
  </si>
  <si>
    <t>18-Feb-2023</t>
  </si>
  <si>
    <t>7,190.00</t>
  </si>
  <si>
    <t>TXN5435</t>
  </si>
  <si>
    <t>20/07/2024</t>
  </si>
  <si>
    <t>₹49,930.00</t>
  </si>
  <si>
    <t>Jatin Chada</t>
  </si>
  <si>
    <t>TXN5457</t>
  </si>
  <si>
    <t>15/11/2023</t>
  </si>
  <si>
    <t>153,040.00</t>
  </si>
  <si>
    <t>Damyanti Reddy</t>
  </si>
  <si>
    <t>TXN5742</t>
  </si>
  <si>
    <t>18.04.2024</t>
  </si>
  <si>
    <t>₹66,900.00</t>
  </si>
  <si>
    <t>Tanmayi Palan</t>
  </si>
  <si>
    <t>TXN5447</t>
  </si>
  <si>
    <t>2023-01-29</t>
  </si>
  <si>
    <t>Yatan Sawhney</t>
  </si>
  <si>
    <t>TXN5503</t>
  </si>
  <si>
    <t>₹44,620.00</t>
  </si>
  <si>
    <t>Aditya Ghose</t>
  </si>
  <si>
    <t>TXN5021</t>
  </si>
  <si>
    <t>08/09/2023</t>
  </si>
  <si>
    <t>₹101,480.00</t>
  </si>
  <si>
    <t>Praneel Raja</t>
  </si>
  <si>
    <t>TXN5391</t>
  </si>
  <si>
    <t>155,160.00</t>
  </si>
  <si>
    <t>Falak Varty</t>
  </si>
  <si>
    <t>TXN5369</t>
  </si>
  <si>
    <t>24-Mar-2024</t>
  </si>
  <si>
    <t>Rs. 128,800</t>
  </si>
  <si>
    <t>Riya Pai</t>
  </si>
  <si>
    <t>TXN5354</t>
  </si>
  <si>
    <t>23/11/2024</t>
  </si>
  <si>
    <t>Vedant Devi</t>
  </si>
  <si>
    <t>TXN5586</t>
  </si>
  <si>
    <t>Isha Sama</t>
  </si>
  <si>
    <t>TXN5399</t>
  </si>
  <si>
    <t>239,910.00</t>
  </si>
  <si>
    <t>Zilmil Rana</t>
  </si>
  <si>
    <t>TXN5023</t>
  </si>
  <si>
    <t>02/15/2024</t>
  </si>
  <si>
    <t>₹9,360.00</t>
  </si>
  <si>
    <t>Michael Mitter</t>
  </si>
  <si>
    <t>TXN5820</t>
  </si>
  <si>
    <t>11/02/2024</t>
  </si>
  <si>
    <t>Rs. 83,660</t>
  </si>
  <si>
    <t>Warjas Sangha</t>
  </si>
  <si>
    <t>TXN5731</t>
  </si>
  <si>
    <t>22.09.2023</t>
  </si>
  <si>
    <t>Samuel De</t>
  </si>
  <si>
    <t>TXN5464</t>
  </si>
  <si>
    <t>05.04.2023</t>
  </si>
  <si>
    <t>Rs. 219,500</t>
  </si>
  <si>
    <t>Lucky Sachar</t>
  </si>
  <si>
    <t>TXN5067</t>
  </si>
  <si>
    <t>29-Jul-2025</t>
  </si>
  <si>
    <t>₹55,950.00</t>
  </si>
  <si>
    <t>Rajata Jaggi</t>
  </si>
  <si>
    <t>TXN5715</t>
  </si>
  <si>
    <t>24.01.2024</t>
  </si>
  <si>
    <t>TXN5661</t>
  </si>
  <si>
    <t>August 18, 2023</t>
  </si>
  <si>
    <t>Wahab Randhawa</t>
  </si>
  <si>
    <t>TXN5250</t>
  </si>
  <si>
    <t>2024-02-15</t>
  </si>
  <si>
    <t>Chanchal Swaminathan</t>
  </si>
  <si>
    <t>TXN5577</t>
  </si>
  <si>
    <t>TXN5703</t>
  </si>
  <si>
    <t>04/28/2024</t>
  </si>
  <si>
    <t>Umang Saini</t>
  </si>
  <si>
    <t>TXN5025</t>
  </si>
  <si>
    <t>Faraj Venkatesh</t>
  </si>
  <si>
    <t>TXN5481</t>
  </si>
  <si>
    <t>26.05.2024</t>
  </si>
  <si>
    <t>Lucky Prakash</t>
  </si>
  <si>
    <t>TXN5899</t>
  </si>
  <si>
    <t>13.02.2025</t>
  </si>
  <si>
    <t>Ikbal Padmanabhan</t>
  </si>
  <si>
    <t>TXN5615</t>
  </si>
  <si>
    <t>06-Jan-2023</t>
  </si>
  <si>
    <t>TXN5389</t>
  </si>
  <si>
    <t>09.09.2023</t>
  </si>
  <si>
    <t>₹102,840.00</t>
  </si>
  <si>
    <t>TXN5237</t>
  </si>
  <si>
    <t>2023-09-21</t>
  </si>
  <si>
    <t>TXN5298</t>
  </si>
  <si>
    <t>12/27/2024</t>
  </si>
  <si>
    <t>Ojas Dua</t>
  </si>
  <si>
    <t>TXN5733</t>
  </si>
  <si>
    <t>04/20/2024</t>
  </si>
  <si>
    <t>Nathan Mukherjee</t>
  </si>
  <si>
    <t>TXN5255</t>
  </si>
  <si>
    <t>April 12, 2024</t>
  </si>
  <si>
    <t>Vrishti Sehgal</t>
  </si>
  <si>
    <t>TXN5281</t>
  </si>
  <si>
    <t>10.12.2024</t>
  </si>
  <si>
    <t>14,120.00</t>
  </si>
  <si>
    <t>Qasim Brar</t>
  </si>
  <si>
    <t>TXN5415</t>
  </si>
  <si>
    <t>10/26/2023</t>
  </si>
  <si>
    <t>Kavya Mitter</t>
  </si>
  <si>
    <t>TXN5362</t>
  </si>
  <si>
    <t>2023-12-08</t>
  </si>
  <si>
    <t>Maya Bansal</t>
  </si>
  <si>
    <t>TXN5322</t>
  </si>
  <si>
    <t>18/06/2024</t>
  </si>
  <si>
    <t>Ryan Dugar</t>
  </si>
  <si>
    <t>TXN5224</t>
  </si>
  <si>
    <t>15/12/2023</t>
  </si>
  <si>
    <t>Rs. 137,950</t>
  </si>
  <si>
    <t>TXN5213</t>
  </si>
  <si>
    <t>06/21/2024</t>
  </si>
  <si>
    <t>Nihal Sibal</t>
  </si>
  <si>
    <t>TXN5414</t>
  </si>
  <si>
    <t>21-Aug-2024</t>
  </si>
  <si>
    <t>Jacob Prabhu</t>
  </si>
  <si>
    <t>TXN5807</t>
  </si>
  <si>
    <t>26.05.2023</t>
  </si>
  <si>
    <t>TXN5173</t>
  </si>
  <si>
    <t>01.01.2023</t>
  </si>
  <si>
    <t>248,380.00</t>
  </si>
  <si>
    <t>Bina Lala</t>
  </si>
  <si>
    <t>TXN5387</t>
  </si>
  <si>
    <t>10-Jul-2025</t>
  </si>
  <si>
    <t>Vivaan Palla</t>
  </si>
  <si>
    <t>TXN5700</t>
  </si>
  <si>
    <t>01-Oct-2024</t>
  </si>
  <si>
    <t>₹149,790.00</t>
  </si>
  <si>
    <t>Xalak Pant</t>
  </si>
  <si>
    <t>TXN5716</t>
  </si>
  <si>
    <t>03/26/2024</t>
  </si>
  <si>
    <t>TXN5858</t>
  </si>
  <si>
    <t>May 02, 2025</t>
  </si>
  <si>
    <t>TXN5616</t>
  </si>
  <si>
    <t>20/01/2025</t>
  </si>
  <si>
    <t>Ethan Parmar</t>
  </si>
  <si>
    <t>TXN5080</t>
  </si>
  <si>
    <t>12/05/2023</t>
  </si>
  <si>
    <t>Rs. 103,210</t>
  </si>
  <si>
    <t>Pranit Bahl</t>
  </si>
  <si>
    <t>TXN5721</t>
  </si>
  <si>
    <t>16.09.2023</t>
  </si>
  <si>
    <t>170,920.00</t>
  </si>
  <si>
    <t>Ekaraj Sha</t>
  </si>
  <si>
    <t>TXN5148</t>
  </si>
  <si>
    <t>04/08/2023</t>
  </si>
  <si>
    <t>TXN5382</t>
  </si>
  <si>
    <t>26.03.2024</t>
  </si>
  <si>
    <t>TXN5211</t>
  </si>
  <si>
    <t>06/28/2025</t>
  </si>
  <si>
    <t>Chatura Karpe</t>
  </si>
  <si>
    <t>TXN5622</t>
  </si>
  <si>
    <t>12/08/2024</t>
  </si>
  <si>
    <t>Rudra Mander</t>
  </si>
  <si>
    <t>TXN5453</t>
  </si>
  <si>
    <t>2024-09-26</t>
  </si>
  <si>
    <t>Rs. 76,970</t>
  </si>
  <si>
    <t>Lavanya Kurian</t>
  </si>
  <si>
    <t>TXN5859</t>
  </si>
  <si>
    <t>31-Jul-2023</t>
  </si>
  <si>
    <t>TXN5398</t>
  </si>
  <si>
    <t>30/04/2025</t>
  </si>
  <si>
    <t>Kala Vora</t>
  </si>
  <si>
    <t>TXN5631</t>
  </si>
  <si>
    <t>Hamsini Kade</t>
  </si>
  <si>
    <t>TXN5520</t>
  </si>
  <si>
    <t>01/29/2025</t>
  </si>
  <si>
    <t>Rs. 163,960</t>
  </si>
  <si>
    <t>TXN5512</t>
  </si>
  <si>
    <t>2023-09-30</t>
  </si>
  <si>
    <t>Turvi Prabhakar</t>
  </si>
  <si>
    <t>TXN5022</t>
  </si>
  <si>
    <t>23.07.2024</t>
  </si>
  <si>
    <t>TXN5330</t>
  </si>
  <si>
    <t>01/29/2024</t>
  </si>
  <si>
    <t>TXN5351</t>
  </si>
  <si>
    <t>05-Jun-2025</t>
  </si>
  <si>
    <t>Frederick Lata</t>
  </si>
  <si>
    <t>TXN5537</t>
  </si>
  <si>
    <t>2025-07-30</t>
  </si>
  <si>
    <t>109,440.00</t>
  </si>
  <si>
    <t>Jairaj Vasa</t>
  </si>
  <si>
    <t>TXN5897</t>
  </si>
  <si>
    <t>2024-07-15</t>
  </si>
  <si>
    <t>Zayyan Mittal</t>
  </si>
  <si>
    <t>TXN5809</t>
  </si>
  <si>
    <t>22.06.2023</t>
  </si>
  <si>
    <t>₹132,620.00</t>
  </si>
  <si>
    <t>Caleb Bhavsar</t>
  </si>
  <si>
    <t>TXN5448</t>
  </si>
  <si>
    <t>04/15/2025</t>
  </si>
  <si>
    <t>TXN5504</t>
  </si>
  <si>
    <t>18/01/2025</t>
  </si>
  <si>
    <t>Rs. 7,420</t>
  </si>
  <si>
    <t>Vrinda Ramaswamy</t>
  </si>
  <si>
    <t>TXN5690</t>
  </si>
  <si>
    <t>Urmi Vala</t>
  </si>
  <si>
    <t>ProductName</t>
  </si>
  <si>
    <t>Category</t>
  </si>
  <si>
    <t>Material</t>
  </si>
  <si>
    <t>Purity</t>
  </si>
  <si>
    <t>Weight_g</t>
  </si>
  <si>
    <t>CostPrice</t>
  </si>
  <si>
    <t>SellingPrice</t>
  </si>
  <si>
    <t>StockQty</t>
  </si>
  <si>
    <t>Supplier</t>
  </si>
  <si>
    <t>LaunchDate</t>
  </si>
  <si>
    <t>Gold Ring #1</t>
  </si>
  <si>
    <t>Rings</t>
  </si>
  <si>
    <t xml:space="preserve">Gold </t>
  </si>
  <si>
    <t>24K</t>
  </si>
  <si>
    <t>Silver Line Exports</t>
  </si>
  <si>
    <t>January 02, 2024</t>
  </si>
  <si>
    <t>Rose Gold Anklet #2</t>
  </si>
  <si>
    <t xml:space="preserve"> Anklets</t>
  </si>
  <si>
    <t>rose gold</t>
  </si>
  <si>
    <t>18K</t>
  </si>
  <si>
    <t>Diamond Hub Inc</t>
  </si>
  <si>
    <t>23.11.2019</t>
  </si>
  <si>
    <t>Platinum Bangle #3</t>
  </si>
  <si>
    <t>Bangles</t>
  </si>
  <si>
    <t>platinum</t>
  </si>
  <si>
    <t>950 Platinum</t>
  </si>
  <si>
    <t>164,470.00</t>
  </si>
  <si>
    <t>₹253,160.00</t>
  </si>
  <si>
    <t>Rajesh Jewels Pvt Ltd</t>
  </si>
  <si>
    <t>02/04/2022</t>
  </si>
  <si>
    <t>Silver Necklace #4</t>
  </si>
  <si>
    <t>necklaces</t>
  </si>
  <si>
    <t>Silver</t>
  </si>
  <si>
    <t>999 Silver</t>
  </si>
  <si>
    <t>Sundari Gems</t>
  </si>
  <si>
    <t>05.03.2020</t>
  </si>
  <si>
    <t>Rose Gold Bracelet #5</t>
  </si>
  <si>
    <t>bracelets</t>
  </si>
  <si>
    <t>Rose Gold</t>
  </si>
  <si>
    <t>22K</t>
  </si>
  <si>
    <t>08-Oct-2020</t>
  </si>
  <si>
    <t>Diamond Earring #6</t>
  </si>
  <si>
    <t xml:space="preserve"> Earrings</t>
  </si>
  <si>
    <t>diamond</t>
  </si>
  <si>
    <t>Platinum + Diamond</t>
  </si>
  <si>
    <t>₹41,720.00</t>
  </si>
  <si>
    <t>₹56,970.00</t>
  </si>
  <si>
    <t>Kundan Creations</t>
  </si>
  <si>
    <t>May 27, 2021</t>
  </si>
  <si>
    <t>Silver Anklet #7</t>
  </si>
  <si>
    <t>Anklets</t>
  </si>
  <si>
    <t>silver</t>
  </si>
  <si>
    <t>925 Silver</t>
  </si>
  <si>
    <t>₹93,190.00</t>
  </si>
  <si>
    <t>2023-10-29</t>
  </si>
  <si>
    <t>Platinum Earring #8</t>
  </si>
  <si>
    <t>EARRINGS</t>
  </si>
  <si>
    <t>Platinum</t>
  </si>
  <si>
    <t>GoldCraft Traders</t>
  </si>
  <si>
    <t>11/10/2019</t>
  </si>
  <si>
    <t>Silver Ring #9</t>
  </si>
  <si>
    <t>RINGS</t>
  </si>
  <si>
    <t>SILVER</t>
  </si>
  <si>
    <t>May 22, 2019</t>
  </si>
  <si>
    <t>Rose Gold Bracelet #10</t>
  </si>
  <si>
    <t>ROSE GOLD</t>
  </si>
  <si>
    <t>₹100,210.00</t>
  </si>
  <si>
    <t>2021-07-13</t>
  </si>
  <si>
    <t>Gold Bracelet #11</t>
  </si>
  <si>
    <t>BRACELETS</t>
  </si>
  <si>
    <t>GOLD</t>
  </si>
  <si>
    <t>02-Oct-2022</t>
  </si>
  <si>
    <t>Gold Necklace #12</t>
  </si>
  <si>
    <t>Necklaces</t>
  </si>
  <si>
    <t>Gold</t>
  </si>
  <si>
    <t>Rs. 94,030</t>
  </si>
  <si>
    <t>11.10.2022</t>
  </si>
  <si>
    <t>Diamond Earring #13</t>
  </si>
  <si>
    <t>Earrings</t>
  </si>
  <si>
    <t>Rs. 149,550</t>
  </si>
  <si>
    <t>October 20, 2023</t>
  </si>
  <si>
    <t>Diamond Nose Pin #14</t>
  </si>
  <si>
    <t xml:space="preserve"> Nose Pins</t>
  </si>
  <si>
    <t>Rs. 58,070</t>
  </si>
  <si>
    <t>03/10/2021</t>
  </si>
  <si>
    <t>Platinum Bracelet #15</t>
  </si>
  <si>
    <t>Bracelets</t>
  </si>
  <si>
    <t>PLATINUM</t>
  </si>
  <si>
    <t>₹132,490.00</t>
  </si>
  <si>
    <t>11-Apr-2022</t>
  </si>
  <si>
    <t>Diamond Necklace #16</t>
  </si>
  <si>
    <t>18K Gold + Diamond</t>
  </si>
  <si>
    <t>113,830.00</t>
  </si>
  <si>
    <t>March 03, 2022</t>
  </si>
  <si>
    <t>Platinum Necklace #17</t>
  </si>
  <si>
    <t>Rs. 132,840</t>
  </si>
  <si>
    <t>March 12, 2020</t>
  </si>
  <si>
    <t>Platinum Ring #18</t>
  </si>
  <si>
    <t>Ring</t>
  </si>
  <si>
    <t>2023-12-28</t>
  </si>
  <si>
    <t>Diamond Bangle #19</t>
  </si>
  <si>
    <t>bangles</t>
  </si>
  <si>
    <t>DIAMOND</t>
  </si>
  <si>
    <t>₹25,590.00</t>
  </si>
  <si>
    <t>29/04/2023</t>
  </si>
  <si>
    <t>Silver Ring #20</t>
  </si>
  <si>
    <t>rings</t>
  </si>
  <si>
    <t>2024-01-16</t>
  </si>
  <si>
    <t>Silver Bracelet #21</t>
  </si>
  <si>
    <t xml:space="preserve"> Bracelets</t>
  </si>
  <si>
    <t>Rs. 375,780</t>
  </si>
  <si>
    <t>02/17/2023</t>
  </si>
  <si>
    <t>Diamond Pendant #22</t>
  </si>
  <si>
    <t>pendants</t>
  </si>
  <si>
    <t>Diamond</t>
  </si>
  <si>
    <t>03/27/2021</t>
  </si>
  <si>
    <t>Gold Necklace #23</t>
  </si>
  <si>
    <t>56,540.00</t>
  </si>
  <si>
    <t>06/08/2021</t>
  </si>
  <si>
    <t>Gold Bracelet #24</t>
  </si>
  <si>
    <t>gold</t>
  </si>
  <si>
    <t>Rs. 122,820</t>
  </si>
  <si>
    <t>2022-09-20</t>
  </si>
  <si>
    <t>Diamond Earring #25</t>
  </si>
  <si>
    <t>Malabar Suppliers</t>
  </si>
  <si>
    <t>May 29, 2023</t>
  </si>
  <si>
    <t>Silver Necklace #26</t>
  </si>
  <si>
    <t>26.04.2020</t>
  </si>
  <si>
    <t>Diamond Anklet #27</t>
  </si>
  <si>
    <t xml:space="preserve">Diamond </t>
  </si>
  <si>
    <t>2022-11-09</t>
  </si>
  <si>
    <t>Gold Nose Pin #28</t>
  </si>
  <si>
    <t>Nose Pins</t>
  </si>
  <si>
    <t>297,910.00</t>
  </si>
  <si>
    <t>29-Apr-2024</t>
  </si>
  <si>
    <t>Silver Bangle #29</t>
  </si>
  <si>
    <t>₹121,980.00</t>
  </si>
  <si>
    <t>07/10/2020</t>
  </si>
  <si>
    <t>Rose Gold Nose Pin #30</t>
  </si>
  <si>
    <t xml:space="preserve">Rose Gold </t>
  </si>
  <si>
    <t>21.04.2024</t>
  </si>
  <si>
    <t>Rose Gold Bracelet #31</t>
  </si>
  <si>
    <t>22-Oct-2022</t>
  </si>
  <si>
    <t>Gold Anklet #32</t>
  </si>
  <si>
    <t>anklets</t>
  </si>
  <si>
    <t>07/20/2021</t>
  </si>
  <si>
    <t>Gold Pendant #33</t>
  </si>
  <si>
    <t>PENDANTS</t>
  </si>
  <si>
    <t>Platinum Pendant #34</t>
  </si>
  <si>
    <t>Pendants</t>
  </si>
  <si>
    <t>Rs. 244,350</t>
  </si>
  <si>
    <t>12/02/2019</t>
  </si>
  <si>
    <t>Rose Gold Bracelet #35</t>
  </si>
  <si>
    <t>₹137,320.00</t>
  </si>
  <si>
    <t>June 19, 2023</t>
  </si>
  <si>
    <t>Diamond Necklace #36</t>
  </si>
  <si>
    <t>10/06/2021</t>
  </si>
  <si>
    <t>Platinum Bracelet #37</t>
  </si>
  <si>
    <t>64,290.00</t>
  </si>
  <si>
    <t>93,230.00</t>
  </si>
  <si>
    <t>30-Sep-2022</t>
  </si>
  <si>
    <t>Rose Gold Bangle #38</t>
  </si>
  <si>
    <t>Rs. 96,260</t>
  </si>
  <si>
    <t>11/02/2022</t>
  </si>
  <si>
    <t>Platinum Nose Pin #39</t>
  </si>
  <si>
    <t>nose pins</t>
  </si>
  <si>
    <t>Rs. 141,490</t>
  </si>
  <si>
    <t>07/08/2020</t>
  </si>
  <si>
    <t>Silver Nose Pin #40</t>
  </si>
  <si>
    <t>₹202,640.00</t>
  </si>
  <si>
    <t>₹275,560.00</t>
  </si>
  <si>
    <t>Platinum Earring #41</t>
  </si>
  <si>
    <t>₹21,060.00</t>
  </si>
  <si>
    <t>28/11/2020</t>
  </si>
  <si>
    <t>Gold Earring #42</t>
  </si>
  <si>
    <t>16-Feb-2022</t>
  </si>
  <si>
    <t>Rose Gold Ring #43</t>
  </si>
  <si>
    <t>₹173,490.00</t>
  </si>
  <si>
    <t>214,160.00</t>
  </si>
  <si>
    <t>18/11/2019</t>
  </si>
  <si>
    <t>Platinum Nose Pin #44</t>
  </si>
  <si>
    <t>₹188,230.00</t>
  </si>
  <si>
    <t>Rs. 275,780</t>
  </si>
  <si>
    <t>16/09/2022</t>
  </si>
  <si>
    <t>Platinum Bangle #45</t>
  </si>
  <si>
    <t xml:space="preserve"> Bangles</t>
  </si>
  <si>
    <t xml:space="preserve">Platinum </t>
  </si>
  <si>
    <t>37,030.00</t>
  </si>
  <si>
    <t>₹52,950.00</t>
  </si>
  <si>
    <t>October 21, 2021</t>
  </si>
  <si>
    <t>Rose Gold Ring #46</t>
  </si>
  <si>
    <t>147,740.00</t>
  </si>
  <si>
    <t>06/24/2021</t>
  </si>
  <si>
    <t>Silver Pendant #47</t>
  </si>
  <si>
    <t xml:space="preserve"> Pendants</t>
  </si>
  <si>
    <t>2022-01-31</t>
  </si>
  <si>
    <t>Rose Gold Nose Pin #48</t>
  </si>
  <si>
    <t>NOSE PINS</t>
  </si>
  <si>
    <t>₹18,910.00</t>
  </si>
  <si>
    <t>2021-06-24</t>
  </si>
  <si>
    <t>Rose Gold Bracelet #49</t>
  </si>
  <si>
    <t>2024-02-13</t>
  </si>
  <si>
    <t>Diamond Nose Pin #50</t>
  </si>
  <si>
    <t>83,140.00</t>
  </si>
  <si>
    <t>₹101,950.00</t>
  </si>
  <si>
    <t>09/03/2023</t>
  </si>
  <si>
    <t>Platinum Nose Pin #51</t>
  </si>
  <si>
    <t>129,040.00</t>
  </si>
  <si>
    <t>11-Feb-2021</t>
  </si>
  <si>
    <t>Diamond Anklet #52</t>
  </si>
  <si>
    <t>ANKLETS</t>
  </si>
  <si>
    <t>2024-05-29</t>
  </si>
  <si>
    <t>Diamond Earring #53</t>
  </si>
  <si>
    <t>earrings</t>
  </si>
  <si>
    <t>2022-08-23</t>
  </si>
  <si>
    <t>Silver Bangle #54</t>
  </si>
  <si>
    <t>158,750.00</t>
  </si>
  <si>
    <t>2023-11-23</t>
  </si>
  <si>
    <t>Silver Bracelet #55</t>
  </si>
  <si>
    <t>19-Nov-2023</t>
  </si>
  <si>
    <t>Diamond Bangle #56</t>
  </si>
  <si>
    <t>Rs. 28,510</t>
  </si>
  <si>
    <t>24-May-2024</t>
  </si>
  <si>
    <t>Rose Gold Bangle #57</t>
  </si>
  <si>
    <t>Rs. 18,410</t>
  </si>
  <si>
    <t>07.11.2023</t>
  </si>
  <si>
    <t>Silver Bangle #58</t>
  </si>
  <si>
    <t>Rs. 171,230</t>
  </si>
  <si>
    <t>₹241,180.00</t>
  </si>
  <si>
    <t>2021-06-21</t>
  </si>
  <si>
    <t>Rose Gold Pendant #59</t>
  </si>
  <si>
    <t>27.08.2020</t>
  </si>
  <si>
    <t>Diamond Pendant #60</t>
  </si>
  <si>
    <t>₹126,960.00</t>
  </si>
  <si>
    <t>09.10.2022</t>
  </si>
  <si>
    <t>CustomerName</t>
  </si>
  <si>
    <t>Gender</t>
  </si>
  <si>
    <t>Age</t>
  </si>
  <si>
    <t>City</t>
  </si>
  <si>
    <t>State</t>
  </si>
  <si>
    <t>Email</t>
  </si>
  <si>
    <t>Phone</t>
  </si>
  <si>
    <t>MembershipTier</t>
  </si>
  <si>
    <t>JoinDate</t>
  </si>
  <si>
    <t>Kritika Brar</t>
  </si>
  <si>
    <t>FEMALE</t>
  </si>
  <si>
    <t>chennai</t>
  </si>
  <si>
    <t>Tamil Nadu</t>
  </si>
  <si>
    <t>bakshianvi@example.org</t>
  </si>
  <si>
    <t>1960013389</t>
  </si>
  <si>
    <t>17.03.2023</t>
  </si>
  <si>
    <t>Alka Dewan</t>
  </si>
  <si>
    <t>Female</t>
  </si>
  <si>
    <t>Delhi</t>
  </si>
  <si>
    <t>janaki93@example.net</t>
  </si>
  <si>
    <t>+91-2832764835</t>
  </si>
  <si>
    <t>Neel Zacharia</t>
  </si>
  <si>
    <t>m</t>
  </si>
  <si>
    <t>Surat</t>
  </si>
  <si>
    <t>Gujarat</t>
  </si>
  <si>
    <t>adyasangha@example.net</t>
  </si>
  <si>
    <t>+91-8480184514</t>
  </si>
  <si>
    <t>2021-02-19</t>
  </si>
  <si>
    <t>Veer Bir</t>
  </si>
  <si>
    <t>M</t>
  </si>
  <si>
    <t>Jaipur</t>
  </si>
  <si>
    <t>Rajasthan</t>
  </si>
  <si>
    <t>naikvrinda@example.org</t>
  </si>
  <si>
    <t>+91-8963834657</t>
  </si>
  <si>
    <t>06-Sep-2018</t>
  </si>
  <si>
    <t>Girik Khalsa</t>
  </si>
  <si>
    <t>Male</t>
  </si>
  <si>
    <t>Hyderabad</t>
  </si>
  <si>
    <t>Telangana</t>
  </si>
  <si>
    <t>narayananekavir@example.net</t>
  </si>
  <si>
    <t>+91-6701065133</t>
  </si>
  <si>
    <t>May 31, 2019</t>
  </si>
  <si>
    <t>Finn Saini</t>
  </si>
  <si>
    <t>MALE</t>
  </si>
  <si>
    <t>Mumbay</t>
  </si>
  <si>
    <t>Maharashtra</t>
  </si>
  <si>
    <t>niharikasunder@example.com</t>
  </si>
  <si>
    <t>6064746872</t>
  </si>
  <si>
    <t>16/08/2019</t>
  </si>
  <si>
    <t>Samar Lalla</t>
  </si>
  <si>
    <t>female</t>
  </si>
  <si>
    <t>advika35@example.org</t>
  </si>
  <si>
    <t>7510799118</t>
  </si>
  <si>
    <t>06/03/2018</t>
  </si>
  <si>
    <t>Gaurangi Sabharwal</t>
  </si>
  <si>
    <t>dkrishnamurthy@example.org</t>
  </si>
  <si>
    <t>05869232260</t>
  </si>
  <si>
    <t>Chaitanya Sarin</t>
  </si>
  <si>
    <t>Ahmedabad</t>
  </si>
  <si>
    <t>3375433036</t>
  </si>
  <si>
    <t>13.10.2022</t>
  </si>
  <si>
    <t>Girik Keer</t>
  </si>
  <si>
    <t>N/A</t>
  </si>
  <si>
    <t>BENGALURU</t>
  </si>
  <si>
    <t>Karnataka</t>
  </si>
  <si>
    <t>venkateshronith@example.com</t>
  </si>
  <si>
    <t>07773872148</t>
  </si>
  <si>
    <t>01.01.2025</t>
  </si>
  <si>
    <t>William Maharaj</t>
  </si>
  <si>
    <t>Lucknow</t>
  </si>
  <si>
    <t>Uttar Pradesh</t>
  </si>
  <si>
    <t>umang32@example.org</t>
  </si>
  <si>
    <t>None</t>
  </si>
  <si>
    <t>Lopa Nayar</t>
  </si>
  <si>
    <t>f</t>
  </si>
  <si>
    <t>Pune</t>
  </si>
  <si>
    <t>tbrahmbhatt@example.com</t>
  </si>
  <si>
    <t>04-Jul-2021</t>
  </si>
  <si>
    <t>Udyati Kunda</t>
  </si>
  <si>
    <t>dgandhi@example.org</t>
  </si>
  <si>
    <t>07/03/2022</t>
  </si>
  <si>
    <t>Rajata Loyal</t>
  </si>
  <si>
    <t>Kolkata</t>
  </si>
  <si>
    <t>West Bengal</t>
  </si>
  <si>
    <t>oliver99@example.net</t>
  </si>
  <si>
    <t>+91-9058651850</t>
  </si>
  <si>
    <t>2021-12-11</t>
  </si>
  <si>
    <t>Pavani Narayanan</t>
  </si>
  <si>
    <t>yatan14@example.com</t>
  </si>
  <si>
    <t>01436349578</t>
  </si>
  <si>
    <t>February 15, 2021</t>
  </si>
  <si>
    <t>Ishaan Bhattacharyya</t>
  </si>
  <si>
    <t>F</t>
  </si>
  <si>
    <t>1823374989</t>
  </si>
  <si>
    <t>26/01/2018</t>
  </si>
  <si>
    <t>Vincent Mani</t>
  </si>
  <si>
    <t>eswamy@example.net</t>
  </si>
  <si>
    <t>4131869993</t>
  </si>
  <si>
    <t>28/10/2021</t>
  </si>
  <si>
    <t>Zilmil Sathe</t>
  </si>
  <si>
    <t>male</t>
  </si>
  <si>
    <t>sudiksha13@example.com</t>
  </si>
  <si>
    <t>12/01/2018</t>
  </si>
  <si>
    <t>Ayush Khatri</t>
  </si>
  <si>
    <t>06.03.2021</t>
  </si>
  <si>
    <t>Tamanna Nagy</t>
  </si>
  <si>
    <t>Chenai</t>
  </si>
  <si>
    <t>deepaatwal@example.net</t>
  </si>
  <si>
    <t>15/05/2020</t>
  </si>
  <si>
    <t>Guneet Chaudhry</t>
  </si>
  <si>
    <t>6627028951</t>
  </si>
  <si>
    <t>August 12, 2023</t>
  </si>
  <si>
    <t>Rushil Rajagopalan</t>
  </si>
  <si>
    <t>sganesan@example.com</t>
  </si>
  <si>
    <t>4556238692</t>
  </si>
  <si>
    <t>06-Jun-2024</t>
  </si>
  <si>
    <t>Chakrika Nigam</t>
  </si>
  <si>
    <t>pchhabra@example.com</t>
  </si>
  <si>
    <t>0640909743</t>
  </si>
  <si>
    <t>27-Dec-2018</t>
  </si>
  <si>
    <t>Oni Dubey</t>
  </si>
  <si>
    <t>sidhufaqid@example.org</t>
  </si>
  <si>
    <t>00471138267</t>
  </si>
  <si>
    <t>2019-11-20</t>
  </si>
  <si>
    <t>Owen Choudhary</t>
  </si>
  <si>
    <t>fchaudhary@example.net</t>
  </si>
  <si>
    <t>14/11/2020</t>
  </si>
  <si>
    <t>Lakshmi Wali</t>
  </si>
  <si>
    <t>Coimbatore</t>
  </si>
  <si>
    <t>deepalexander@example.com</t>
  </si>
  <si>
    <t>07711592124</t>
  </si>
  <si>
    <t>18/07/2021</t>
  </si>
  <si>
    <t>Yashica Kala</t>
  </si>
  <si>
    <t>6736576615</t>
  </si>
  <si>
    <t>07-Mar-2023</t>
  </si>
  <si>
    <t>Charles Dugal</t>
  </si>
  <si>
    <t>vasatikakapur@example.org</t>
  </si>
  <si>
    <t>4936899809</t>
  </si>
  <si>
    <t>January 17, 2023</t>
  </si>
  <si>
    <t>Mekhala Basak</t>
  </si>
  <si>
    <t>chandranbumb@example.com</t>
  </si>
  <si>
    <t>07622683885</t>
  </si>
  <si>
    <t>10/06/2018</t>
  </si>
  <si>
    <t>Rudra Ghose</t>
  </si>
  <si>
    <t>dbahl@example.org</t>
  </si>
  <si>
    <t>+91-3696816453</t>
  </si>
  <si>
    <t>09/27/2018</t>
  </si>
  <si>
    <t>Yachana Dora</t>
  </si>
  <si>
    <t>faqidgoel@example.net</t>
  </si>
  <si>
    <t>08679807935</t>
  </si>
  <si>
    <t>June 13, 2019</t>
  </si>
  <si>
    <t>Joshua Vyas</t>
  </si>
  <si>
    <t>seshadriharshil@example.com</t>
  </si>
  <si>
    <t>03/16/2018</t>
  </si>
  <si>
    <t>Triya Manda</t>
  </si>
  <si>
    <t>sampathyashoda@example.com</t>
  </si>
  <si>
    <t>+91-9622292706</t>
  </si>
  <si>
    <t>February 19, 2019</t>
  </si>
  <si>
    <t>Liam Singh</t>
  </si>
  <si>
    <t>bengaluru</t>
  </si>
  <si>
    <t>hthakkar@example.com</t>
  </si>
  <si>
    <t>05305152204</t>
  </si>
  <si>
    <t>2022-11-28</t>
  </si>
  <si>
    <t>Madhavi Singhal</t>
  </si>
  <si>
    <t>fahluwalia@example.org</t>
  </si>
  <si>
    <t>21-Jun-2021</t>
  </si>
  <si>
    <t>Ria Raju</t>
  </si>
  <si>
    <t>26/10/2019</t>
  </si>
  <si>
    <t>Leela Bali</t>
  </si>
  <si>
    <t>rachit77@example.com</t>
  </si>
  <si>
    <t>6928451154</t>
  </si>
  <si>
    <t>10/12/2018</t>
  </si>
  <si>
    <t>Jairaj Iyer</t>
  </si>
  <si>
    <t>shivaniprabhakar@example.com</t>
  </si>
  <si>
    <t>8565431027</t>
  </si>
  <si>
    <t>2022-08-27</t>
  </si>
  <si>
    <t>Farhan Krishna</t>
  </si>
  <si>
    <t>warjastak@example.org</t>
  </si>
  <si>
    <t>22/08/2019</t>
  </si>
  <si>
    <t>Maanas Munshi</t>
  </si>
  <si>
    <t>anvidass@example.net</t>
  </si>
  <si>
    <t>04710276773</t>
  </si>
  <si>
    <t>02/06/2020</t>
  </si>
  <si>
    <t>Bhavika Yadav</t>
  </si>
  <si>
    <t xml:space="preserve"> Chennai</t>
  </si>
  <si>
    <t>hemani62@example.com</t>
  </si>
  <si>
    <t>+91-9532787747</t>
  </si>
  <si>
    <t>26-Dec-2024</t>
  </si>
  <si>
    <t>Manthan Varma</t>
  </si>
  <si>
    <t xml:space="preserve"> Mumbai</t>
  </si>
  <si>
    <t>chokshiraagini@example.org</t>
  </si>
  <si>
    <t>08680002578</t>
  </si>
  <si>
    <t>16/12/2021</t>
  </si>
  <si>
    <t>Max Sachar</t>
  </si>
  <si>
    <t>falaknagar@example.org</t>
  </si>
  <si>
    <t>06230913075</t>
  </si>
  <si>
    <t>05/04/2022</t>
  </si>
  <si>
    <t>Bina Basak</t>
  </si>
  <si>
    <t>nirjathaker@example.net</t>
  </si>
  <si>
    <t>2019-07-01</t>
  </si>
  <si>
    <t>Patrick Bansal</t>
  </si>
  <si>
    <t>Bangalore</t>
  </si>
  <si>
    <t>farhan57@example.net</t>
  </si>
  <si>
    <t>04540193802</t>
  </si>
  <si>
    <t>2023-02-18</t>
  </si>
  <si>
    <t>Advika Rajagopal</t>
  </si>
  <si>
    <t>ltandon@example.net</t>
  </si>
  <si>
    <t>08516122753</t>
  </si>
  <si>
    <t>30.05.2018</t>
  </si>
  <si>
    <t>Mason Gala</t>
  </si>
  <si>
    <t>sanyaloke@example.com</t>
  </si>
  <si>
    <t>09187851910</t>
  </si>
  <si>
    <t>05/03/2022</t>
  </si>
  <si>
    <t>Kiaan Pall</t>
  </si>
  <si>
    <t>zinal71@example.net</t>
  </si>
  <si>
    <t>04622656766</t>
  </si>
  <si>
    <t>02/13/2024</t>
  </si>
  <si>
    <t>Eiravati Nagi</t>
  </si>
  <si>
    <t>gokhalemaya@example.net</t>
  </si>
  <si>
    <t>4786863375</t>
  </si>
  <si>
    <t>10-Dec-2021</t>
  </si>
  <si>
    <t>George Wason</t>
  </si>
  <si>
    <t>0892687056</t>
  </si>
  <si>
    <t>08/05/2018</t>
  </si>
  <si>
    <t>Madhav Babu</t>
  </si>
  <si>
    <t>charanloyal@example.com</t>
  </si>
  <si>
    <t>8373540331</t>
  </si>
  <si>
    <t>14/10/2024</t>
  </si>
  <si>
    <t>Nisha Arora</t>
  </si>
  <si>
    <t>omisha42@example.org</t>
  </si>
  <si>
    <t>3785477725</t>
  </si>
  <si>
    <t>2020-10-19</t>
  </si>
  <si>
    <t>Victor Kakar</t>
  </si>
  <si>
    <t>wagleanvi@example.net</t>
  </si>
  <si>
    <t>05/07/2023</t>
  </si>
  <si>
    <t>Rachana Grewal</t>
  </si>
  <si>
    <t>cmadan@example.org</t>
  </si>
  <si>
    <t>+91-5621850163</t>
  </si>
  <si>
    <t>March 02, 2024</t>
  </si>
  <si>
    <t>Xavier Verma</t>
  </si>
  <si>
    <t>CHENNAI</t>
  </si>
  <si>
    <t>xchada@example.net</t>
  </si>
  <si>
    <t>+91-1212678886</t>
  </si>
  <si>
    <t>27-Aug-2020</t>
  </si>
  <si>
    <t>Eiravati Manne</t>
  </si>
  <si>
    <t>lajitagara@example.org</t>
  </si>
  <si>
    <t>06924593752</t>
  </si>
  <si>
    <t>May 15, 2023</t>
  </si>
  <si>
    <t>Ojas Basu</t>
  </si>
  <si>
    <t>ukibe@example.com</t>
  </si>
  <si>
    <t>9398280737</t>
  </si>
  <si>
    <t>June 10, 2019</t>
  </si>
  <si>
    <t>Ishwar Bajaj</t>
  </si>
  <si>
    <t>ynarula@example.com</t>
  </si>
  <si>
    <t>08757177514</t>
  </si>
  <si>
    <t>14.08.2021</t>
  </si>
  <si>
    <t>Ijaya Pandey</t>
  </si>
  <si>
    <t>ikbal23@example.net</t>
  </si>
  <si>
    <t>+91-6033419182</t>
  </si>
  <si>
    <t>November 21, 2024</t>
  </si>
  <si>
    <t>Nilima Swamy</t>
  </si>
  <si>
    <t>mumbai</t>
  </si>
  <si>
    <t>rgera@example.net</t>
  </si>
  <si>
    <t>2018-11-29</t>
  </si>
  <si>
    <t>Liam Jhaveri</t>
  </si>
  <si>
    <t>fsawhney@example.org</t>
  </si>
  <si>
    <t>4043842797</t>
  </si>
  <si>
    <t>22-May-2021</t>
  </si>
  <si>
    <t>Dev Warrior</t>
  </si>
  <si>
    <t>danielpanchal@example.net</t>
  </si>
  <si>
    <t>08457759017</t>
  </si>
  <si>
    <t>18/03/2023</t>
  </si>
  <si>
    <t>Faras Deo</t>
  </si>
  <si>
    <t>bkamdar@example.org</t>
  </si>
  <si>
    <t>October 11, 2023</t>
  </si>
  <si>
    <t>Yug Malhotra</t>
  </si>
  <si>
    <t>zilmilsaxena@example.org</t>
  </si>
  <si>
    <t>03112196565</t>
  </si>
  <si>
    <t>Pallavi Ratti</t>
  </si>
  <si>
    <t>kotharibhavani@example.net</t>
  </si>
  <si>
    <t>+91-8055269658</t>
  </si>
  <si>
    <t>Anita Viswanathan</t>
  </si>
  <si>
    <t>yadavmichael@example.com</t>
  </si>
  <si>
    <t>3285691463</t>
  </si>
  <si>
    <t>July 21, 2023</t>
  </si>
  <si>
    <t>Nandini Biswas</t>
  </si>
  <si>
    <t>lallfaraj@example.com</t>
  </si>
  <si>
    <t>04195180238</t>
  </si>
  <si>
    <t>07/10/2022</t>
  </si>
  <si>
    <t>Kashish Shanker</t>
  </si>
  <si>
    <t>xmandal@example.com</t>
  </si>
  <si>
    <t>08367024103</t>
  </si>
  <si>
    <t>2019-06-12</t>
  </si>
  <si>
    <t>Tanveer Narang</t>
  </si>
  <si>
    <t>chandranyashasvi@example.org</t>
  </si>
  <si>
    <t>2023-08-11</t>
  </si>
  <si>
    <t>Megha Taneja</t>
  </si>
  <si>
    <t>gavinkothari@example.com</t>
  </si>
  <si>
    <t>28-Oct-2019</t>
  </si>
  <si>
    <t>Ayushman Mand</t>
  </si>
  <si>
    <t>rajapooja@example.org</t>
  </si>
  <si>
    <t>4720999347</t>
  </si>
  <si>
    <t>18.09.2021</t>
  </si>
  <si>
    <t>Kalpit Oak</t>
  </si>
  <si>
    <t>sodhiishita@example.net</t>
  </si>
  <si>
    <t>+91-9059929378</t>
  </si>
  <si>
    <t>July 30, 2018</t>
  </si>
  <si>
    <t>Watika Dhaliwal</t>
  </si>
  <si>
    <t>Bombay</t>
  </si>
  <si>
    <t>ekiyabhargava@example.org</t>
  </si>
  <si>
    <t>08-Jul-2021</t>
  </si>
  <si>
    <t>Girik Nigam</t>
  </si>
  <si>
    <t>faras35@example.com</t>
  </si>
  <si>
    <t>+91-6765861793</t>
  </si>
  <si>
    <t>04/16/2024</t>
  </si>
  <si>
    <t>Vrinda Lanka</t>
  </si>
  <si>
    <t>bbalasubramanian@example.net</t>
  </si>
  <si>
    <t>+91-6987205061</t>
  </si>
  <si>
    <t>03-Nov-2024</t>
  </si>
  <si>
    <t>Oliver Kakar</t>
  </si>
  <si>
    <t>ramqasim@example.com</t>
  </si>
  <si>
    <t>06/26/2023</t>
  </si>
  <si>
    <t>Orinder Majumdar</t>
  </si>
  <si>
    <t>jonathanbasak@example.com</t>
  </si>
  <si>
    <t>04856467997</t>
  </si>
  <si>
    <t>06/22/2018</t>
  </si>
  <si>
    <t>Oscar Hans</t>
  </si>
  <si>
    <t>ndhawan@example.net</t>
  </si>
  <si>
    <t>+91-4754691373</t>
  </si>
  <si>
    <t>Udarsh Krishnan</t>
  </si>
  <si>
    <t>dalbirkrish@example.org</t>
  </si>
  <si>
    <t>+91-8552414060</t>
  </si>
  <si>
    <t>2023-04-19</t>
  </si>
  <si>
    <t>Hemal Kapadia</t>
  </si>
  <si>
    <t>anvi66@example.com</t>
  </si>
  <si>
    <t>+91-1545444328</t>
  </si>
  <si>
    <t>03/22/2021</t>
  </si>
  <si>
    <t>Tanvi Dhar</t>
  </si>
  <si>
    <t>gparmer@example.com</t>
  </si>
  <si>
    <t>1724825135</t>
  </si>
  <si>
    <t>29-May-2018</t>
  </si>
  <si>
    <t>Chakradev Misra</t>
  </si>
  <si>
    <t>pranit17@example.com</t>
  </si>
  <si>
    <t>7432927129</t>
  </si>
  <si>
    <t>February 04, 2024</t>
  </si>
  <si>
    <t>Osha Chaudhuri</t>
  </si>
  <si>
    <t>tamanna89@example.net</t>
  </si>
  <si>
    <t>27.02.2018</t>
  </si>
  <si>
    <t>Bina Parsa</t>
  </si>
  <si>
    <t>laksh61@example.net</t>
  </si>
  <si>
    <t>+91-3753001197</t>
  </si>
  <si>
    <t>27/01/2020</t>
  </si>
  <si>
    <t>Chakradhar Bhatnagar</t>
  </si>
  <si>
    <t>pooja11@example.org</t>
  </si>
  <si>
    <t>07.12.2020</t>
  </si>
  <si>
    <t>Widisha Badami</t>
  </si>
  <si>
    <t>dipta08@example.net</t>
  </si>
  <si>
    <t>+91-7721753540</t>
  </si>
  <si>
    <t>26.04.2019</t>
  </si>
  <si>
    <t>Tanvi Halder</t>
  </si>
  <si>
    <t>ravalnitara@example.org</t>
  </si>
  <si>
    <t>4883755037</t>
  </si>
  <si>
    <t>31.08.2022</t>
  </si>
  <si>
    <t>Sai Kadakia</t>
  </si>
  <si>
    <t>hritik60@example.net</t>
  </si>
  <si>
    <t>September 10, 2018</t>
  </si>
  <si>
    <t>Omaja Munshi</t>
  </si>
  <si>
    <t>hemani22@example.net</t>
  </si>
  <si>
    <t>22-Sep-2023</t>
  </si>
  <si>
    <t>Qarin Verma</t>
  </si>
  <si>
    <t>aryazayan@example.org</t>
  </si>
  <si>
    <t>8933472122</t>
  </si>
  <si>
    <t>06/10/2022</t>
  </si>
  <si>
    <t>Oliver Yogi</t>
  </si>
  <si>
    <t>tiwarinathaniel@example.com</t>
  </si>
  <si>
    <t>2023-04-18</t>
  </si>
  <si>
    <t>Gabriel Manda</t>
  </si>
  <si>
    <t>bhattishivansh@example.net</t>
  </si>
  <si>
    <t>00919015814</t>
  </si>
  <si>
    <t>25.11.2018</t>
  </si>
  <si>
    <t>Elijah Mannan</t>
  </si>
  <si>
    <t>zraj@example.net</t>
  </si>
  <si>
    <t>+91-9968814353</t>
  </si>
  <si>
    <t>2018-01-15</t>
  </si>
  <si>
    <t>Avni Dey</t>
  </si>
  <si>
    <t>krishnaguneet@example.org</t>
  </si>
  <si>
    <t>3149135775</t>
  </si>
  <si>
    <t>2019-04-08</t>
  </si>
  <si>
    <t>Theodore Sura</t>
  </si>
  <si>
    <t>adyabose@example.net</t>
  </si>
  <si>
    <t>9969308488</t>
  </si>
  <si>
    <t>29.09.2020</t>
  </si>
  <si>
    <t>Siddharth Doctor</t>
  </si>
  <si>
    <t>devlalla@example.com</t>
  </si>
  <si>
    <t>+91-2665918463</t>
  </si>
  <si>
    <t>June 23, 2024</t>
  </si>
  <si>
    <t>Qabil Vaidya</t>
  </si>
  <si>
    <t>nakulpathak@example.net</t>
  </si>
  <si>
    <t>September 07, 2018</t>
  </si>
  <si>
    <t>Krish Kumar</t>
  </si>
  <si>
    <t>oliver57@example.net</t>
  </si>
  <si>
    <t>+91-0881172980</t>
  </si>
  <si>
    <t>11/19/2023</t>
  </si>
  <si>
    <t>Lakshit Dani</t>
  </si>
  <si>
    <t>fkaul@example.com</t>
  </si>
  <si>
    <t>+91-9448695946</t>
  </si>
  <si>
    <t>15-Aug-2019</t>
  </si>
  <si>
    <t>Balendra Parsa</t>
  </si>
  <si>
    <t>Yagnesh Nori</t>
  </si>
  <si>
    <t>aadidugar@example.org</t>
  </si>
  <si>
    <t>6938011848</t>
  </si>
  <si>
    <t>18/05/2023</t>
  </si>
  <si>
    <t>Jagdish Brar</t>
  </si>
  <si>
    <t>lsharma@example.org</t>
  </si>
  <si>
    <t>03343333952</t>
  </si>
  <si>
    <t>20.09.2020</t>
  </si>
  <si>
    <t>Warjas Luthra</t>
  </si>
  <si>
    <t>wahuja@example.net</t>
  </si>
  <si>
    <t>06/17/2021</t>
  </si>
  <si>
    <t>Aachal Soni</t>
  </si>
  <si>
    <t>Anika Saxena</t>
  </si>
  <si>
    <t>senguptagaurika@example.com</t>
  </si>
  <si>
    <t>22/05/2024</t>
  </si>
  <si>
    <t>Krishna Zacharia</t>
  </si>
  <si>
    <t>shravya62@example.org</t>
  </si>
  <si>
    <t>1326111780</t>
  </si>
  <si>
    <t>25/11/2019</t>
  </si>
  <si>
    <t>Fariq Sami</t>
  </si>
  <si>
    <t>18.07.2019</t>
  </si>
  <si>
    <t>Madhav Bhalla</t>
  </si>
  <si>
    <t>zansimagar@example.com</t>
  </si>
  <si>
    <t>07356475705</t>
  </si>
  <si>
    <t>December 20, 2023</t>
  </si>
  <si>
    <t>Brijesh Soman</t>
  </si>
  <si>
    <t>manya18@example.com</t>
  </si>
  <si>
    <t>03650249163</t>
  </si>
  <si>
    <t>18/11/2023</t>
  </si>
  <si>
    <t>Mohammed Sengupta</t>
  </si>
  <si>
    <t>kamyachakraborty@example.org</t>
  </si>
  <si>
    <t>5005281273</t>
  </si>
  <si>
    <t>03/05/2024</t>
  </si>
  <si>
    <t>Chandran Peri</t>
  </si>
  <si>
    <t>adya85@example.com</t>
  </si>
  <si>
    <t>0959351863</t>
  </si>
  <si>
    <t>March 25, 2022</t>
  </si>
  <si>
    <t>Nakul Walla</t>
  </si>
  <si>
    <t>ekavirarya@example.org</t>
  </si>
  <si>
    <t>5865094801</t>
  </si>
  <si>
    <t>2023-12-04</t>
  </si>
  <si>
    <t>Lakshit Lanka</t>
  </si>
  <si>
    <t>upandey@example.net</t>
  </si>
  <si>
    <t>01/05/2020</t>
  </si>
  <si>
    <t>Yamini Chana</t>
  </si>
  <si>
    <t>zaid34@example.com</t>
  </si>
  <si>
    <t>+91-0556613906</t>
  </si>
  <si>
    <t>10-May-2024</t>
  </si>
  <si>
    <t>Dalaja Gara</t>
  </si>
  <si>
    <t>rachanamann@example.com</t>
  </si>
  <si>
    <t>2018-08-08</t>
  </si>
  <si>
    <t>Chatresh Shroff</t>
  </si>
  <si>
    <t>riya92@example.com</t>
  </si>
  <si>
    <t>20-Jan-2023</t>
  </si>
  <si>
    <t>Umang Doshi</t>
  </si>
  <si>
    <t>bhavsarlipika@example.net</t>
  </si>
  <si>
    <t>05438404608</t>
  </si>
  <si>
    <t>12/03/2018</t>
  </si>
  <si>
    <t>Max Guha</t>
  </si>
  <si>
    <t>maya21@example.net</t>
  </si>
  <si>
    <t>01/14/2022</t>
  </si>
  <si>
    <t>Lajita Munshi</t>
  </si>
  <si>
    <t>deepqasim@example.org</t>
  </si>
  <si>
    <t>Praneel Setty</t>
  </si>
  <si>
    <t>hyadav@example.net</t>
  </si>
  <si>
    <t>7038860868</t>
  </si>
  <si>
    <t>09/04/2022</t>
  </si>
  <si>
    <t>Wazir Kalla</t>
  </si>
  <si>
    <t>suhanichana@example.com</t>
  </si>
  <si>
    <t>+91-9222206447</t>
  </si>
  <si>
    <t>11/12/2018</t>
  </si>
  <si>
    <t>Ekansh Sane</t>
  </si>
  <si>
    <t>asetty@example.com</t>
  </si>
  <si>
    <t>+91-9945101622</t>
  </si>
  <si>
    <t>September 22, 2021</t>
  </si>
  <si>
    <t>Oeshi Sachdev</t>
  </si>
  <si>
    <t>masterurishilla@example.org</t>
  </si>
  <si>
    <t>+91-9548995299</t>
  </si>
  <si>
    <t>06/20/2022</t>
  </si>
  <si>
    <t>Garima Pandya</t>
  </si>
  <si>
    <t>nathinaya@example.net</t>
  </si>
  <si>
    <t>4144885015</t>
  </si>
  <si>
    <t>Guneet Varty</t>
  </si>
  <si>
    <t>dixitavni@example.org</t>
  </si>
  <si>
    <t>+91-5743842150</t>
  </si>
  <si>
    <t>11-Oct-2018</t>
  </si>
  <si>
    <t>Lohit Mander</t>
  </si>
  <si>
    <t>sameshbansal@example.com</t>
  </si>
  <si>
    <t>00988138585</t>
  </si>
  <si>
    <t>12-Jul-2024</t>
  </si>
  <si>
    <t>Ganga Nair</t>
  </si>
  <si>
    <t>onveerbobal@example.com</t>
  </si>
  <si>
    <t>04773329456</t>
  </si>
  <si>
    <t>13.11.2019</t>
  </si>
  <si>
    <t>Vidhi Contractor</t>
  </si>
  <si>
    <t>bsura@example.org</t>
  </si>
  <si>
    <t>25/11/2020</t>
  </si>
  <si>
    <t>Kala Bera</t>
  </si>
  <si>
    <t>jnanda@example.org</t>
  </si>
  <si>
    <t>+91-2784699733</t>
  </si>
  <si>
    <t>03/05/2019</t>
  </si>
  <si>
    <t>Leena Pant</t>
  </si>
  <si>
    <t>parmerimaran@example.com</t>
  </si>
  <si>
    <t>02679692786</t>
  </si>
  <si>
    <t>27-Nov-2021</t>
  </si>
  <si>
    <t>Garima Sama</t>
  </si>
  <si>
    <t>quincysamra@example.net</t>
  </si>
  <si>
    <t>05.11.2019</t>
  </si>
  <si>
    <t>Mitesh Tandon</t>
  </si>
  <si>
    <t>chaitaly42@example.org</t>
  </si>
  <si>
    <t>+91-4429444019</t>
  </si>
  <si>
    <t>03.02.2020</t>
  </si>
  <si>
    <t>Triya Khurana</t>
  </si>
  <si>
    <t>MUMBAI</t>
  </si>
  <si>
    <t>prajagopal@example.net</t>
  </si>
  <si>
    <t>+91-6742860476</t>
  </si>
  <si>
    <t>04/22/2020</t>
  </si>
  <si>
    <t>Neel Borah</t>
  </si>
  <si>
    <t>zinalnazareth@example.net</t>
  </si>
  <si>
    <t>0106181753</t>
  </si>
  <si>
    <t>Netra Boase</t>
  </si>
  <si>
    <t>david66@example.com</t>
  </si>
  <si>
    <t>06425690877</t>
  </si>
  <si>
    <t>Amol Bansal</t>
  </si>
  <si>
    <t>aarushrajagopalan@example.net</t>
  </si>
  <si>
    <t>+91-8063461571</t>
  </si>
  <si>
    <t>September 10, 2022</t>
  </si>
  <si>
    <t>Ekanta Kala</t>
  </si>
  <si>
    <t>daksh50@example.com</t>
  </si>
  <si>
    <t>+91-2041792911</t>
  </si>
  <si>
    <t>12-Jul-2021</t>
  </si>
  <si>
    <t>Charvi Pall</t>
  </si>
  <si>
    <t>ghosegautami@example.org</t>
  </si>
  <si>
    <t>2582739021</t>
  </si>
  <si>
    <t>30.08.2022</t>
  </si>
  <si>
    <t>Oni Issac</t>
  </si>
  <si>
    <t>jagrawal@example.org</t>
  </si>
  <si>
    <t>July 09, 2020</t>
  </si>
  <si>
    <t>Victor Chadha</t>
  </si>
  <si>
    <t>victor15@example.org</t>
  </si>
  <si>
    <t>02/03/2024</t>
  </si>
  <si>
    <t>Tripti Bajwa</t>
  </si>
  <si>
    <t>fvig@example.org</t>
  </si>
  <si>
    <t>6335693929</t>
  </si>
  <si>
    <t>2021-05-04</t>
  </si>
  <si>
    <t>Umang Nagi</t>
  </si>
  <si>
    <t>xsheth@example.org</t>
  </si>
  <si>
    <t>+91-0850165790</t>
  </si>
  <si>
    <t>04.11.2024</t>
  </si>
  <si>
    <t>Bishakha Gulati</t>
  </si>
  <si>
    <t>amara86@example.com</t>
  </si>
  <si>
    <t>7788178847</t>
  </si>
  <si>
    <t>18.08.2021</t>
  </si>
  <si>
    <t>Kala Gour</t>
  </si>
  <si>
    <t>bainsvincent@example.net</t>
  </si>
  <si>
    <t>28/06/2019</t>
  </si>
  <si>
    <t>Robert Vyas</t>
  </si>
  <si>
    <t>bakhshinadig@example.com</t>
  </si>
  <si>
    <t>01406937515</t>
  </si>
  <si>
    <t>06.11.2018</t>
  </si>
  <si>
    <t>Vaishnavi Vohra</t>
  </si>
  <si>
    <t>arunimahayre@example.org</t>
  </si>
  <si>
    <t>2024-07-11</t>
  </si>
  <si>
    <t>Rajata Kuruvilla</t>
  </si>
  <si>
    <t>dominic96@example.org</t>
  </si>
  <si>
    <t>02730147195</t>
  </si>
  <si>
    <t>11-Jun-2020</t>
  </si>
  <si>
    <t>Vedhika Sabharwal</t>
  </si>
  <si>
    <t>+91-4818321928</t>
  </si>
  <si>
    <t>2018-07-18</t>
  </si>
  <si>
    <t>Ronith Chokshi</t>
  </si>
  <si>
    <t>nicholas13@example.org</t>
  </si>
  <si>
    <t>02321611076</t>
  </si>
  <si>
    <t>21/05/2021</t>
  </si>
  <si>
    <t>Qasim Sarraf</t>
  </si>
  <si>
    <t>17-Aug-2020</t>
  </si>
  <si>
    <t>StoreName</t>
  </si>
  <si>
    <t>Manager</t>
  </si>
  <si>
    <t>OpeningDate</t>
  </si>
  <si>
    <t>Aurelia Jewels - Surat</t>
  </si>
  <si>
    <t>Pratyush Pant</t>
  </si>
  <si>
    <t>08-May-2016</t>
  </si>
  <si>
    <t>Aurelia Jewels - Chennai</t>
  </si>
  <si>
    <t>Chennai</t>
  </si>
  <si>
    <t>Panini Kala</t>
  </si>
  <si>
    <t>25-Jun-2016</t>
  </si>
  <si>
    <t>Aurelia Jewels - Jaipur</t>
  </si>
  <si>
    <t>Nikita Chowdhury</t>
  </si>
  <si>
    <t>18/10/2015</t>
  </si>
  <si>
    <t>Aurelia Jewels - Ahmedabad</t>
  </si>
  <si>
    <t>Jatin Shukla</t>
  </si>
  <si>
    <t>2019-04-19</t>
  </si>
  <si>
    <t>Aurelia Jewels - Mumbai</t>
  </si>
  <si>
    <t>Mumbai</t>
  </si>
  <si>
    <t>Zinal Deshpande</t>
  </si>
  <si>
    <t>2016-02-24</t>
  </si>
  <si>
    <t>Aurelia Jewels - Lucknow</t>
  </si>
  <si>
    <t>Jalsa Mani</t>
  </si>
  <si>
    <t>07/07/2018</t>
  </si>
  <si>
    <t>Aurelia Jewels - Hyderabad</t>
  </si>
  <si>
    <t>Fitan Narang</t>
  </si>
  <si>
    <t>10/05/2018</t>
  </si>
  <si>
    <t>Aurelia Jewels - Bengaluru</t>
  </si>
  <si>
    <t>Bengaluru</t>
  </si>
  <si>
    <t>Jack Rajan</t>
  </si>
  <si>
    <t>17/04/2019</t>
  </si>
  <si>
    <t>Data Cleaning Log — Issues Identified &amp; Resolved</t>
  </si>
  <si>
    <t>Source Sheet</t>
  </si>
  <si>
    <t>Issue Identified &amp; Action Taken</t>
  </si>
  <si>
    <t>Rows Affected</t>
  </si>
  <si>
    <t>Raw_Products</t>
  </si>
  <si>
    <t>Duplicate ProductID rows removed</t>
  </si>
  <si>
    <t>Missing Category filled with mode</t>
  </si>
  <si>
    <t>Missing Weight_g filled with median</t>
  </si>
  <si>
    <t>Negative StockQty corrected to 0</t>
  </si>
  <si>
    <t>Raw_Customers</t>
  </si>
  <si>
    <t>Rows dropped: blank CustomerID</t>
  </si>
  <si>
    <t>Duplicate CustomerID rows removed</t>
  </si>
  <si>
    <t>Invalid/missing Age filled with median</t>
  </si>
  <si>
    <t>Missing Email flagged as not_provided</t>
  </si>
  <si>
    <t>Raw_Sales</t>
  </si>
  <si>
    <t>Exact duplicate transaction rows removed</t>
  </si>
  <si>
    <t>Rows dropped: Quantity &lt;= 0 (data entry errors)</t>
  </si>
  <si>
    <t>Missing CustomerID set to UNKNOWN</t>
  </si>
  <si>
    <t>Rows dropped: ProductID not found in Products master</t>
  </si>
  <si>
    <t>Total raw sales records:</t>
  </si>
  <si>
    <t>Clean, analysis-ready sales records:</t>
  </si>
  <si>
    <t>Data retained after cleaning:</t>
  </si>
  <si>
    <t>OrderMonth</t>
  </si>
  <si>
    <t>OrderYear</t>
  </si>
  <si>
    <t>Revenue</t>
  </si>
  <si>
    <t>2023-05</t>
  </si>
  <si>
    <t>Cash</t>
  </si>
  <si>
    <t>In-Store</t>
  </si>
  <si>
    <t>2024-11</t>
  </si>
  <si>
    <t>UPI</t>
  </si>
  <si>
    <t>2023-11</t>
  </si>
  <si>
    <t>Credit Card</t>
  </si>
  <si>
    <t>Online</t>
  </si>
  <si>
    <t>2024-10</t>
  </si>
  <si>
    <t>2023-03</t>
  </si>
  <si>
    <t>N/A (Online)</t>
  </si>
  <si>
    <t>2024-06</t>
  </si>
  <si>
    <t>2024-03</t>
  </si>
  <si>
    <t>2024-12</t>
  </si>
  <si>
    <t>2023-01</t>
  </si>
  <si>
    <t>2023-07</t>
  </si>
  <si>
    <t>2025-02</t>
  </si>
  <si>
    <t>2023-10</t>
  </si>
  <si>
    <t>2025-07</t>
  </si>
  <si>
    <t>2024-08</t>
  </si>
  <si>
    <t>2024-01</t>
  </si>
  <si>
    <t>2023-06</t>
  </si>
  <si>
    <t>UNKNOWN</t>
  </si>
  <si>
    <t>2023-09</t>
  </si>
  <si>
    <t>2025-06</t>
  </si>
  <si>
    <t>2023-08</t>
  </si>
  <si>
    <t>2024-02</t>
  </si>
  <si>
    <t>2024-04</t>
  </si>
  <si>
    <t>2023-02</t>
  </si>
  <si>
    <t>2025-03</t>
  </si>
  <si>
    <t>2024-09</t>
  </si>
  <si>
    <t>2025-05</t>
  </si>
  <si>
    <t>2025-01</t>
  </si>
  <si>
    <t>2025-04</t>
  </si>
  <si>
    <t>2024-05</t>
  </si>
  <si>
    <t>2023-12</t>
  </si>
  <si>
    <t>2024-07</t>
  </si>
  <si>
    <t>2023-04</t>
  </si>
  <si>
    <t>2025-08</t>
  </si>
  <si>
    <t>Margin</t>
  </si>
  <si>
    <t>MarginPct</t>
  </si>
  <si>
    <t>StockQty_Flag</t>
  </si>
  <si>
    <t>OK</t>
  </si>
  <si>
    <t>ERROR: Negative Stock Corrected</t>
  </si>
  <si>
    <t>2832764835</t>
  </si>
  <si>
    <t>8480184514</t>
  </si>
  <si>
    <t>8963834657</t>
  </si>
  <si>
    <t>6701065133</t>
  </si>
  <si>
    <t>5869232260</t>
  </si>
  <si>
    <t>not_provided@unknown.com</t>
  </si>
  <si>
    <t>7773872148</t>
  </si>
  <si>
    <t>Not Provided</t>
  </si>
  <si>
    <t>9058651850</t>
  </si>
  <si>
    <t>1436349578</t>
  </si>
  <si>
    <t>0471138267</t>
  </si>
  <si>
    <t>7711592124</t>
  </si>
  <si>
    <t>7622683885</t>
  </si>
  <si>
    <t>3696816453</t>
  </si>
  <si>
    <t>8679807935</t>
  </si>
  <si>
    <t>9622292706</t>
  </si>
  <si>
    <t>5305152204</t>
  </si>
  <si>
    <t>4710276773</t>
  </si>
  <si>
    <t>9532787747</t>
  </si>
  <si>
    <t>8680002578</t>
  </si>
  <si>
    <t>6230913075</t>
  </si>
  <si>
    <t>4540193802</t>
  </si>
  <si>
    <t>8516122753</t>
  </si>
  <si>
    <t>9187851910</t>
  </si>
  <si>
    <t>4622656766</t>
  </si>
  <si>
    <t>5621850163</t>
  </si>
  <si>
    <t>1212678886</t>
  </si>
  <si>
    <t>6924593752</t>
  </si>
  <si>
    <t>8757177514</t>
  </si>
  <si>
    <t>6033419182</t>
  </si>
  <si>
    <t>8457759017</t>
  </si>
  <si>
    <t>3112196565</t>
  </si>
  <si>
    <t>8055269658</t>
  </si>
  <si>
    <t>4195180238</t>
  </si>
  <si>
    <t>8367024103</t>
  </si>
  <si>
    <t>9059929378</t>
  </si>
  <si>
    <t>6765861793</t>
  </si>
  <si>
    <t>6987205061</t>
  </si>
  <si>
    <t>4856467997</t>
  </si>
  <si>
    <t>4754691373</t>
  </si>
  <si>
    <t>8552414060</t>
  </si>
  <si>
    <t>1545444328</t>
  </si>
  <si>
    <t>3753001197</t>
  </si>
  <si>
    <t>7721753540</t>
  </si>
  <si>
    <t>0919015814</t>
  </si>
  <si>
    <t>9968814353</t>
  </si>
  <si>
    <t>2665918463</t>
  </si>
  <si>
    <t>0881172980</t>
  </si>
  <si>
    <t>9448695946</t>
  </si>
  <si>
    <t>3343333952</t>
  </si>
  <si>
    <t>3650249163</t>
  </si>
  <si>
    <t>0556613906</t>
  </si>
  <si>
    <t>5438404608</t>
  </si>
  <si>
    <t>9222206447</t>
  </si>
  <si>
    <t>9945101622</t>
  </si>
  <si>
    <t>9548995299</t>
  </si>
  <si>
    <t>5743842150</t>
  </si>
  <si>
    <t>0988138585</t>
  </si>
  <si>
    <t>4773329456</t>
  </si>
  <si>
    <t>2784699733</t>
  </si>
  <si>
    <t>2679692786</t>
  </si>
  <si>
    <t>4429444019</t>
  </si>
  <si>
    <t>6742860476</t>
  </si>
  <si>
    <t>6425690877</t>
  </si>
  <si>
    <t>8063461571</t>
  </si>
  <si>
    <t>2041792911</t>
  </si>
  <si>
    <t>0850165790</t>
  </si>
  <si>
    <t>1406937515</t>
  </si>
  <si>
    <t>2730147195</t>
  </si>
  <si>
    <t>4818321928</t>
  </si>
  <si>
    <t>2321611076</t>
  </si>
  <si>
    <t>Product &amp; Customer Classification</t>
  </si>
  <si>
    <t>PRODUCT ABC CLASSIFICATION  (Pareto analysis on revenue contribution)</t>
  </si>
  <si>
    <t>TotalRevenue</t>
  </si>
  <si>
    <t>TotalQtySold</t>
  </si>
  <si>
    <t>RevenueRank</t>
  </si>
  <si>
    <t>CumulativeRevenue%</t>
  </si>
  <si>
    <t>ABC Class</t>
  </si>
  <si>
    <t>CUSTOMER SEGMENTATION  (Recency / Frequency / Monetary)</t>
  </si>
  <si>
    <t>TotalSpend</t>
  </si>
  <si>
    <t>OrderCount</t>
  </si>
  <si>
    <t>AvgOrderValue</t>
  </si>
  <si>
    <t>LastPurchaseDate</t>
  </si>
  <si>
    <t>RecencyDays</t>
  </si>
  <si>
    <t>Segment</t>
  </si>
  <si>
    <t>As-of date:</t>
  </si>
  <si>
    <t>Pivot Summaries (SUMIFS/COUNTIFS-driven — recalculates automatically)</t>
  </si>
  <si>
    <t>PIVOT 1 — Revenue &amp; Orders by Category</t>
  </si>
  <si>
    <t>TotalQty</t>
  </si>
  <si>
    <t>PIVOT 2 — Monthly Revenue Trend</t>
  </si>
  <si>
    <t>Month</t>
  </si>
  <si>
    <t>PIVOT 3 — Store-wise Performance</t>
  </si>
  <si>
    <t>PIVOT 4 — Payment Mode Distribution</t>
  </si>
  <si>
    <t>% of Total Revenue</t>
  </si>
  <si>
    <t>PIVOT 5 — Top 10 Customers by Revenue</t>
  </si>
  <si>
    <t>Rank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</si>
</sst>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₹#,##0"/>
    <numFmt numFmtId="165" formatCode="0.0%"/>
    <numFmt numFmtId="166" formatCode="dd\-mmm\-yyyy"/>
  </numFmts>
  <fonts count="14" x14ac:knownFonts="1">
    <font>
      <sz val="11"/>
      <color theme="1"/>
      <name val="Calibri"/>
      <family val="2"/>
      <charset val="1"/>
    </font>
    <font>
      <b/>
      <sz val="16"/>
      <color rgb="FF6B2C91"/>
      <name val="Arial"/>
      <charset val="1"/>
    </font>
    <font>
      <i/>
      <sz val="9"/>
      <color rgb="FF808080"/>
      <name val="Arial"/>
      <charset val="1"/>
    </font>
    <font>
      <b/>
      <sz val="10"/>
      <color rgb="FF595959"/>
      <name val="Arial"/>
      <charset val="1"/>
    </font>
    <font>
      <b/>
      <sz val="22"/>
      <color rgb="FF6B2C91"/>
      <name val="Arial"/>
      <charset val="1"/>
    </font>
    <font>
      <b/>
      <sz val="11"/>
      <color rgb="FF6B2C91"/>
      <name val="Arial"/>
      <charset val="1"/>
    </font>
    <font>
      <i/>
      <sz val="9"/>
      <color rgb="FF595959"/>
      <name val="Arial"/>
      <charset val="1"/>
    </font>
    <font>
      <b/>
      <sz val="14"/>
      <name val="Arial"/>
      <charset val="1"/>
    </font>
    <font>
      <sz val="10"/>
      <name val="Arial"/>
      <charset val="1"/>
    </font>
    <font>
      <b/>
      <sz val="11"/>
      <color rgb="FFFFFFFF"/>
      <name val="Arial"/>
      <charset val="1"/>
    </font>
    <font>
      <b/>
      <sz val="14"/>
      <color rgb="FF6B2C91"/>
      <name val="Arial"/>
      <charset val="1"/>
    </font>
    <font>
      <b/>
      <sz val="10"/>
      <color rgb="FFFFFFFF"/>
      <name val="Arial"/>
      <charset val="1"/>
    </font>
    <font>
      <b/>
      <sz val="10"/>
      <name val="Arial"/>
      <charset val="1"/>
    </font>
    <font>
      <b/>
      <sz val="12"/>
      <color rgb="FFFFFFFF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F3EEF9"/>
        <bgColor rgb="FFFFFFFF"/>
      </patternFill>
    </fill>
    <fill>
      <patternFill patternType="solid">
        <fgColor rgb="FF6B2C91"/>
        <bgColor rgb="FF800080"/>
      </patternFill>
    </fill>
    <fill>
      <patternFill patternType="solid">
        <fgColor rgb="FF2E1A47"/>
        <bgColor rgb="FF333300"/>
      </patternFill>
    </fill>
  </fills>
  <borders count="3">
    <border>
      <left/>
      <right/>
      <top/>
      <bottom/>
      <diagonal/>
    </border>
    <border>
      <left style="thin">
        <color rgb="FFC9B8DE"/>
      </left>
      <right style="thin">
        <color rgb="FFC9B8DE"/>
      </right>
      <top style="thin">
        <color rgb="FFC9B8DE"/>
      </top>
      <bottom style="thin">
        <color rgb="FFC9B8DE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3" fillId="4" borderId="0" xfId="0" applyFont="1" applyFill="1" applyAlignment="1">
      <alignment horizontal="left" vertical="center" indent="1"/>
    </xf>
    <xf numFmtId="0" fontId="10" fillId="0" borderId="0" xfId="0" applyFont="1"/>
    <xf numFmtId="0" fontId="6" fillId="0" borderId="0" xfId="0" applyFont="1"/>
    <xf numFmtId="49" fontId="4" fillId="2" borderId="1" xfId="0" applyNumberFormat="1" applyFont="1" applyFill="1" applyBorder="1" applyAlignment="1">
      <alignment horizontal="left" vertical="center"/>
    </xf>
    <xf numFmtId="165" fontId="4" fillId="2" borderId="1" xfId="0" applyNumberFormat="1" applyFont="1" applyFill="1" applyBorder="1" applyAlignment="1">
      <alignment horizontal="left" vertical="center"/>
    </xf>
    <xf numFmtId="3" fontId="4" fillId="2" borderId="1" xfId="0" applyNumberFormat="1" applyFont="1" applyFill="1" applyBorder="1" applyAlignment="1">
      <alignment horizontal="left" vertical="center"/>
    </xf>
    <xf numFmtId="164" fontId="4" fillId="2" borderId="1" xfId="0" applyNumberFormat="1" applyFont="1" applyFill="1" applyBorder="1" applyAlignment="1">
      <alignment horizontal="left" vertical="center"/>
    </xf>
    <xf numFmtId="0" fontId="3" fillId="2" borderId="1" xfId="0" applyFont="1" applyFill="1" applyBorder="1"/>
    <xf numFmtId="0" fontId="1" fillId="0" borderId="0" xfId="0" applyFont="1"/>
    <xf numFmtId="0" fontId="2" fillId="0" borderId="0" xfId="0" applyFont="1"/>
    <xf numFmtId="0" fontId="0" fillId="2" borderId="1" xfId="0" applyFill="1" applyBorder="1"/>
    <xf numFmtId="0" fontId="5" fillId="0" borderId="0" xfId="0" applyFont="1"/>
    <xf numFmtId="0" fontId="7" fillId="0" borderId="0" xfId="0" applyFont="1"/>
    <xf numFmtId="0" fontId="8" fillId="0" borderId="0" xfId="0" applyFont="1"/>
    <xf numFmtId="0" fontId="9" fillId="3" borderId="0" xfId="0" applyFont="1" applyFill="1" applyAlignment="1">
      <alignment horizontal="center"/>
    </xf>
    <xf numFmtId="0" fontId="10" fillId="0" borderId="0" xfId="0" applyFont="1"/>
    <xf numFmtId="0" fontId="11" fillId="3" borderId="2" xfId="0" applyFont="1" applyFill="1" applyBorder="1" applyAlignment="1">
      <alignment horizontal="center" vertical="center"/>
    </xf>
    <xf numFmtId="0" fontId="12" fillId="0" borderId="0" xfId="0" applyFont="1"/>
    <xf numFmtId="165" fontId="0" fillId="0" borderId="0" xfId="0" applyNumberFormat="1"/>
    <xf numFmtId="166" fontId="0" fillId="0" borderId="0" xfId="0" applyNumberFormat="1"/>
    <xf numFmtId="166" fontId="8" fillId="0" borderId="0" xfId="0" applyNumberFormat="1" applyFont="1"/>
    <xf numFmtId="3" fontId="8" fillId="0" borderId="0" xfId="0" applyNumberFormat="1" applyFont="1"/>
    <xf numFmtId="165" fontId="8" fillId="0" borderId="0" xfId="0" applyNumberFormat="1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9B8DE"/>
      <rgbColor rgb="FF808080"/>
      <rgbColor rgb="FF9999FF"/>
      <rgbColor rgb="FF6B2C91"/>
      <rgbColor rgb="FFF3EEF9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A7EBB"/>
      <rgbColor rgb="FF4BACC6"/>
      <rgbColor rgb="FF9BBB59"/>
      <rgbColor rgb="FFFFCC00"/>
      <rgbColor rgb="FFF79646"/>
      <rgbColor rgb="FFFF6600"/>
      <rgbColor rgb="FF8064A2"/>
      <rgbColor rgb="FF878787"/>
      <rgbColor rgb="FF003366"/>
      <rgbColor rgb="FF4F81BD"/>
      <rgbColor rgb="FF003300"/>
      <rgbColor rgb="FF333300"/>
      <rgbColor rgb="FF993300"/>
      <rgbColor rgb="FFC0504D"/>
      <rgbColor rgb="FF595959"/>
      <rgbColor rgb="FF2E1A4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Revenue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Pivot_Tables!$B$4</c:f>
              <c:strCache>
                <c:ptCount val="1"/>
                <c:pt idx="0">
                  <c:v>TotalRevenue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Pivot_Tables!$A$5:$A$12</c:f>
              <c:strCache>
                <c:ptCount val="8"/>
                <c:pt idx="0">
                  <c:v>Anklets</c:v>
                </c:pt>
                <c:pt idx="1">
                  <c:v>Bangles</c:v>
                </c:pt>
                <c:pt idx="2">
                  <c:v>Bracelets</c:v>
                </c:pt>
                <c:pt idx="3">
                  <c:v>Earrings</c:v>
                </c:pt>
                <c:pt idx="4">
                  <c:v>Necklaces</c:v>
                </c:pt>
                <c:pt idx="5">
                  <c:v>Nose Pins</c:v>
                </c:pt>
                <c:pt idx="6">
                  <c:v>Pendants</c:v>
                </c:pt>
                <c:pt idx="7">
                  <c:v>Rings</c:v>
                </c:pt>
              </c:strCache>
            </c:strRef>
          </c:cat>
          <c:val>
            <c:numRef>
              <c:f>Pivot_Tables!$B$5:$B$12</c:f>
              <c:numCache>
                <c:formatCode>#,##0</c:formatCode>
                <c:ptCount val="8"/>
                <c:pt idx="0">
                  <c:v>11985194</c:v>
                </c:pt>
                <c:pt idx="1">
                  <c:v>19802400</c:v>
                </c:pt>
                <c:pt idx="2">
                  <c:v>27736857</c:v>
                </c:pt>
                <c:pt idx="3">
                  <c:v>18156698.5</c:v>
                </c:pt>
                <c:pt idx="4">
                  <c:v>12047669</c:v>
                </c:pt>
                <c:pt idx="5">
                  <c:v>21022867.5</c:v>
                </c:pt>
                <c:pt idx="6">
                  <c:v>11928398</c:v>
                </c:pt>
                <c:pt idx="7">
                  <c:v>17113887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D2-4C91-A58C-8B89CF82FF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5761650"/>
        <c:axId val="41491856"/>
      </c:barChart>
      <c:catAx>
        <c:axId val="9576165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1491856"/>
        <c:crosses val="autoZero"/>
        <c:auto val="1"/>
        <c:lblAlgn val="ctr"/>
        <c:lblOffset val="100"/>
        <c:noMultiLvlLbl val="0"/>
      </c:catAx>
      <c:valAx>
        <c:axId val="4149185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Revenue (INR)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576165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Monthly Revenue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Pivot_Tables!$B$16</c:f>
              <c:strCache>
                <c:ptCount val="1"/>
                <c:pt idx="0">
                  <c:v>Revenue</c:v>
                </c:pt>
              </c:strCache>
            </c:strRef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Pivot_Tables!$A$17:$A$48</c:f>
              <c:strCache>
                <c:ptCount val="32"/>
                <c:pt idx="0">
                  <c:v>2023-01</c:v>
                </c:pt>
                <c:pt idx="1">
                  <c:v>2023-02</c:v>
                </c:pt>
                <c:pt idx="2">
                  <c:v>2023-03</c:v>
                </c:pt>
                <c:pt idx="3">
                  <c:v>2023-04</c:v>
                </c:pt>
                <c:pt idx="4">
                  <c:v>2023-05</c:v>
                </c:pt>
                <c:pt idx="5">
                  <c:v>2023-06</c:v>
                </c:pt>
                <c:pt idx="6">
                  <c:v>2023-07</c:v>
                </c:pt>
                <c:pt idx="7">
                  <c:v>2023-08</c:v>
                </c:pt>
                <c:pt idx="8">
                  <c:v>2023-09</c:v>
                </c:pt>
                <c:pt idx="9">
                  <c:v>2023-10</c:v>
                </c:pt>
                <c:pt idx="10">
                  <c:v>2023-11</c:v>
                </c:pt>
                <c:pt idx="11">
                  <c:v>2023-12</c:v>
                </c:pt>
                <c:pt idx="12">
                  <c:v>2024-01</c:v>
                </c:pt>
                <c:pt idx="13">
                  <c:v>2024-02</c:v>
                </c:pt>
                <c:pt idx="14">
                  <c:v>2024-03</c:v>
                </c:pt>
                <c:pt idx="15">
                  <c:v>2024-04</c:v>
                </c:pt>
                <c:pt idx="16">
                  <c:v>2024-05</c:v>
                </c:pt>
                <c:pt idx="17">
                  <c:v>2024-06</c:v>
                </c:pt>
                <c:pt idx="18">
                  <c:v>2024-07</c:v>
                </c:pt>
                <c:pt idx="19">
                  <c:v>2024-08</c:v>
                </c:pt>
                <c:pt idx="20">
                  <c:v>2024-09</c:v>
                </c:pt>
                <c:pt idx="21">
                  <c:v>2024-10</c:v>
                </c:pt>
                <c:pt idx="22">
                  <c:v>2024-11</c:v>
                </c:pt>
                <c:pt idx="23">
                  <c:v>2024-12</c:v>
                </c:pt>
                <c:pt idx="24">
                  <c:v>2025-01</c:v>
                </c:pt>
                <c:pt idx="25">
                  <c:v>2025-02</c:v>
                </c:pt>
                <c:pt idx="26">
                  <c:v>2025-03</c:v>
                </c:pt>
                <c:pt idx="27">
                  <c:v>2025-04</c:v>
                </c:pt>
                <c:pt idx="28">
                  <c:v>2025-05</c:v>
                </c:pt>
                <c:pt idx="29">
                  <c:v>2025-06</c:v>
                </c:pt>
                <c:pt idx="30">
                  <c:v>2025-07</c:v>
                </c:pt>
                <c:pt idx="31">
                  <c:v>2025-08</c:v>
                </c:pt>
              </c:strCache>
            </c:strRef>
          </c:cat>
          <c:val>
            <c:numRef>
              <c:f>Pivot_Tables!$B$17:$B$48</c:f>
              <c:numCache>
                <c:formatCode>#,##0</c:formatCode>
                <c:ptCount val="32"/>
                <c:pt idx="0">
                  <c:v>6202075.5</c:v>
                </c:pt>
                <c:pt idx="1">
                  <c:v>3885979</c:v>
                </c:pt>
                <c:pt idx="2">
                  <c:v>4903065</c:v>
                </c:pt>
                <c:pt idx="3">
                  <c:v>4104846</c:v>
                </c:pt>
                <c:pt idx="4">
                  <c:v>4816490</c:v>
                </c:pt>
                <c:pt idx="5">
                  <c:v>3825194.5</c:v>
                </c:pt>
                <c:pt idx="6">
                  <c:v>4794524.5</c:v>
                </c:pt>
                <c:pt idx="7">
                  <c:v>6262531.5</c:v>
                </c:pt>
                <c:pt idx="8">
                  <c:v>4612252</c:v>
                </c:pt>
                <c:pt idx="9">
                  <c:v>5052189.5</c:v>
                </c:pt>
                <c:pt idx="10">
                  <c:v>3455374.5</c:v>
                </c:pt>
                <c:pt idx="11">
                  <c:v>4875028.5</c:v>
                </c:pt>
                <c:pt idx="12">
                  <c:v>2955111.5</c:v>
                </c:pt>
                <c:pt idx="13">
                  <c:v>3691037</c:v>
                </c:pt>
                <c:pt idx="14">
                  <c:v>4818343.5</c:v>
                </c:pt>
                <c:pt idx="15">
                  <c:v>5082271.5</c:v>
                </c:pt>
                <c:pt idx="16">
                  <c:v>3778898.5</c:v>
                </c:pt>
                <c:pt idx="17">
                  <c:v>6075610.5</c:v>
                </c:pt>
                <c:pt idx="18">
                  <c:v>4239483</c:v>
                </c:pt>
                <c:pt idx="19">
                  <c:v>4530231</c:v>
                </c:pt>
                <c:pt idx="20">
                  <c:v>4684593</c:v>
                </c:pt>
                <c:pt idx="21">
                  <c:v>4547220</c:v>
                </c:pt>
                <c:pt idx="22">
                  <c:v>4280640.5</c:v>
                </c:pt>
                <c:pt idx="23">
                  <c:v>5281672.5</c:v>
                </c:pt>
                <c:pt idx="24">
                  <c:v>4694984.5</c:v>
                </c:pt>
                <c:pt idx="25">
                  <c:v>4931928.5</c:v>
                </c:pt>
                <c:pt idx="26">
                  <c:v>3721035</c:v>
                </c:pt>
                <c:pt idx="27">
                  <c:v>3917706.5</c:v>
                </c:pt>
                <c:pt idx="28">
                  <c:v>4311336.5</c:v>
                </c:pt>
                <c:pt idx="29">
                  <c:v>2500347.5</c:v>
                </c:pt>
                <c:pt idx="30">
                  <c:v>4736711.5</c:v>
                </c:pt>
                <c:pt idx="31">
                  <c:v>225258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D94-4429-9E20-E18C7B9A58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11931854"/>
        <c:axId val="85555607"/>
      </c:lineChart>
      <c:catAx>
        <c:axId val="1193185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5555607"/>
        <c:crosses val="autoZero"/>
        <c:auto val="1"/>
        <c:lblAlgn val="ctr"/>
        <c:lblOffset val="100"/>
        <c:noMultiLvlLbl val="0"/>
      </c:catAx>
      <c:valAx>
        <c:axId val="8555560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Revenue (INR)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193185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Revenue Share by Payment Mode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Pivot_Tables!$B$64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7BC3-4880-9FEF-53A309F31566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7BC3-4880-9FEF-53A309F31566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7BC3-4880-9FEF-53A309F31566}"/>
              </c:ext>
            </c:extLst>
          </c:dPt>
          <c:dPt>
            <c:idx val="3"/>
            <c:bubble3D val="0"/>
            <c:spPr>
              <a:solidFill>
                <a:srgbClr val="8064A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7BC3-4880-9FEF-53A309F31566}"/>
              </c:ext>
            </c:extLst>
          </c:dPt>
          <c:dPt>
            <c:idx val="4"/>
            <c:bubble3D val="0"/>
            <c:spPr>
              <a:solidFill>
                <a:srgbClr val="4BACC6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9-7BC3-4880-9FEF-53A309F31566}"/>
              </c:ext>
            </c:extLst>
          </c:dPt>
          <c:dPt>
            <c:idx val="5"/>
            <c:bubble3D val="0"/>
            <c:spPr>
              <a:solidFill>
                <a:srgbClr val="F79646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B-7BC3-4880-9FEF-53A309F31566}"/>
              </c:ext>
            </c:extLst>
          </c:dPt>
          <c:dLbls>
            <c:dLbl>
              <c:idx val="0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7BC3-4880-9FEF-53A309F31566}"/>
                </c:ext>
              </c:extLst>
            </c:dLbl>
            <c:dLbl>
              <c:idx val="1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7BC3-4880-9FEF-53A309F31566}"/>
                </c:ext>
              </c:extLst>
            </c:dLbl>
            <c:dLbl>
              <c:idx val="2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5-7BC3-4880-9FEF-53A309F31566}"/>
                </c:ext>
              </c:extLst>
            </c:dLbl>
            <c:dLbl>
              <c:idx val="3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7-7BC3-4880-9FEF-53A309F31566}"/>
                </c:ext>
              </c:extLst>
            </c:dLbl>
            <c:dLbl>
              <c:idx val="4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9-7BC3-4880-9FEF-53A309F31566}"/>
                </c:ext>
              </c:extLst>
            </c:dLbl>
            <c:dLbl>
              <c:idx val="5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B-7BC3-4880-9FEF-53A309F3156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Pivot_Tables!$A$65:$A$70</c:f>
              <c:strCache>
                <c:ptCount val="6"/>
                <c:pt idx="0">
                  <c:v>Cash</c:v>
                </c:pt>
                <c:pt idx="1">
                  <c:v>Credit Card</c:v>
                </c:pt>
                <c:pt idx="2">
                  <c:v>Debit Card</c:v>
                </c:pt>
                <c:pt idx="3">
                  <c:v>EMI</c:v>
                </c:pt>
                <c:pt idx="4">
                  <c:v>Net Banking</c:v>
                </c:pt>
                <c:pt idx="5">
                  <c:v>UPI</c:v>
                </c:pt>
              </c:strCache>
            </c:strRef>
          </c:cat>
          <c:val>
            <c:numRef>
              <c:f>Pivot_Tables!$B$65:$B$70</c:f>
              <c:numCache>
                <c:formatCode>#,##0</c:formatCode>
                <c:ptCount val="6"/>
                <c:pt idx="0">
                  <c:v>21566532.5</c:v>
                </c:pt>
                <c:pt idx="1">
                  <c:v>22044695</c:v>
                </c:pt>
                <c:pt idx="2">
                  <c:v>21526164.5</c:v>
                </c:pt>
                <c:pt idx="3">
                  <c:v>25474287</c:v>
                </c:pt>
                <c:pt idx="4">
                  <c:v>23107580</c:v>
                </c:pt>
                <c:pt idx="5">
                  <c:v>26074712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7BC3-4880-9FEF-53A309F315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Revenue by Store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Pivot_Tables!$C$52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Pivot_Tables!$B$53:$B$60</c:f>
              <c:strCache>
                <c:ptCount val="8"/>
                <c:pt idx="0">
                  <c:v>Aurelia Jewels - Surat</c:v>
                </c:pt>
                <c:pt idx="1">
                  <c:v>Aurelia Jewels - Chennai</c:v>
                </c:pt>
                <c:pt idx="2">
                  <c:v>Aurelia Jewels - Jaipur</c:v>
                </c:pt>
                <c:pt idx="3">
                  <c:v>Aurelia Jewels - Ahmedabad</c:v>
                </c:pt>
                <c:pt idx="4">
                  <c:v>Aurelia Jewels - Mumbai</c:v>
                </c:pt>
                <c:pt idx="5">
                  <c:v>Aurelia Jewels - Lucknow</c:v>
                </c:pt>
                <c:pt idx="6">
                  <c:v>Aurelia Jewels - Hyderabad</c:v>
                </c:pt>
                <c:pt idx="7">
                  <c:v>Aurelia Jewels - Bengaluru</c:v>
                </c:pt>
              </c:strCache>
            </c:strRef>
          </c:cat>
          <c:val>
            <c:numRef>
              <c:f>Pivot_Tables!$C$53:$C$60</c:f>
              <c:numCache>
                <c:formatCode>#,##0</c:formatCode>
                <c:ptCount val="8"/>
                <c:pt idx="0">
                  <c:v>18442227.5</c:v>
                </c:pt>
                <c:pt idx="1">
                  <c:v>20766928</c:v>
                </c:pt>
                <c:pt idx="2">
                  <c:v>19313721.5</c:v>
                </c:pt>
                <c:pt idx="3">
                  <c:v>16835559.5</c:v>
                </c:pt>
                <c:pt idx="4">
                  <c:v>14641877.5</c:v>
                </c:pt>
                <c:pt idx="5">
                  <c:v>14317814.5</c:v>
                </c:pt>
                <c:pt idx="6">
                  <c:v>17909226.5</c:v>
                </c:pt>
                <c:pt idx="7">
                  <c:v>17566616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C1-4660-8D59-E2B22BA959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366448"/>
        <c:axId val="99663522"/>
      </c:barChart>
      <c:catAx>
        <c:axId val="20366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9663522"/>
        <c:crosses val="autoZero"/>
        <c:auto val="1"/>
        <c:lblAlgn val="ctr"/>
        <c:lblOffset val="100"/>
        <c:noMultiLvlLbl val="0"/>
      </c:catAx>
      <c:valAx>
        <c:axId val="9966352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036644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1</xdr:row>
      <xdr:rowOff>160560</xdr:rowOff>
    </xdr:from>
    <xdr:to>
      <xdr:col>14</xdr:col>
      <xdr:colOff>256320</xdr:colOff>
      <xdr:row>17</xdr:row>
      <xdr:rowOff>180720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19</xdr:row>
      <xdr:rowOff>160920</xdr:rowOff>
    </xdr:from>
    <xdr:to>
      <xdr:col>14</xdr:col>
      <xdr:colOff>256320</xdr:colOff>
      <xdr:row>36</xdr:row>
      <xdr:rowOff>162000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5</xdr:col>
      <xdr:colOff>0</xdr:colOff>
      <xdr:row>37</xdr:row>
      <xdr:rowOff>160920</xdr:rowOff>
    </xdr:from>
    <xdr:to>
      <xdr:col>13</xdr:col>
      <xdr:colOff>147600</xdr:colOff>
      <xdr:row>54</xdr:row>
      <xdr:rowOff>76320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C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5</xdr:col>
      <xdr:colOff>0</xdr:colOff>
      <xdr:row>54</xdr:row>
      <xdr:rowOff>160920</xdr:rowOff>
    </xdr:from>
    <xdr:to>
      <xdr:col>14</xdr:col>
      <xdr:colOff>256320</xdr:colOff>
      <xdr:row>71</xdr:row>
      <xdr:rowOff>76320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C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9"/>
  <sheetViews>
    <sheetView zoomScaleNormal="100" workbookViewId="0">
      <selection activeCell="F3" sqref="F3"/>
    </sheetView>
  </sheetViews>
  <sheetFormatPr defaultColWidth="8.6328125" defaultRowHeight="14.5" x14ac:dyDescent="0.35"/>
  <cols>
    <col min="1" max="8" width="15" customWidth="1"/>
  </cols>
  <sheetData>
    <row r="1" spans="1:8" ht="20" x14ac:dyDescent="0.4">
      <c r="A1" s="9" t="s">
        <v>0</v>
      </c>
      <c r="B1" s="9"/>
      <c r="C1" s="9"/>
      <c r="D1" s="9"/>
      <c r="E1" s="9"/>
      <c r="F1" s="9"/>
      <c r="G1" s="9"/>
      <c r="H1" s="9"/>
    </row>
    <row r="2" spans="1:8" x14ac:dyDescent="0.35">
      <c r="A2" s="10" t="s">
        <v>1</v>
      </c>
    </row>
    <row r="4" spans="1:8" x14ac:dyDescent="0.35">
      <c r="A4" s="8" t="s">
        <v>2</v>
      </c>
      <c r="B4" s="8"/>
      <c r="C4" s="8" t="s">
        <v>3</v>
      </c>
      <c r="D4" s="8"/>
      <c r="E4" s="8" t="s">
        <v>4</v>
      </c>
      <c r="F4" s="8"/>
      <c r="G4" s="8" t="s">
        <v>5</v>
      </c>
      <c r="H4" s="8"/>
    </row>
    <row r="5" spans="1:8" x14ac:dyDescent="0.35">
      <c r="A5" s="7">
        <f>SUM(Cleaned_Sales!K2:K714)</f>
        <v>139793971</v>
      </c>
      <c r="B5" s="7"/>
      <c r="C5" s="6">
        <f>COUNTA(Cleaned_Sales!A2:A714)</f>
        <v>713</v>
      </c>
      <c r="D5" s="6"/>
      <c r="E5" s="7">
        <f>A5/C5</f>
        <v>196064.47545582047</v>
      </c>
      <c r="F5" s="7"/>
      <c r="G5" s="6">
        <f>SUMPRODUCT((COUNTIF(Cleaned_Sales!E2:E714,Cleaned_Sales!E2:E714))^-1)</f>
        <v>148.99999999999983</v>
      </c>
      <c r="H5" s="6"/>
    </row>
    <row r="6" spans="1:8" x14ac:dyDescent="0.35">
      <c r="A6" s="7"/>
      <c r="B6" s="7"/>
      <c r="C6" s="6"/>
      <c r="D6" s="6"/>
      <c r="E6" s="7"/>
      <c r="F6" s="7"/>
      <c r="G6" s="6"/>
      <c r="H6" s="6"/>
    </row>
    <row r="7" spans="1:8" x14ac:dyDescent="0.35">
      <c r="A7" s="11"/>
      <c r="B7" s="11"/>
      <c r="C7" s="11"/>
      <c r="D7" s="11"/>
      <c r="E7" s="11"/>
      <c r="F7" s="11"/>
      <c r="G7" s="11"/>
      <c r="H7" s="11"/>
    </row>
    <row r="9" spans="1:8" x14ac:dyDescent="0.35">
      <c r="A9" s="8" t="s">
        <v>6</v>
      </c>
      <c r="B9" s="8"/>
      <c r="C9" s="8" t="s">
        <v>7</v>
      </c>
      <c r="D9" s="8"/>
      <c r="E9" s="8" t="s">
        <v>8</v>
      </c>
      <c r="F9" s="8"/>
      <c r="G9" s="8" t="s">
        <v>9</v>
      </c>
      <c r="H9" s="8"/>
    </row>
    <row r="10" spans="1:8" x14ac:dyDescent="0.35">
      <c r="A10" s="5">
        <f>COUNTIF(Classification!D69:D217,"&gt;1")/COUNTIF(Classification!D69:D217,"&gt;=1")</f>
        <v>0.98648648648648651</v>
      </c>
      <c r="B10" s="5"/>
      <c r="C10" s="5">
        <f>AVERAGE(Cleaned_Sales!J2:J714)/100</f>
        <v>5.1542776998597474E-2</v>
      </c>
      <c r="D10" s="5"/>
      <c r="E10" s="7">
        <f>SUMPRODUCT(Cleaned_Products!G2:G61,Cleaned_Products!K2:K61)</f>
        <v>420436440</v>
      </c>
      <c r="F10" s="7"/>
      <c r="G10" s="5">
        <f>AVERAGE(Cleaned_Products!J2:J61)/100</f>
        <v>0.24706333333333322</v>
      </c>
      <c r="H10" s="5"/>
    </row>
    <row r="11" spans="1:8" x14ac:dyDescent="0.35">
      <c r="A11" s="5"/>
      <c r="B11" s="5"/>
      <c r="C11" s="5"/>
      <c r="D11" s="5"/>
      <c r="E11" s="7"/>
      <c r="F11" s="7"/>
      <c r="G11" s="5"/>
      <c r="H11" s="5"/>
    </row>
    <row r="12" spans="1:8" x14ac:dyDescent="0.35">
      <c r="A12" s="11"/>
      <c r="B12" s="11"/>
      <c r="C12" s="11"/>
      <c r="D12" s="11"/>
      <c r="E12" s="11"/>
      <c r="F12" s="11"/>
      <c r="G12" s="11"/>
      <c r="H12" s="11"/>
    </row>
    <row r="14" spans="1:8" x14ac:dyDescent="0.35">
      <c r="A14" s="8" t="s">
        <v>10</v>
      </c>
      <c r="B14" s="8"/>
      <c r="C14" s="8" t="s">
        <v>11</v>
      </c>
      <c r="D14" s="8"/>
      <c r="E14" s="8" t="s">
        <v>12</v>
      </c>
      <c r="F14" s="8"/>
      <c r="G14" s="8" t="s">
        <v>13</v>
      </c>
      <c r="H14" s="8"/>
    </row>
    <row r="15" spans="1:8" x14ac:dyDescent="0.35">
      <c r="A15" s="4" t="str">
        <f>INDEX(Pivot_Tables!A5:A12,MATCH(MAX(Pivot_Tables!B5:B12),Pivot_Tables!B5:B12,0))</f>
        <v>Bracelets</v>
      </c>
      <c r="B15" s="4"/>
      <c r="C15" s="7">
        <f>SUMIF(Cleaned_Sales!D2:D714,2024,Cleaned_Sales!K2:K714)</f>
        <v>53965112.5</v>
      </c>
      <c r="D15" s="7"/>
      <c r="E15" s="7">
        <f>SUMIF(Cleaned_Sales!D2:D714,2023,Cleaned_Sales!K2:K714)</f>
        <v>56789550.5</v>
      </c>
      <c r="F15" s="7"/>
      <c r="G15" s="5">
        <f>IFERROR((C15-E15)/E15,"N/A")</f>
        <v>-4.9735170909655291E-2</v>
      </c>
      <c r="H15" s="5"/>
    </row>
    <row r="16" spans="1:8" x14ac:dyDescent="0.35">
      <c r="A16" s="4"/>
      <c r="B16" s="4"/>
      <c r="C16" s="7"/>
      <c r="D16" s="7"/>
      <c r="E16" s="7"/>
      <c r="F16" s="7"/>
      <c r="G16" s="5"/>
      <c r="H16" s="5"/>
    </row>
    <row r="17" spans="1:8" x14ac:dyDescent="0.35">
      <c r="A17" s="11"/>
      <c r="B17" s="11"/>
      <c r="C17" s="11"/>
      <c r="D17" s="11"/>
      <c r="E17" s="11"/>
      <c r="F17" s="11"/>
      <c r="G17" s="11"/>
      <c r="H17" s="11"/>
    </row>
    <row r="19" spans="1:8" x14ac:dyDescent="0.35">
      <c r="A19" s="8" t="s">
        <v>14</v>
      </c>
      <c r="B19" s="8"/>
      <c r="C19" s="8" t="s">
        <v>15</v>
      </c>
      <c r="D19" s="8"/>
      <c r="E19" s="8" t="s">
        <v>16</v>
      </c>
      <c r="F19" s="8"/>
      <c r="G19" s="8" t="s">
        <v>17</v>
      </c>
      <c r="H19" s="8"/>
    </row>
    <row r="20" spans="1:8" x14ac:dyDescent="0.35">
      <c r="A20" s="5">
        <f>SUMIF(Cleaned_Sales!M2:M714,"Online",Cleaned_Sales!K2:K714)/A5</f>
        <v>0.51612116734276048</v>
      </c>
      <c r="B20" s="5"/>
      <c r="C20" s="6">
        <f>COUNTIF(Classification!H5:H64,"A - Top Contributor")</f>
        <v>40</v>
      </c>
      <c r="D20" s="6"/>
      <c r="E20" s="6">
        <f>COUNTIF(Classification!H69:H217,"Champion")</f>
        <v>38</v>
      </c>
      <c r="F20" s="6"/>
      <c r="G20" s="6">
        <f>COUNTIF(Cleaned_Products!K2:K61,"&gt;0")</f>
        <v>58</v>
      </c>
      <c r="H20" s="6"/>
    </row>
    <row r="21" spans="1:8" x14ac:dyDescent="0.35">
      <c r="A21" s="5"/>
      <c r="B21" s="5"/>
      <c r="C21" s="6"/>
      <c r="D21" s="6"/>
      <c r="E21" s="6"/>
      <c r="F21" s="6"/>
      <c r="G21" s="6"/>
      <c r="H21" s="6"/>
    </row>
    <row r="22" spans="1:8" x14ac:dyDescent="0.35">
      <c r="A22" s="11"/>
      <c r="B22" s="11"/>
      <c r="C22" s="11"/>
      <c r="D22" s="11"/>
      <c r="E22" s="11"/>
      <c r="F22" s="11"/>
      <c r="G22" s="11"/>
      <c r="H22" s="11"/>
    </row>
    <row r="24" spans="1:8" x14ac:dyDescent="0.35">
      <c r="A24" s="12" t="s">
        <v>18</v>
      </c>
    </row>
    <row r="25" spans="1:8" x14ac:dyDescent="0.35">
      <c r="A25" s="3" t="s">
        <v>19</v>
      </c>
      <c r="B25" s="3"/>
      <c r="C25" s="3"/>
      <c r="D25" s="3"/>
      <c r="E25" s="3"/>
      <c r="F25" s="3"/>
      <c r="G25" s="3"/>
      <c r="H25" s="3"/>
    </row>
    <row r="26" spans="1:8" x14ac:dyDescent="0.35">
      <c r="A26" s="3" t="s">
        <v>20</v>
      </c>
      <c r="B26" s="3"/>
      <c r="C26" s="3"/>
      <c r="D26" s="3"/>
      <c r="E26" s="3"/>
      <c r="F26" s="3"/>
      <c r="G26" s="3"/>
      <c r="H26" s="3"/>
    </row>
    <row r="27" spans="1:8" x14ac:dyDescent="0.35">
      <c r="A27" s="3" t="s">
        <v>21</v>
      </c>
      <c r="B27" s="3"/>
      <c r="C27" s="3"/>
      <c r="D27" s="3"/>
      <c r="E27" s="3"/>
      <c r="F27" s="3"/>
      <c r="G27" s="3"/>
      <c r="H27" s="3"/>
    </row>
    <row r="28" spans="1:8" x14ac:dyDescent="0.35">
      <c r="A28" s="3" t="s">
        <v>22</v>
      </c>
      <c r="B28" s="3"/>
      <c r="C28" s="3"/>
      <c r="D28" s="3"/>
      <c r="E28" s="3"/>
      <c r="F28" s="3"/>
      <c r="G28" s="3"/>
      <c r="H28" s="3"/>
    </row>
    <row r="29" spans="1:8" x14ac:dyDescent="0.35">
      <c r="A29" s="3" t="s">
        <v>23</v>
      </c>
      <c r="B29" s="3"/>
      <c r="C29" s="3"/>
      <c r="D29" s="3"/>
      <c r="E29" s="3"/>
      <c r="F29" s="3"/>
      <c r="G29" s="3"/>
      <c r="H29" s="3"/>
    </row>
  </sheetData>
  <mergeCells count="38">
    <mergeCell ref="A26:H26"/>
    <mergeCell ref="A27:H27"/>
    <mergeCell ref="A28:H28"/>
    <mergeCell ref="A29:H29"/>
    <mergeCell ref="A20:B21"/>
    <mergeCell ref="C20:D21"/>
    <mergeCell ref="E20:F21"/>
    <mergeCell ref="G20:H21"/>
    <mergeCell ref="A25:H25"/>
    <mergeCell ref="A15:B16"/>
    <mergeCell ref="C15:D16"/>
    <mergeCell ref="E15:F16"/>
    <mergeCell ref="G15:H16"/>
    <mergeCell ref="A19:B19"/>
    <mergeCell ref="C19:D19"/>
    <mergeCell ref="E19:F19"/>
    <mergeCell ref="G19:H19"/>
    <mergeCell ref="A10:B11"/>
    <mergeCell ref="C10:D11"/>
    <mergeCell ref="E10:F11"/>
    <mergeCell ref="G10:H11"/>
    <mergeCell ref="A14:B14"/>
    <mergeCell ref="C14:D14"/>
    <mergeCell ref="E14:F14"/>
    <mergeCell ref="G14:H14"/>
    <mergeCell ref="A5:B6"/>
    <mergeCell ref="C5:D6"/>
    <mergeCell ref="E5:F6"/>
    <mergeCell ref="G5:H6"/>
    <mergeCell ref="A9:B9"/>
    <mergeCell ref="C9:D9"/>
    <mergeCell ref="E9:F9"/>
    <mergeCell ref="G9:H9"/>
    <mergeCell ref="A1:H1"/>
    <mergeCell ref="A4:B4"/>
    <mergeCell ref="C4:D4"/>
    <mergeCell ref="E4:F4"/>
    <mergeCell ref="G4:H4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9"/>
  <sheetViews>
    <sheetView zoomScaleNormal="100" workbookViewId="0"/>
  </sheetViews>
  <sheetFormatPr defaultColWidth="8.6328125" defaultRowHeight="14.5" x14ac:dyDescent="0.35"/>
  <cols>
    <col min="1" max="1" width="110" customWidth="1"/>
  </cols>
  <sheetData>
    <row r="1" spans="1:1" ht="18" x14ac:dyDescent="0.4">
      <c r="A1" s="13" t="s">
        <v>24</v>
      </c>
    </row>
    <row r="2" spans="1:1" x14ac:dyDescent="0.35">
      <c r="A2" s="14"/>
    </row>
    <row r="3" spans="1:1" x14ac:dyDescent="0.35">
      <c r="A3" s="14" t="s">
        <v>25</v>
      </c>
    </row>
    <row r="4" spans="1:1" x14ac:dyDescent="0.35">
      <c r="A4" s="14" t="s">
        <v>26</v>
      </c>
    </row>
    <row r="5" spans="1:1" x14ac:dyDescent="0.35">
      <c r="A5" s="14" t="s">
        <v>27</v>
      </c>
    </row>
    <row r="6" spans="1:1" x14ac:dyDescent="0.35">
      <c r="A6" s="14" t="s">
        <v>28</v>
      </c>
    </row>
    <row r="7" spans="1:1" x14ac:dyDescent="0.35">
      <c r="A7" s="14" t="s">
        <v>29</v>
      </c>
    </row>
    <row r="8" spans="1:1" x14ac:dyDescent="0.35">
      <c r="A8" s="14" t="s">
        <v>30</v>
      </c>
    </row>
    <row r="9" spans="1:1" x14ac:dyDescent="0.35">
      <c r="A9" s="14"/>
    </row>
    <row r="10" spans="1:1" x14ac:dyDescent="0.35">
      <c r="A10" s="14" t="s">
        <v>31</v>
      </c>
    </row>
    <row r="11" spans="1:1" x14ac:dyDescent="0.35">
      <c r="A11" s="14" t="s">
        <v>32</v>
      </c>
    </row>
    <row r="12" spans="1:1" x14ac:dyDescent="0.35">
      <c r="A12" s="14" t="s">
        <v>33</v>
      </c>
    </row>
    <row r="13" spans="1:1" x14ac:dyDescent="0.35">
      <c r="A13" s="14" t="s">
        <v>34</v>
      </c>
    </row>
    <row r="14" spans="1:1" x14ac:dyDescent="0.35">
      <c r="A14" s="14" t="s">
        <v>35</v>
      </c>
    </row>
    <row r="15" spans="1:1" x14ac:dyDescent="0.35">
      <c r="A15" s="14" t="s">
        <v>36</v>
      </c>
    </row>
    <row r="16" spans="1:1" x14ac:dyDescent="0.35">
      <c r="A16" s="14" t="s">
        <v>37</v>
      </c>
    </row>
    <row r="17" spans="1:1" x14ac:dyDescent="0.35">
      <c r="A17" s="14" t="s">
        <v>38</v>
      </c>
    </row>
    <row r="18" spans="1:1" x14ac:dyDescent="0.35">
      <c r="A18" s="14" t="s">
        <v>39</v>
      </c>
    </row>
    <row r="19" spans="1:1" x14ac:dyDescent="0.35">
      <c r="A19" s="14" t="s">
        <v>40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955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17" customWidth="1"/>
    <col min="2" max="7" width="14" customWidth="1"/>
    <col min="8" max="9" width="15" customWidth="1"/>
    <col min="10" max="10" width="16" customWidth="1"/>
    <col min="11" max="11" width="14" customWidth="1"/>
  </cols>
  <sheetData>
    <row r="1" spans="1:11" x14ac:dyDescent="0.35">
      <c r="A1" s="15" t="s">
        <v>41</v>
      </c>
      <c r="B1" s="15" t="s">
        <v>42</v>
      </c>
      <c r="C1" s="15" t="s">
        <v>43</v>
      </c>
      <c r="D1" s="15" t="s">
        <v>44</v>
      </c>
      <c r="E1" s="15" t="s">
        <v>45</v>
      </c>
      <c r="F1" s="15" t="s">
        <v>46</v>
      </c>
      <c r="G1" s="15" t="s">
        <v>47</v>
      </c>
      <c r="H1" s="15" t="s">
        <v>48</v>
      </c>
      <c r="I1" s="15" t="s">
        <v>49</v>
      </c>
      <c r="J1" s="15" t="s">
        <v>50</v>
      </c>
      <c r="K1" s="15" t="s">
        <v>51</v>
      </c>
    </row>
    <row r="2" spans="1:11" x14ac:dyDescent="0.35">
      <c r="A2" s="14" t="s">
        <v>52</v>
      </c>
      <c r="B2" s="14" t="s">
        <v>53</v>
      </c>
      <c r="C2" s="14" t="s">
        <v>54</v>
      </c>
      <c r="D2" s="14" t="s">
        <v>55</v>
      </c>
      <c r="E2" s="14" t="s">
        <v>56</v>
      </c>
      <c r="F2" s="14">
        <v>1</v>
      </c>
      <c r="G2" s="14">
        <v>164590</v>
      </c>
      <c r="H2" s="14">
        <v>0</v>
      </c>
      <c r="I2" s="14" t="s">
        <v>57</v>
      </c>
      <c r="J2" s="14" t="s">
        <v>58</v>
      </c>
      <c r="K2" s="14" t="s">
        <v>59</v>
      </c>
    </row>
    <row r="3" spans="1:11" x14ac:dyDescent="0.35">
      <c r="A3" s="14" t="s">
        <v>60</v>
      </c>
      <c r="B3" s="14" t="s">
        <v>61</v>
      </c>
      <c r="C3" s="14" t="s">
        <v>62</v>
      </c>
      <c r="D3" s="14" t="s">
        <v>63</v>
      </c>
      <c r="E3" s="14" t="s">
        <v>64</v>
      </c>
      <c r="F3" s="14">
        <v>1</v>
      </c>
      <c r="G3" s="14">
        <v>95070</v>
      </c>
      <c r="H3" s="14">
        <v>15</v>
      </c>
      <c r="I3" s="14" t="s">
        <v>65</v>
      </c>
      <c r="J3" s="14" t="s">
        <v>66</v>
      </c>
      <c r="K3" s="14" t="s">
        <v>67</v>
      </c>
    </row>
    <row r="4" spans="1:11" x14ac:dyDescent="0.35">
      <c r="A4" s="14" t="s">
        <v>68</v>
      </c>
      <c r="B4" s="14" t="s">
        <v>69</v>
      </c>
      <c r="C4" s="14" t="s">
        <v>70</v>
      </c>
      <c r="D4" s="14" t="s">
        <v>71</v>
      </c>
      <c r="E4" s="14" t="s">
        <v>72</v>
      </c>
      <c r="F4" s="14">
        <v>-1</v>
      </c>
      <c r="G4" s="14">
        <v>21670</v>
      </c>
      <c r="H4" s="14">
        <v>15</v>
      </c>
      <c r="I4" s="14" t="s">
        <v>73</v>
      </c>
      <c r="J4" s="14" t="s">
        <v>74</v>
      </c>
      <c r="K4" s="14" t="s">
        <v>75</v>
      </c>
    </row>
    <row r="5" spans="1:11" x14ac:dyDescent="0.35">
      <c r="A5" s="14" t="s">
        <v>76</v>
      </c>
      <c r="B5" s="14" t="s">
        <v>77</v>
      </c>
      <c r="C5" s="14" t="s">
        <v>78</v>
      </c>
      <c r="D5" s="14" t="s">
        <v>79</v>
      </c>
      <c r="E5" s="14" t="s">
        <v>80</v>
      </c>
      <c r="F5" s="14">
        <v>1</v>
      </c>
      <c r="G5" s="14">
        <v>32080</v>
      </c>
      <c r="H5" s="14" t="s">
        <v>81</v>
      </c>
      <c r="I5" s="14" t="s">
        <v>82</v>
      </c>
      <c r="J5" s="14" t="s">
        <v>83</v>
      </c>
      <c r="K5" s="14" t="s">
        <v>84</v>
      </c>
    </row>
    <row r="6" spans="1:11" x14ac:dyDescent="0.35">
      <c r="A6" s="14" t="s">
        <v>85</v>
      </c>
      <c r="B6" s="14" t="s">
        <v>86</v>
      </c>
      <c r="C6" s="14" t="s">
        <v>87</v>
      </c>
      <c r="D6" s="14" t="s">
        <v>88</v>
      </c>
      <c r="E6" s="14" t="s">
        <v>64</v>
      </c>
      <c r="F6" s="14">
        <v>-1</v>
      </c>
      <c r="G6" s="14">
        <v>227370</v>
      </c>
      <c r="H6" s="14"/>
      <c r="I6" s="14" t="s">
        <v>89</v>
      </c>
      <c r="J6" s="14" t="s">
        <v>90</v>
      </c>
      <c r="K6" s="14"/>
    </row>
    <row r="7" spans="1:11" x14ac:dyDescent="0.35">
      <c r="A7" s="14" t="s">
        <v>91</v>
      </c>
      <c r="B7" s="14" t="s">
        <v>92</v>
      </c>
      <c r="C7" s="14" t="s">
        <v>93</v>
      </c>
      <c r="D7" s="14" t="s">
        <v>94</v>
      </c>
      <c r="E7" s="14" t="s">
        <v>80</v>
      </c>
      <c r="F7" s="14">
        <v>2</v>
      </c>
      <c r="G7" s="14">
        <v>170430</v>
      </c>
      <c r="H7" s="14">
        <v>5</v>
      </c>
      <c r="I7" s="14" t="s">
        <v>95</v>
      </c>
      <c r="J7" s="14" t="s">
        <v>90</v>
      </c>
      <c r="K7" s="14" t="s">
        <v>96</v>
      </c>
    </row>
    <row r="8" spans="1:11" x14ac:dyDescent="0.35">
      <c r="A8" s="14" t="s">
        <v>97</v>
      </c>
      <c r="B8" s="14" t="s">
        <v>98</v>
      </c>
      <c r="C8" s="14" t="s">
        <v>99</v>
      </c>
      <c r="D8" s="14" t="s">
        <v>100</v>
      </c>
      <c r="E8" s="14" t="s">
        <v>101</v>
      </c>
      <c r="F8" s="14">
        <v>3</v>
      </c>
      <c r="G8" s="14" t="s">
        <v>102</v>
      </c>
      <c r="H8" s="14">
        <v>10</v>
      </c>
      <c r="I8" s="14" t="s">
        <v>95</v>
      </c>
      <c r="J8" s="14" t="s">
        <v>74</v>
      </c>
      <c r="K8" s="14" t="s">
        <v>103</v>
      </c>
    </row>
    <row r="9" spans="1:11" x14ac:dyDescent="0.35">
      <c r="A9" s="14" t="s">
        <v>104</v>
      </c>
      <c r="B9" s="14" t="s">
        <v>105</v>
      </c>
      <c r="C9" s="14" t="s">
        <v>106</v>
      </c>
      <c r="D9" s="14" t="s">
        <v>107</v>
      </c>
      <c r="E9" s="14" t="s">
        <v>108</v>
      </c>
      <c r="F9" s="14">
        <v>1</v>
      </c>
      <c r="G9" s="14">
        <v>43050</v>
      </c>
      <c r="H9" s="14" t="s">
        <v>81</v>
      </c>
      <c r="I9" s="14" t="s">
        <v>73</v>
      </c>
      <c r="J9" s="14" t="s">
        <v>90</v>
      </c>
      <c r="K9" s="14"/>
    </row>
    <row r="10" spans="1:11" x14ac:dyDescent="0.35">
      <c r="A10" s="14" t="s">
        <v>109</v>
      </c>
      <c r="B10" s="14" t="s">
        <v>110</v>
      </c>
      <c r="C10" s="14" t="s">
        <v>111</v>
      </c>
      <c r="D10" s="14" t="s">
        <v>112</v>
      </c>
      <c r="E10" s="14" t="s">
        <v>113</v>
      </c>
      <c r="F10" s="14">
        <v>1</v>
      </c>
      <c r="G10" s="14">
        <v>98210</v>
      </c>
      <c r="H10" s="14">
        <v>0</v>
      </c>
      <c r="I10" s="14" t="s">
        <v>114</v>
      </c>
      <c r="J10" s="14" t="s">
        <v>115</v>
      </c>
      <c r="K10" s="14" t="s">
        <v>116</v>
      </c>
    </row>
    <row r="11" spans="1:11" x14ac:dyDescent="0.35">
      <c r="A11" s="14" t="s">
        <v>117</v>
      </c>
      <c r="B11" s="14" t="s">
        <v>118</v>
      </c>
      <c r="C11" s="14" t="s">
        <v>119</v>
      </c>
      <c r="D11" s="14" t="s">
        <v>120</v>
      </c>
      <c r="E11" s="14" t="s">
        <v>108</v>
      </c>
      <c r="F11" s="14">
        <v>-1</v>
      </c>
      <c r="G11" s="14">
        <v>122420</v>
      </c>
      <c r="H11" s="14">
        <v>5</v>
      </c>
      <c r="I11" s="14" t="s">
        <v>121</v>
      </c>
      <c r="J11" s="14" t="s">
        <v>115</v>
      </c>
      <c r="K11" s="14"/>
    </row>
    <row r="12" spans="1:11" x14ac:dyDescent="0.35">
      <c r="A12" s="14" t="s">
        <v>122</v>
      </c>
      <c r="B12" s="14" t="s">
        <v>123</v>
      </c>
      <c r="C12" s="14" t="s">
        <v>124</v>
      </c>
      <c r="D12" s="14" t="s">
        <v>125</v>
      </c>
      <c r="E12" s="14" t="s">
        <v>126</v>
      </c>
      <c r="F12" s="14">
        <v>0</v>
      </c>
      <c r="G12" s="14">
        <v>123360</v>
      </c>
      <c r="H12" s="14">
        <v>0</v>
      </c>
      <c r="I12" s="14" t="s">
        <v>89</v>
      </c>
      <c r="J12" s="14" t="s">
        <v>115</v>
      </c>
      <c r="K12" s="14"/>
    </row>
    <row r="13" spans="1:11" x14ac:dyDescent="0.35">
      <c r="A13" s="14" t="s">
        <v>127</v>
      </c>
      <c r="B13" s="14" t="s">
        <v>128</v>
      </c>
      <c r="C13" s="14" t="s">
        <v>129</v>
      </c>
      <c r="D13" s="14" t="s">
        <v>88</v>
      </c>
      <c r="E13" s="14" t="s">
        <v>64</v>
      </c>
      <c r="F13" s="14">
        <v>0</v>
      </c>
      <c r="G13" s="14" t="s">
        <v>130</v>
      </c>
      <c r="H13" s="14" t="s">
        <v>81</v>
      </c>
      <c r="I13" s="14" t="s">
        <v>95</v>
      </c>
      <c r="J13" s="14" t="s">
        <v>83</v>
      </c>
      <c r="K13" s="14" t="s">
        <v>131</v>
      </c>
    </row>
    <row r="14" spans="1:11" x14ac:dyDescent="0.35">
      <c r="A14" s="14" t="s">
        <v>132</v>
      </c>
      <c r="B14" s="14" t="s">
        <v>133</v>
      </c>
      <c r="C14" s="14" t="s">
        <v>134</v>
      </c>
      <c r="D14" s="14" t="s">
        <v>135</v>
      </c>
      <c r="E14" s="14" t="s">
        <v>64</v>
      </c>
      <c r="F14" s="14">
        <v>2</v>
      </c>
      <c r="G14" s="14" t="s">
        <v>136</v>
      </c>
      <c r="H14" s="14"/>
      <c r="I14" s="14" t="s">
        <v>73</v>
      </c>
      <c r="J14" s="14" t="s">
        <v>90</v>
      </c>
      <c r="K14" s="14"/>
    </row>
    <row r="15" spans="1:11" x14ac:dyDescent="0.35">
      <c r="A15" s="14" t="s">
        <v>137</v>
      </c>
      <c r="B15" s="14" t="s">
        <v>138</v>
      </c>
      <c r="C15" s="14" t="s">
        <v>139</v>
      </c>
      <c r="D15" s="14" t="s">
        <v>94</v>
      </c>
      <c r="E15" s="14" t="s">
        <v>113</v>
      </c>
      <c r="F15" s="14">
        <v>1</v>
      </c>
      <c r="G15" s="14">
        <v>204040</v>
      </c>
      <c r="H15" s="14">
        <v>15</v>
      </c>
      <c r="I15" s="14" t="s">
        <v>65</v>
      </c>
      <c r="J15" s="14" t="s">
        <v>66</v>
      </c>
      <c r="K15" s="14" t="s">
        <v>140</v>
      </c>
    </row>
    <row r="16" spans="1:11" x14ac:dyDescent="0.35">
      <c r="A16" s="14" t="s">
        <v>141</v>
      </c>
      <c r="B16" s="14" t="s">
        <v>142</v>
      </c>
      <c r="C16" s="14" t="s">
        <v>143</v>
      </c>
      <c r="D16" s="14" t="s">
        <v>144</v>
      </c>
      <c r="E16" s="14" t="s">
        <v>72</v>
      </c>
      <c r="F16" s="14">
        <v>2</v>
      </c>
      <c r="G16" s="14">
        <v>95460</v>
      </c>
      <c r="H16" s="14">
        <v>0</v>
      </c>
      <c r="I16" s="14" t="s">
        <v>121</v>
      </c>
      <c r="J16" s="14" t="s">
        <v>90</v>
      </c>
      <c r="K16" s="14" t="s">
        <v>145</v>
      </c>
    </row>
    <row r="17" spans="1:11" x14ac:dyDescent="0.35">
      <c r="A17" s="14" t="s">
        <v>146</v>
      </c>
      <c r="B17" s="14" t="s">
        <v>147</v>
      </c>
      <c r="C17" s="14" t="s">
        <v>148</v>
      </c>
      <c r="D17" s="14" t="s">
        <v>88</v>
      </c>
      <c r="E17" s="14" t="s">
        <v>56</v>
      </c>
      <c r="F17" s="14">
        <v>0</v>
      </c>
      <c r="G17" s="14">
        <v>239230</v>
      </c>
      <c r="H17" s="14">
        <v>5</v>
      </c>
      <c r="I17" s="14" t="s">
        <v>73</v>
      </c>
      <c r="J17" s="14" t="s">
        <v>149</v>
      </c>
      <c r="K17" s="14" t="s">
        <v>150</v>
      </c>
    </row>
    <row r="18" spans="1:11" x14ac:dyDescent="0.35">
      <c r="A18" s="14" t="s">
        <v>151</v>
      </c>
      <c r="B18" s="14" t="s">
        <v>152</v>
      </c>
      <c r="C18" s="14" t="s">
        <v>153</v>
      </c>
      <c r="D18" s="14" t="s">
        <v>154</v>
      </c>
      <c r="E18" s="14" t="s">
        <v>126</v>
      </c>
      <c r="F18" s="14">
        <v>3</v>
      </c>
      <c r="G18" s="14">
        <v>231350</v>
      </c>
      <c r="H18" s="14">
        <v>0</v>
      </c>
      <c r="I18" s="14" t="s">
        <v>121</v>
      </c>
      <c r="J18" s="14" t="s">
        <v>115</v>
      </c>
      <c r="K18" s="14"/>
    </row>
    <row r="19" spans="1:11" x14ac:dyDescent="0.35">
      <c r="A19" s="14" t="s">
        <v>155</v>
      </c>
      <c r="B19" s="14" t="s">
        <v>156</v>
      </c>
      <c r="C19" s="14" t="s">
        <v>157</v>
      </c>
      <c r="D19" s="14" t="s">
        <v>144</v>
      </c>
      <c r="E19" s="14" t="s">
        <v>108</v>
      </c>
      <c r="F19" s="14">
        <v>1</v>
      </c>
      <c r="G19" s="14">
        <v>182860</v>
      </c>
      <c r="H19" s="14"/>
      <c r="I19" s="14" t="s">
        <v>158</v>
      </c>
      <c r="J19" s="14" t="s">
        <v>58</v>
      </c>
      <c r="K19" s="14" t="s">
        <v>159</v>
      </c>
    </row>
    <row r="20" spans="1:11" x14ac:dyDescent="0.35">
      <c r="A20" s="14" t="s">
        <v>160</v>
      </c>
      <c r="B20" s="14" t="s">
        <v>161</v>
      </c>
      <c r="C20" s="14" t="s">
        <v>162</v>
      </c>
      <c r="D20" s="14" t="s">
        <v>163</v>
      </c>
      <c r="E20" s="14" t="s">
        <v>80</v>
      </c>
      <c r="F20" s="14">
        <v>2</v>
      </c>
      <c r="G20" s="14">
        <v>18920</v>
      </c>
      <c r="H20" s="14"/>
      <c r="I20" s="14" t="s">
        <v>82</v>
      </c>
      <c r="J20" s="14" t="s">
        <v>83</v>
      </c>
      <c r="K20" s="14" t="s">
        <v>164</v>
      </c>
    </row>
    <row r="21" spans="1:11" x14ac:dyDescent="0.35">
      <c r="A21" s="14" t="s">
        <v>165</v>
      </c>
      <c r="B21" s="14" t="s">
        <v>166</v>
      </c>
      <c r="C21" s="14" t="s">
        <v>157</v>
      </c>
      <c r="D21" s="14" t="s">
        <v>167</v>
      </c>
      <c r="E21" s="14" t="s">
        <v>126</v>
      </c>
      <c r="F21" s="14">
        <v>0</v>
      </c>
      <c r="G21" s="14">
        <v>196640</v>
      </c>
      <c r="H21" s="14">
        <v>0</v>
      </c>
      <c r="I21" s="14" t="s">
        <v>121</v>
      </c>
      <c r="J21" s="14" t="s">
        <v>74</v>
      </c>
      <c r="K21" s="14" t="s">
        <v>168</v>
      </c>
    </row>
    <row r="22" spans="1:11" x14ac:dyDescent="0.35">
      <c r="A22" s="14" t="s">
        <v>169</v>
      </c>
      <c r="B22" s="14" t="s">
        <v>170</v>
      </c>
      <c r="C22" s="14" t="s">
        <v>171</v>
      </c>
      <c r="D22" s="14" t="s">
        <v>172</v>
      </c>
      <c r="E22" s="14" t="s">
        <v>80</v>
      </c>
      <c r="F22" s="14">
        <v>2</v>
      </c>
      <c r="G22" s="14" t="s">
        <v>173</v>
      </c>
      <c r="H22" s="14">
        <v>0</v>
      </c>
      <c r="I22" s="14" t="s">
        <v>121</v>
      </c>
      <c r="J22" s="14" t="s">
        <v>174</v>
      </c>
      <c r="K22" s="14" t="s">
        <v>175</v>
      </c>
    </row>
    <row r="23" spans="1:11" x14ac:dyDescent="0.35">
      <c r="A23" s="14" t="s">
        <v>176</v>
      </c>
      <c r="B23" s="14" t="s">
        <v>177</v>
      </c>
      <c r="C23" s="14" t="s">
        <v>178</v>
      </c>
      <c r="D23" s="14" t="s">
        <v>179</v>
      </c>
      <c r="E23" s="14" t="s">
        <v>80</v>
      </c>
      <c r="F23" s="14">
        <v>2</v>
      </c>
      <c r="G23" s="14">
        <v>59710</v>
      </c>
      <c r="H23" s="14"/>
      <c r="I23" s="14" t="s">
        <v>158</v>
      </c>
      <c r="J23" s="14" t="s">
        <v>149</v>
      </c>
      <c r="K23" s="14" t="s">
        <v>180</v>
      </c>
    </row>
    <row r="24" spans="1:11" x14ac:dyDescent="0.35">
      <c r="A24" s="14" t="s">
        <v>181</v>
      </c>
      <c r="B24" s="14" t="s">
        <v>182</v>
      </c>
      <c r="C24" s="14" t="s">
        <v>183</v>
      </c>
      <c r="D24" s="14" t="s">
        <v>167</v>
      </c>
      <c r="E24" s="14" t="s">
        <v>126</v>
      </c>
      <c r="F24" s="14">
        <v>2</v>
      </c>
      <c r="G24" s="14">
        <v>84510</v>
      </c>
      <c r="H24" s="14">
        <v>5</v>
      </c>
      <c r="I24" s="14" t="s">
        <v>95</v>
      </c>
      <c r="J24" s="14" t="s">
        <v>74</v>
      </c>
      <c r="K24" s="14" t="s">
        <v>184</v>
      </c>
    </row>
    <row r="25" spans="1:11" x14ac:dyDescent="0.35">
      <c r="A25" s="14" t="s">
        <v>185</v>
      </c>
      <c r="B25" s="14" t="s">
        <v>186</v>
      </c>
      <c r="C25" s="14" t="s">
        <v>187</v>
      </c>
      <c r="D25" s="14" t="s">
        <v>107</v>
      </c>
      <c r="E25" s="14" t="s">
        <v>80</v>
      </c>
      <c r="F25" s="14">
        <v>3</v>
      </c>
      <c r="G25" s="14" t="s">
        <v>188</v>
      </c>
      <c r="H25" s="14">
        <v>0</v>
      </c>
      <c r="I25" s="14" t="s">
        <v>73</v>
      </c>
      <c r="J25" s="14" t="s">
        <v>115</v>
      </c>
      <c r="K25" s="14" t="s">
        <v>189</v>
      </c>
    </row>
    <row r="26" spans="1:11" x14ac:dyDescent="0.35">
      <c r="A26" s="14" t="s">
        <v>190</v>
      </c>
      <c r="B26" s="14" t="s">
        <v>191</v>
      </c>
      <c r="C26" s="14" t="s">
        <v>183</v>
      </c>
      <c r="D26" s="14" t="s">
        <v>192</v>
      </c>
      <c r="E26" s="14" t="s">
        <v>101</v>
      </c>
      <c r="F26" s="14">
        <v>2</v>
      </c>
      <c r="G26" s="14">
        <v>30740</v>
      </c>
      <c r="H26" s="14">
        <v>-5</v>
      </c>
      <c r="I26" s="14" t="s">
        <v>121</v>
      </c>
      <c r="J26" s="14" t="s">
        <v>66</v>
      </c>
      <c r="K26" s="14" t="s">
        <v>193</v>
      </c>
    </row>
    <row r="27" spans="1:11" x14ac:dyDescent="0.35">
      <c r="A27" s="14" t="s">
        <v>194</v>
      </c>
      <c r="B27" s="14" t="s">
        <v>195</v>
      </c>
      <c r="C27" s="14" t="s">
        <v>129</v>
      </c>
      <c r="D27" s="14" t="s">
        <v>196</v>
      </c>
      <c r="E27" s="14" t="s">
        <v>126</v>
      </c>
      <c r="F27" s="14">
        <v>3</v>
      </c>
      <c r="G27" s="14">
        <v>75920</v>
      </c>
      <c r="H27" s="14">
        <v>0</v>
      </c>
      <c r="I27" s="14" t="s">
        <v>65</v>
      </c>
      <c r="J27" s="14" t="s">
        <v>74</v>
      </c>
      <c r="K27" s="14" t="s">
        <v>197</v>
      </c>
    </row>
    <row r="28" spans="1:11" x14ac:dyDescent="0.35">
      <c r="A28" s="14" t="s">
        <v>198</v>
      </c>
      <c r="B28" s="14" t="s">
        <v>199</v>
      </c>
      <c r="C28" s="14" t="s">
        <v>148</v>
      </c>
      <c r="D28" s="14" t="s">
        <v>167</v>
      </c>
      <c r="E28" s="14" t="s">
        <v>64</v>
      </c>
      <c r="F28" s="14">
        <v>3</v>
      </c>
      <c r="G28" s="14">
        <v>13940</v>
      </c>
      <c r="H28" s="14">
        <v>10</v>
      </c>
      <c r="I28" s="14" t="s">
        <v>89</v>
      </c>
      <c r="J28" s="14" t="s">
        <v>174</v>
      </c>
      <c r="K28" s="14" t="s">
        <v>200</v>
      </c>
    </row>
    <row r="29" spans="1:11" x14ac:dyDescent="0.35">
      <c r="A29" s="14" t="s">
        <v>201</v>
      </c>
      <c r="B29" s="14" t="s">
        <v>202</v>
      </c>
      <c r="C29" s="14" t="s">
        <v>203</v>
      </c>
      <c r="D29" s="14" t="s">
        <v>135</v>
      </c>
      <c r="E29" s="14" t="s">
        <v>56</v>
      </c>
      <c r="F29" s="14">
        <v>1</v>
      </c>
      <c r="G29" s="14">
        <v>13200</v>
      </c>
      <c r="H29" s="14">
        <v>-5</v>
      </c>
      <c r="I29" s="14" t="s">
        <v>65</v>
      </c>
      <c r="J29" s="14" t="s">
        <v>149</v>
      </c>
      <c r="K29" s="14"/>
    </row>
    <row r="30" spans="1:11" x14ac:dyDescent="0.35">
      <c r="A30" s="14" t="s">
        <v>204</v>
      </c>
      <c r="B30" s="14" t="s">
        <v>205</v>
      </c>
      <c r="C30" s="14" t="s">
        <v>206</v>
      </c>
      <c r="D30" s="14" t="s">
        <v>207</v>
      </c>
      <c r="E30" s="14" t="s">
        <v>80</v>
      </c>
      <c r="F30" s="14">
        <v>0</v>
      </c>
      <c r="G30" s="14">
        <v>182120</v>
      </c>
      <c r="H30" s="14">
        <v>15</v>
      </c>
      <c r="I30" s="14" t="s">
        <v>57</v>
      </c>
      <c r="J30" s="14" t="s">
        <v>58</v>
      </c>
      <c r="K30" s="14" t="s">
        <v>208</v>
      </c>
    </row>
    <row r="31" spans="1:11" x14ac:dyDescent="0.35">
      <c r="A31" s="14" t="s">
        <v>209</v>
      </c>
      <c r="B31" s="14" t="s">
        <v>210</v>
      </c>
      <c r="C31" s="14" t="s">
        <v>211</v>
      </c>
      <c r="D31" s="14" t="s">
        <v>212</v>
      </c>
      <c r="E31" s="14" t="s">
        <v>126</v>
      </c>
      <c r="F31" s="14">
        <v>3</v>
      </c>
      <c r="G31" s="14">
        <v>35310</v>
      </c>
      <c r="H31" s="14">
        <v>15</v>
      </c>
      <c r="I31" s="14" t="s">
        <v>82</v>
      </c>
      <c r="J31" s="14" t="s">
        <v>83</v>
      </c>
      <c r="K31" s="14" t="s">
        <v>213</v>
      </c>
    </row>
    <row r="32" spans="1:11" x14ac:dyDescent="0.35">
      <c r="A32" s="14" t="s">
        <v>214</v>
      </c>
      <c r="B32" s="14" t="s">
        <v>215</v>
      </c>
      <c r="C32" s="14"/>
      <c r="D32" s="14" t="s">
        <v>216</v>
      </c>
      <c r="E32" s="14" t="s">
        <v>108</v>
      </c>
      <c r="F32" s="14">
        <v>1</v>
      </c>
      <c r="G32" s="14">
        <v>177050</v>
      </c>
      <c r="H32" s="14">
        <v>5</v>
      </c>
      <c r="I32" s="14" t="s">
        <v>95</v>
      </c>
      <c r="J32" s="14" t="s">
        <v>58</v>
      </c>
      <c r="K32" s="14" t="s">
        <v>217</v>
      </c>
    </row>
    <row r="33" spans="1:11" x14ac:dyDescent="0.35">
      <c r="A33" s="14" t="s">
        <v>218</v>
      </c>
      <c r="B33" s="14" t="s">
        <v>219</v>
      </c>
      <c r="C33" s="14" t="s">
        <v>220</v>
      </c>
      <c r="D33" s="14" t="s">
        <v>179</v>
      </c>
      <c r="E33" s="14" t="s">
        <v>101</v>
      </c>
      <c r="F33" s="14">
        <v>0</v>
      </c>
      <c r="G33" s="14" t="s">
        <v>221</v>
      </c>
      <c r="H33" s="14">
        <v>15</v>
      </c>
      <c r="I33" s="14" t="s">
        <v>121</v>
      </c>
      <c r="J33" s="14" t="s">
        <v>174</v>
      </c>
      <c r="K33" s="14" t="s">
        <v>222</v>
      </c>
    </row>
    <row r="34" spans="1:11" x14ac:dyDescent="0.35">
      <c r="A34" s="14" t="s">
        <v>223</v>
      </c>
      <c r="B34" s="14" t="s">
        <v>224</v>
      </c>
      <c r="C34" s="14" t="s">
        <v>225</v>
      </c>
      <c r="D34" s="14" t="s">
        <v>226</v>
      </c>
      <c r="E34" s="14" t="s">
        <v>113</v>
      </c>
      <c r="F34" s="14">
        <v>2</v>
      </c>
      <c r="G34" s="14">
        <v>88420</v>
      </c>
      <c r="H34" s="14">
        <v>-5</v>
      </c>
      <c r="I34" s="14" t="s">
        <v>73</v>
      </c>
      <c r="J34" s="14" t="s">
        <v>174</v>
      </c>
      <c r="K34" s="14" t="s">
        <v>227</v>
      </c>
    </row>
    <row r="35" spans="1:11" x14ac:dyDescent="0.35">
      <c r="A35" s="14" t="s">
        <v>228</v>
      </c>
      <c r="B35" s="14" t="s">
        <v>229</v>
      </c>
      <c r="C35" s="14" t="s">
        <v>230</v>
      </c>
      <c r="D35" s="14" t="s">
        <v>231</v>
      </c>
      <c r="E35" s="14" t="s">
        <v>126</v>
      </c>
      <c r="F35" s="14">
        <v>1</v>
      </c>
      <c r="G35" s="14">
        <v>121920</v>
      </c>
      <c r="H35" s="14"/>
      <c r="I35" s="14" t="s">
        <v>73</v>
      </c>
      <c r="J35" s="14" t="s">
        <v>90</v>
      </c>
      <c r="K35" s="14"/>
    </row>
    <row r="36" spans="1:11" x14ac:dyDescent="0.35">
      <c r="A36" s="14" t="s">
        <v>232</v>
      </c>
      <c r="B36" s="14" t="s">
        <v>233</v>
      </c>
      <c r="C36" s="14" t="s">
        <v>234</v>
      </c>
      <c r="D36" s="14" t="s">
        <v>135</v>
      </c>
      <c r="E36" s="14" t="s">
        <v>72</v>
      </c>
      <c r="F36" s="14">
        <v>0</v>
      </c>
      <c r="G36" s="14" t="s">
        <v>235</v>
      </c>
      <c r="H36" s="14" t="s">
        <v>81</v>
      </c>
      <c r="I36" s="14" t="s">
        <v>57</v>
      </c>
      <c r="J36" s="14" t="s">
        <v>83</v>
      </c>
      <c r="K36" s="14" t="s">
        <v>236</v>
      </c>
    </row>
    <row r="37" spans="1:11" x14ac:dyDescent="0.35">
      <c r="A37" s="14" t="s">
        <v>237</v>
      </c>
      <c r="B37" s="14" t="s">
        <v>238</v>
      </c>
      <c r="C37" s="14" t="s">
        <v>239</v>
      </c>
      <c r="D37" s="14" t="s">
        <v>240</v>
      </c>
      <c r="E37" s="14" t="s">
        <v>80</v>
      </c>
      <c r="F37" s="14">
        <v>3</v>
      </c>
      <c r="G37" s="14" t="s">
        <v>241</v>
      </c>
      <c r="H37" s="14">
        <v>0</v>
      </c>
      <c r="I37" s="14" t="s">
        <v>82</v>
      </c>
      <c r="J37" s="14" t="s">
        <v>66</v>
      </c>
      <c r="K37" s="14" t="s">
        <v>242</v>
      </c>
    </row>
    <row r="38" spans="1:11" x14ac:dyDescent="0.35">
      <c r="A38" s="14" t="s">
        <v>243</v>
      </c>
      <c r="B38" s="14" t="s">
        <v>244</v>
      </c>
      <c r="C38" s="14" t="s">
        <v>206</v>
      </c>
      <c r="D38" s="14" t="s">
        <v>207</v>
      </c>
      <c r="E38" s="14" t="s">
        <v>108</v>
      </c>
      <c r="F38" s="14">
        <v>0</v>
      </c>
      <c r="G38" s="14" t="s">
        <v>245</v>
      </c>
      <c r="H38" s="14" t="s">
        <v>81</v>
      </c>
      <c r="I38" s="14" t="s">
        <v>95</v>
      </c>
      <c r="J38" s="14" t="s">
        <v>83</v>
      </c>
      <c r="K38" s="14"/>
    </row>
    <row r="39" spans="1:11" x14ac:dyDescent="0.35">
      <c r="A39" s="14" t="s">
        <v>246</v>
      </c>
      <c r="B39" s="14" t="s">
        <v>247</v>
      </c>
      <c r="C39" s="14" t="s">
        <v>248</v>
      </c>
      <c r="D39" s="14" t="s">
        <v>249</v>
      </c>
      <c r="E39" s="14" t="s">
        <v>80</v>
      </c>
      <c r="F39" s="14">
        <v>-1</v>
      </c>
      <c r="G39" s="14">
        <v>80980</v>
      </c>
      <c r="H39" s="14">
        <v>5</v>
      </c>
      <c r="I39" s="14" t="s">
        <v>250</v>
      </c>
      <c r="J39" s="14" t="s">
        <v>66</v>
      </c>
      <c r="K39" s="14" t="s">
        <v>251</v>
      </c>
    </row>
    <row r="40" spans="1:11" x14ac:dyDescent="0.35">
      <c r="A40" s="14" t="s">
        <v>252</v>
      </c>
      <c r="B40" s="14" t="s">
        <v>253</v>
      </c>
      <c r="C40" s="14" t="s">
        <v>254</v>
      </c>
      <c r="D40" s="14" t="s">
        <v>255</v>
      </c>
      <c r="E40" s="14" t="s">
        <v>113</v>
      </c>
      <c r="F40" s="14">
        <v>3</v>
      </c>
      <c r="G40" s="14">
        <v>237260</v>
      </c>
      <c r="H40" s="14">
        <v>15</v>
      </c>
      <c r="I40" s="14" t="s">
        <v>121</v>
      </c>
      <c r="J40" s="14" t="s">
        <v>74</v>
      </c>
      <c r="K40" s="14" t="s">
        <v>256</v>
      </c>
    </row>
    <row r="41" spans="1:11" x14ac:dyDescent="0.35">
      <c r="A41" s="14" t="s">
        <v>257</v>
      </c>
      <c r="B41" s="14" t="s">
        <v>258</v>
      </c>
      <c r="C41" s="14"/>
      <c r="D41" s="14" t="s">
        <v>259</v>
      </c>
      <c r="E41" s="14" t="s">
        <v>56</v>
      </c>
      <c r="F41" s="14">
        <v>1</v>
      </c>
      <c r="G41" s="14">
        <v>84670</v>
      </c>
      <c r="H41" s="14">
        <v>5</v>
      </c>
      <c r="I41" s="14" t="s">
        <v>95</v>
      </c>
      <c r="J41" s="14" t="s">
        <v>74</v>
      </c>
      <c r="K41" s="14" t="s">
        <v>260</v>
      </c>
    </row>
    <row r="42" spans="1:11" x14ac:dyDescent="0.35">
      <c r="A42" s="14" t="s">
        <v>261</v>
      </c>
      <c r="B42" s="14" t="s">
        <v>262</v>
      </c>
      <c r="C42" s="14" t="s">
        <v>263</v>
      </c>
      <c r="D42" s="14" t="s">
        <v>264</v>
      </c>
      <c r="E42" s="14" t="s">
        <v>64</v>
      </c>
      <c r="F42" s="14">
        <v>3</v>
      </c>
      <c r="G42" s="14">
        <v>91860</v>
      </c>
      <c r="H42" s="14">
        <v>10</v>
      </c>
      <c r="I42" s="14" t="s">
        <v>89</v>
      </c>
      <c r="J42" s="14" t="s">
        <v>149</v>
      </c>
      <c r="K42" s="14"/>
    </row>
    <row r="43" spans="1:11" x14ac:dyDescent="0.35">
      <c r="A43" s="14" t="s">
        <v>265</v>
      </c>
      <c r="B43" s="14" t="s">
        <v>266</v>
      </c>
      <c r="C43" s="14" t="s">
        <v>267</v>
      </c>
      <c r="D43" s="14" t="s">
        <v>212</v>
      </c>
      <c r="E43" s="14" t="s">
        <v>56</v>
      </c>
      <c r="F43" s="14">
        <v>1</v>
      </c>
      <c r="G43" s="14">
        <v>77320</v>
      </c>
      <c r="H43" s="14" t="s">
        <v>81</v>
      </c>
      <c r="I43" s="14" t="s">
        <v>268</v>
      </c>
      <c r="J43" s="14" t="s">
        <v>115</v>
      </c>
      <c r="K43" s="14"/>
    </row>
    <row r="44" spans="1:11" x14ac:dyDescent="0.35">
      <c r="A44" s="14" t="s">
        <v>269</v>
      </c>
      <c r="B44" s="14" t="s">
        <v>270</v>
      </c>
      <c r="C44" s="14" t="s">
        <v>139</v>
      </c>
      <c r="D44" s="14" t="s">
        <v>255</v>
      </c>
      <c r="E44" s="14" t="s">
        <v>72</v>
      </c>
      <c r="F44" s="14">
        <v>1</v>
      </c>
      <c r="G44" s="14">
        <v>75040</v>
      </c>
      <c r="H44" s="14"/>
      <c r="I44" s="14" t="s">
        <v>73</v>
      </c>
      <c r="J44" s="14" t="s">
        <v>115</v>
      </c>
      <c r="K44" s="14" t="s">
        <v>271</v>
      </c>
    </row>
    <row r="45" spans="1:11" x14ac:dyDescent="0.35">
      <c r="A45" s="14" t="s">
        <v>272</v>
      </c>
      <c r="B45" s="14" t="s">
        <v>273</v>
      </c>
      <c r="C45" s="14" t="s">
        <v>211</v>
      </c>
      <c r="D45" s="14" t="s">
        <v>249</v>
      </c>
      <c r="E45" s="14" t="s">
        <v>72</v>
      </c>
      <c r="F45" s="14">
        <v>3</v>
      </c>
      <c r="G45" s="14">
        <v>247610</v>
      </c>
      <c r="H45" s="14"/>
      <c r="I45" s="14" t="s">
        <v>121</v>
      </c>
      <c r="J45" s="14" t="s">
        <v>90</v>
      </c>
      <c r="K45" s="14" t="s">
        <v>274</v>
      </c>
    </row>
    <row r="46" spans="1:11" x14ac:dyDescent="0.35">
      <c r="A46" s="14" t="s">
        <v>275</v>
      </c>
      <c r="B46" s="14" t="s">
        <v>276</v>
      </c>
      <c r="C46" s="14" t="s">
        <v>277</v>
      </c>
      <c r="D46" s="14" t="s">
        <v>278</v>
      </c>
      <c r="E46" s="14" t="s">
        <v>80</v>
      </c>
      <c r="F46" s="14">
        <v>1</v>
      </c>
      <c r="G46" s="14">
        <v>146150</v>
      </c>
      <c r="H46" s="14">
        <v>15</v>
      </c>
      <c r="I46" s="14" t="s">
        <v>121</v>
      </c>
      <c r="J46" s="14" t="s">
        <v>174</v>
      </c>
      <c r="K46" s="14" t="s">
        <v>279</v>
      </c>
    </row>
    <row r="47" spans="1:11" x14ac:dyDescent="0.35">
      <c r="A47" s="14" t="s">
        <v>280</v>
      </c>
      <c r="B47" s="14" t="s">
        <v>281</v>
      </c>
      <c r="C47" s="14" t="s">
        <v>78</v>
      </c>
      <c r="D47" s="14" t="s">
        <v>216</v>
      </c>
      <c r="E47" s="14" t="s">
        <v>108</v>
      </c>
      <c r="F47" s="14">
        <v>0</v>
      </c>
      <c r="G47" s="14" t="s">
        <v>282</v>
      </c>
      <c r="H47" s="14" t="s">
        <v>81</v>
      </c>
      <c r="I47" s="14" t="s">
        <v>95</v>
      </c>
      <c r="J47" s="14" t="s">
        <v>83</v>
      </c>
      <c r="K47" s="14"/>
    </row>
    <row r="48" spans="1:11" x14ac:dyDescent="0.35">
      <c r="A48" s="14" t="s">
        <v>283</v>
      </c>
      <c r="B48" s="14" t="s">
        <v>284</v>
      </c>
      <c r="C48" s="14" t="s">
        <v>285</v>
      </c>
      <c r="D48" s="14" t="s">
        <v>226</v>
      </c>
      <c r="E48" s="14" t="s">
        <v>64</v>
      </c>
      <c r="F48" s="14">
        <v>-1</v>
      </c>
      <c r="G48" s="14" t="s">
        <v>286</v>
      </c>
      <c r="H48" s="14" t="s">
        <v>81</v>
      </c>
      <c r="I48" s="14" t="s">
        <v>268</v>
      </c>
      <c r="J48" s="14" t="s">
        <v>74</v>
      </c>
      <c r="K48" s="14" t="s">
        <v>287</v>
      </c>
    </row>
    <row r="49" spans="1:11" x14ac:dyDescent="0.35">
      <c r="A49" s="14" t="s">
        <v>288</v>
      </c>
      <c r="B49" s="14" t="s">
        <v>289</v>
      </c>
      <c r="C49" s="14" t="s">
        <v>290</v>
      </c>
      <c r="D49" s="14" t="s">
        <v>278</v>
      </c>
      <c r="E49" s="14" t="s">
        <v>108</v>
      </c>
      <c r="F49" s="14">
        <v>1</v>
      </c>
      <c r="G49" s="14">
        <v>215870</v>
      </c>
      <c r="H49" s="14">
        <v>10</v>
      </c>
      <c r="I49" s="14" t="s">
        <v>57</v>
      </c>
      <c r="J49" s="14" t="s">
        <v>58</v>
      </c>
      <c r="K49" s="14" t="s">
        <v>291</v>
      </c>
    </row>
    <row r="50" spans="1:11" x14ac:dyDescent="0.35">
      <c r="A50" s="14" t="s">
        <v>292</v>
      </c>
      <c r="B50" s="14" t="s">
        <v>293</v>
      </c>
      <c r="C50" s="14" t="s">
        <v>294</v>
      </c>
      <c r="D50" s="14" t="s">
        <v>295</v>
      </c>
      <c r="E50" s="14" t="s">
        <v>126</v>
      </c>
      <c r="F50" s="14">
        <v>1</v>
      </c>
      <c r="G50" s="14">
        <v>182000</v>
      </c>
      <c r="H50" s="14">
        <v>5</v>
      </c>
      <c r="I50" s="14" t="s">
        <v>57</v>
      </c>
      <c r="J50" s="14" t="s">
        <v>90</v>
      </c>
      <c r="K50" s="14"/>
    </row>
    <row r="51" spans="1:11" x14ac:dyDescent="0.35">
      <c r="A51" s="14" t="s">
        <v>296</v>
      </c>
      <c r="B51" s="14" t="s">
        <v>297</v>
      </c>
      <c r="C51" s="14" t="s">
        <v>298</v>
      </c>
      <c r="D51" s="14" t="s">
        <v>71</v>
      </c>
      <c r="E51" s="14" t="s">
        <v>64</v>
      </c>
      <c r="F51" s="14">
        <v>3</v>
      </c>
      <c r="G51" s="14">
        <v>154150</v>
      </c>
      <c r="H51" s="14">
        <v>0</v>
      </c>
      <c r="I51" s="14" t="s">
        <v>73</v>
      </c>
      <c r="J51" s="14" t="s">
        <v>115</v>
      </c>
      <c r="K51" s="14"/>
    </row>
    <row r="52" spans="1:11" x14ac:dyDescent="0.35">
      <c r="A52" s="14" t="s">
        <v>299</v>
      </c>
      <c r="B52" s="14" t="s">
        <v>300</v>
      </c>
      <c r="C52" s="14" t="s">
        <v>301</v>
      </c>
      <c r="D52" s="14" t="s">
        <v>216</v>
      </c>
      <c r="E52" s="14" t="s">
        <v>113</v>
      </c>
      <c r="F52" s="14">
        <v>-1</v>
      </c>
      <c r="G52" s="14" t="s">
        <v>302</v>
      </c>
      <c r="H52" s="14">
        <v>0</v>
      </c>
      <c r="I52" s="14" t="s">
        <v>121</v>
      </c>
      <c r="J52" s="14" t="s">
        <v>174</v>
      </c>
      <c r="K52" s="14" t="s">
        <v>303</v>
      </c>
    </row>
    <row r="53" spans="1:11" x14ac:dyDescent="0.35">
      <c r="A53" s="14" t="s">
        <v>304</v>
      </c>
      <c r="B53" s="14" t="s">
        <v>305</v>
      </c>
      <c r="C53" s="14" t="s">
        <v>306</v>
      </c>
      <c r="D53" s="14" t="s">
        <v>135</v>
      </c>
      <c r="E53" s="14" t="s">
        <v>113</v>
      </c>
      <c r="F53" s="14">
        <v>3</v>
      </c>
      <c r="G53" s="14">
        <v>220700</v>
      </c>
      <c r="H53" s="14">
        <v>5</v>
      </c>
      <c r="I53" s="14" t="s">
        <v>121</v>
      </c>
      <c r="J53" s="14" t="s">
        <v>90</v>
      </c>
      <c r="K53" s="14"/>
    </row>
    <row r="54" spans="1:11" x14ac:dyDescent="0.35">
      <c r="A54" s="14" t="s">
        <v>307</v>
      </c>
      <c r="B54" s="14" t="s">
        <v>308</v>
      </c>
      <c r="C54" s="14" t="s">
        <v>309</v>
      </c>
      <c r="D54" s="14" t="s">
        <v>310</v>
      </c>
      <c r="E54" s="14" t="s">
        <v>113</v>
      </c>
      <c r="F54" s="14">
        <v>-1</v>
      </c>
      <c r="G54" s="14">
        <v>68790</v>
      </c>
      <c r="H54" s="14"/>
      <c r="I54" s="14" t="s">
        <v>95</v>
      </c>
      <c r="J54" s="14" t="s">
        <v>58</v>
      </c>
      <c r="K54" s="14" t="s">
        <v>311</v>
      </c>
    </row>
    <row r="55" spans="1:11" x14ac:dyDescent="0.35">
      <c r="A55" s="14" t="s">
        <v>312</v>
      </c>
      <c r="B55" s="14" t="s">
        <v>313</v>
      </c>
      <c r="C55" s="14" t="s">
        <v>314</v>
      </c>
      <c r="D55" s="14" t="s">
        <v>315</v>
      </c>
      <c r="E55" s="14" t="s">
        <v>108</v>
      </c>
      <c r="F55" s="14">
        <v>-1</v>
      </c>
      <c r="G55" s="14">
        <v>148260</v>
      </c>
      <c r="H55" s="14">
        <v>0</v>
      </c>
      <c r="I55" s="14" t="s">
        <v>65</v>
      </c>
      <c r="J55" s="14" t="s">
        <v>174</v>
      </c>
      <c r="K55" s="14" t="s">
        <v>316</v>
      </c>
    </row>
    <row r="56" spans="1:11" x14ac:dyDescent="0.35">
      <c r="A56" s="14" t="s">
        <v>317</v>
      </c>
      <c r="B56" s="14" t="s">
        <v>318</v>
      </c>
      <c r="C56" s="14" t="s">
        <v>319</v>
      </c>
      <c r="D56" s="14" t="s">
        <v>112</v>
      </c>
      <c r="E56" s="14" t="s">
        <v>80</v>
      </c>
      <c r="F56" s="14">
        <v>1</v>
      </c>
      <c r="G56" s="14">
        <v>111880</v>
      </c>
      <c r="H56" s="14">
        <v>0</v>
      </c>
      <c r="I56" s="14" t="s">
        <v>114</v>
      </c>
      <c r="J56" s="14" t="s">
        <v>90</v>
      </c>
      <c r="K56" s="14"/>
    </row>
    <row r="57" spans="1:11" x14ac:dyDescent="0.35">
      <c r="A57" s="14" t="s">
        <v>320</v>
      </c>
      <c r="B57" s="14" t="s">
        <v>321</v>
      </c>
      <c r="C57" s="14" t="s">
        <v>178</v>
      </c>
      <c r="D57" s="14" t="s">
        <v>192</v>
      </c>
      <c r="E57" s="14" t="s">
        <v>113</v>
      </c>
      <c r="F57" s="14">
        <v>-1</v>
      </c>
      <c r="G57" s="14">
        <v>166490</v>
      </c>
      <c r="H57" s="14">
        <v>0</v>
      </c>
      <c r="I57" s="14" t="s">
        <v>73</v>
      </c>
      <c r="J57" s="14" t="s">
        <v>58</v>
      </c>
      <c r="K57" s="14" t="s">
        <v>322</v>
      </c>
    </row>
    <row r="58" spans="1:11" x14ac:dyDescent="0.35">
      <c r="A58" s="14" t="s">
        <v>323</v>
      </c>
      <c r="B58" s="14" t="s">
        <v>324</v>
      </c>
      <c r="C58" s="14" t="s">
        <v>325</v>
      </c>
      <c r="D58" s="14" t="s">
        <v>310</v>
      </c>
      <c r="E58" s="14" t="s">
        <v>108</v>
      </c>
      <c r="F58" s="14">
        <v>1</v>
      </c>
      <c r="G58" s="14">
        <v>191150</v>
      </c>
      <c r="H58" s="14"/>
      <c r="I58" s="14" t="s">
        <v>73</v>
      </c>
      <c r="J58" s="14" t="s">
        <v>74</v>
      </c>
      <c r="K58" s="14" t="s">
        <v>326</v>
      </c>
    </row>
    <row r="59" spans="1:11" x14ac:dyDescent="0.35">
      <c r="A59" s="14" t="s">
        <v>327</v>
      </c>
      <c r="B59" s="14" t="s">
        <v>328</v>
      </c>
      <c r="C59" s="14" t="s">
        <v>178</v>
      </c>
      <c r="D59" s="14" t="s">
        <v>329</v>
      </c>
      <c r="E59" s="14" t="s">
        <v>126</v>
      </c>
      <c r="F59" s="14">
        <v>1</v>
      </c>
      <c r="G59" s="14">
        <v>78030</v>
      </c>
      <c r="H59" s="14">
        <v>-5</v>
      </c>
      <c r="I59" s="14" t="s">
        <v>250</v>
      </c>
      <c r="J59" s="14" t="s">
        <v>149</v>
      </c>
      <c r="K59" s="14" t="s">
        <v>330</v>
      </c>
    </row>
    <row r="60" spans="1:11" x14ac:dyDescent="0.35">
      <c r="A60" s="14" t="s">
        <v>331</v>
      </c>
      <c r="B60" s="14" t="s">
        <v>332</v>
      </c>
      <c r="C60" s="14" t="s">
        <v>333</v>
      </c>
      <c r="D60" s="14" t="s">
        <v>207</v>
      </c>
      <c r="E60" s="14" t="s">
        <v>126</v>
      </c>
      <c r="F60" s="14">
        <v>2</v>
      </c>
      <c r="G60" s="14" t="s">
        <v>334</v>
      </c>
      <c r="H60" s="14">
        <v>0</v>
      </c>
      <c r="I60" s="14" t="s">
        <v>95</v>
      </c>
      <c r="J60" s="14" t="s">
        <v>66</v>
      </c>
      <c r="K60" s="14" t="s">
        <v>335</v>
      </c>
    </row>
    <row r="61" spans="1:11" x14ac:dyDescent="0.35">
      <c r="A61" s="14" t="s">
        <v>336</v>
      </c>
      <c r="B61" s="14" t="s">
        <v>337</v>
      </c>
      <c r="C61" s="14" t="s">
        <v>148</v>
      </c>
      <c r="D61" s="14" t="s">
        <v>231</v>
      </c>
      <c r="E61" s="14" t="s">
        <v>108</v>
      </c>
      <c r="F61" s="14">
        <v>1</v>
      </c>
      <c r="G61" s="14">
        <v>213370</v>
      </c>
      <c r="H61" s="14">
        <v>10</v>
      </c>
      <c r="I61" s="14" t="s">
        <v>73</v>
      </c>
      <c r="J61" s="14" t="s">
        <v>83</v>
      </c>
      <c r="K61" s="14" t="s">
        <v>338</v>
      </c>
    </row>
    <row r="62" spans="1:11" x14ac:dyDescent="0.35">
      <c r="A62" s="14" t="s">
        <v>339</v>
      </c>
      <c r="B62" s="14" t="s">
        <v>340</v>
      </c>
      <c r="C62" s="14" t="s">
        <v>341</v>
      </c>
      <c r="D62" s="14" t="s">
        <v>342</v>
      </c>
      <c r="E62" s="14" t="s">
        <v>72</v>
      </c>
      <c r="F62" s="14">
        <v>-1</v>
      </c>
      <c r="G62" s="14">
        <v>57890</v>
      </c>
      <c r="H62" s="14"/>
      <c r="I62" s="14" t="s">
        <v>73</v>
      </c>
      <c r="J62" s="14" t="s">
        <v>83</v>
      </c>
      <c r="K62" s="14"/>
    </row>
    <row r="63" spans="1:11" x14ac:dyDescent="0.35">
      <c r="A63" s="14" t="s">
        <v>343</v>
      </c>
      <c r="B63" s="14" t="s">
        <v>344</v>
      </c>
      <c r="C63" s="14" t="s">
        <v>134</v>
      </c>
      <c r="D63" s="14" t="s">
        <v>179</v>
      </c>
      <c r="E63" s="14" t="s">
        <v>72</v>
      </c>
      <c r="F63" s="14">
        <v>1</v>
      </c>
      <c r="G63" s="14">
        <v>5630</v>
      </c>
      <c r="H63" s="14">
        <v>15</v>
      </c>
      <c r="I63" s="14" t="s">
        <v>250</v>
      </c>
      <c r="J63" s="14" t="s">
        <v>174</v>
      </c>
      <c r="K63" s="14" t="s">
        <v>345</v>
      </c>
    </row>
    <row r="64" spans="1:11" x14ac:dyDescent="0.35">
      <c r="A64" s="14" t="s">
        <v>346</v>
      </c>
      <c r="B64" s="14" t="s">
        <v>166</v>
      </c>
      <c r="C64" s="14" t="s">
        <v>347</v>
      </c>
      <c r="D64" s="14" t="s">
        <v>348</v>
      </c>
      <c r="E64" s="14" t="s">
        <v>56</v>
      </c>
      <c r="F64" s="14">
        <v>2</v>
      </c>
      <c r="G64" s="14" t="s">
        <v>349</v>
      </c>
      <c r="H64" s="14">
        <v>0</v>
      </c>
      <c r="I64" s="14" t="s">
        <v>158</v>
      </c>
      <c r="J64" s="14" t="s">
        <v>83</v>
      </c>
      <c r="K64" s="14"/>
    </row>
    <row r="65" spans="1:11" x14ac:dyDescent="0.35">
      <c r="A65" s="14" t="s">
        <v>350</v>
      </c>
      <c r="B65" s="14" t="s">
        <v>351</v>
      </c>
      <c r="C65" s="14" t="s">
        <v>352</v>
      </c>
      <c r="D65" s="14" t="s">
        <v>226</v>
      </c>
      <c r="E65" s="14" t="s">
        <v>101</v>
      </c>
      <c r="F65" s="14">
        <v>1</v>
      </c>
      <c r="G65" s="14">
        <v>156450</v>
      </c>
      <c r="H65" s="14">
        <v>10</v>
      </c>
      <c r="I65" s="14" t="s">
        <v>65</v>
      </c>
      <c r="J65" s="14" t="s">
        <v>83</v>
      </c>
      <c r="K65" s="14"/>
    </row>
    <row r="66" spans="1:11" x14ac:dyDescent="0.35">
      <c r="A66" s="14" t="s">
        <v>353</v>
      </c>
      <c r="B66" s="14" t="s">
        <v>354</v>
      </c>
      <c r="C66" s="14" t="s">
        <v>355</v>
      </c>
      <c r="D66" s="14" t="s">
        <v>100</v>
      </c>
      <c r="E66" s="14" t="s">
        <v>113</v>
      </c>
      <c r="F66" s="14">
        <v>0</v>
      </c>
      <c r="G66" s="14">
        <v>10570</v>
      </c>
      <c r="H66" s="14">
        <v>-5</v>
      </c>
      <c r="I66" s="14" t="s">
        <v>158</v>
      </c>
      <c r="J66" s="14" t="s">
        <v>174</v>
      </c>
      <c r="K66" s="14" t="s">
        <v>356</v>
      </c>
    </row>
    <row r="67" spans="1:11" x14ac:dyDescent="0.35">
      <c r="A67" s="14" t="s">
        <v>357</v>
      </c>
      <c r="B67" s="14" t="s">
        <v>358</v>
      </c>
      <c r="C67" s="14" t="s">
        <v>359</v>
      </c>
      <c r="D67" s="14" t="s">
        <v>360</v>
      </c>
      <c r="E67" s="14" t="s">
        <v>126</v>
      </c>
      <c r="F67" s="14">
        <v>1</v>
      </c>
      <c r="G67" s="14" t="s">
        <v>361</v>
      </c>
      <c r="H67" s="14">
        <v>15</v>
      </c>
      <c r="I67" s="14" t="s">
        <v>121</v>
      </c>
      <c r="J67" s="14" t="s">
        <v>66</v>
      </c>
      <c r="K67" s="14" t="s">
        <v>362</v>
      </c>
    </row>
    <row r="68" spans="1:11" x14ac:dyDescent="0.35">
      <c r="A68" s="14" t="s">
        <v>363</v>
      </c>
      <c r="B68" s="14" t="s">
        <v>364</v>
      </c>
      <c r="C68" s="14" t="s">
        <v>365</v>
      </c>
      <c r="D68" s="14" t="s">
        <v>179</v>
      </c>
      <c r="E68" s="14" t="s">
        <v>56</v>
      </c>
      <c r="F68" s="14">
        <v>1</v>
      </c>
      <c r="G68" s="14">
        <v>189620</v>
      </c>
      <c r="H68" s="14">
        <v>10</v>
      </c>
      <c r="I68" s="14" t="s">
        <v>95</v>
      </c>
      <c r="J68" s="14" t="s">
        <v>90</v>
      </c>
      <c r="K68" s="14"/>
    </row>
    <row r="69" spans="1:11" x14ac:dyDescent="0.35">
      <c r="A69" s="14" t="s">
        <v>366</v>
      </c>
      <c r="B69" s="14" t="s">
        <v>367</v>
      </c>
      <c r="C69" s="14" t="s">
        <v>368</v>
      </c>
      <c r="D69" s="14" t="s">
        <v>369</v>
      </c>
      <c r="E69" s="14" t="s">
        <v>101</v>
      </c>
      <c r="F69" s="14">
        <v>1</v>
      </c>
      <c r="G69" s="14">
        <v>213440</v>
      </c>
      <c r="H69" s="14">
        <v>-5</v>
      </c>
      <c r="I69" s="14" t="s">
        <v>73</v>
      </c>
      <c r="J69" s="14" t="s">
        <v>74</v>
      </c>
      <c r="K69" s="14" t="s">
        <v>370</v>
      </c>
    </row>
    <row r="70" spans="1:11" x14ac:dyDescent="0.35">
      <c r="A70" s="14" t="s">
        <v>371</v>
      </c>
      <c r="B70" s="14" t="s">
        <v>372</v>
      </c>
      <c r="C70" s="14" t="s">
        <v>93</v>
      </c>
      <c r="D70" s="14" t="s">
        <v>216</v>
      </c>
      <c r="E70" s="14" t="s">
        <v>80</v>
      </c>
      <c r="F70" s="14">
        <v>1</v>
      </c>
      <c r="G70" s="14">
        <v>83110</v>
      </c>
      <c r="H70" s="14">
        <v>10</v>
      </c>
      <c r="I70" s="14" t="s">
        <v>268</v>
      </c>
      <c r="J70" s="14" t="s">
        <v>74</v>
      </c>
      <c r="K70" s="14" t="s">
        <v>373</v>
      </c>
    </row>
    <row r="71" spans="1:11" x14ac:dyDescent="0.35">
      <c r="A71" s="14" t="s">
        <v>374</v>
      </c>
      <c r="B71" s="14" t="s">
        <v>375</v>
      </c>
      <c r="C71" s="14" t="s">
        <v>376</v>
      </c>
      <c r="D71" s="14" t="s">
        <v>55</v>
      </c>
      <c r="E71" s="14" t="s">
        <v>72</v>
      </c>
      <c r="F71" s="14">
        <v>-1</v>
      </c>
      <c r="G71" s="14" t="s">
        <v>377</v>
      </c>
      <c r="H71" s="14">
        <v>5</v>
      </c>
      <c r="I71" s="14" t="s">
        <v>378</v>
      </c>
      <c r="J71" s="14" t="s">
        <v>90</v>
      </c>
      <c r="K71" s="14" t="s">
        <v>379</v>
      </c>
    </row>
    <row r="72" spans="1:11" x14ac:dyDescent="0.35">
      <c r="A72" s="14" t="s">
        <v>380</v>
      </c>
      <c r="B72" s="14" t="s">
        <v>381</v>
      </c>
      <c r="C72" s="14" t="s">
        <v>99</v>
      </c>
      <c r="D72" s="14" t="s">
        <v>207</v>
      </c>
      <c r="E72" s="14" t="s">
        <v>56</v>
      </c>
      <c r="F72" s="14">
        <v>2</v>
      </c>
      <c r="G72" s="14" t="s">
        <v>382</v>
      </c>
      <c r="H72" s="14">
        <v>-5</v>
      </c>
      <c r="I72" s="14" t="s">
        <v>158</v>
      </c>
      <c r="J72" s="14" t="s">
        <v>83</v>
      </c>
      <c r="K72" s="14"/>
    </row>
    <row r="73" spans="1:11" x14ac:dyDescent="0.35">
      <c r="A73" s="14" t="s">
        <v>383</v>
      </c>
      <c r="B73" s="14" t="s">
        <v>384</v>
      </c>
      <c r="C73" s="14" t="s">
        <v>385</v>
      </c>
      <c r="D73" s="14" t="s">
        <v>278</v>
      </c>
      <c r="E73" s="14" t="s">
        <v>56</v>
      </c>
      <c r="F73" s="14">
        <v>-1</v>
      </c>
      <c r="G73" s="14" t="s">
        <v>386</v>
      </c>
      <c r="H73" s="14"/>
      <c r="I73" s="14" t="s">
        <v>73</v>
      </c>
      <c r="J73" s="14" t="s">
        <v>83</v>
      </c>
      <c r="K73" s="14"/>
    </row>
    <row r="74" spans="1:11" x14ac:dyDescent="0.35">
      <c r="A74" s="14" t="s">
        <v>387</v>
      </c>
      <c r="B74" s="14" t="s">
        <v>388</v>
      </c>
      <c r="C74" s="14" t="s">
        <v>389</v>
      </c>
      <c r="D74" s="14" t="s">
        <v>390</v>
      </c>
      <c r="E74" s="14" t="s">
        <v>64</v>
      </c>
      <c r="F74" s="14">
        <v>1</v>
      </c>
      <c r="G74" s="14">
        <v>46360</v>
      </c>
      <c r="H74" s="14"/>
      <c r="I74" s="14" t="s">
        <v>82</v>
      </c>
      <c r="J74" s="14" t="s">
        <v>174</v>
      </c>
      <c r="K74" s="14" t="s">
        <v>391</v>
      </c>
    </row>
    <row r="75" spans="1:11" x14ac:dyDescent="0.35">
      <c r="A75" s="14" t="s">
        <v>392</v>
      </c>
      <c r="B75" s="14" t="s">
        <v>393</v>
      </c>
      <c r="C75" s="14" t="s">
        <v>93</v>
      </c>
      <c r="D75" s="14" t="s">
        <v>249</v>
      </c>
      <c r="E75" s="14" t="s">
        <v>101</v>
      </c>
      <c r="F75" s="14">
        <v>2</v>
      </c>
      <c r="G75" s="14">
        <v>71080</v>
      </c>
      <c r="H75" s="14">
        <v>0</v>
      </c>
      <c r="I75" s="14" t="s">
        <v>57</v>
      </c>
      <c r="J75" s="14" t="s">
        <v>90</v>
      </c>
      <c r="K75" s="14"/>
    </row>
    <row r="76" spans="1:11" x14ac:dyDescent="0.35">
      <c r="A76" s="14" t="s">
        <v>394</v>
      </c>
      <c r="B76" s="14" t="s">
        <v>395</v>
      </c>
      <c r="C76" s="14" t="s">
        <v>396</v>
      </c>
      <c r="D76" s="14" t="s">
        <v>71</v>
      </c>
      <c r="E76" s="14" t="s">
        <v>108</v>
      </c>
      <c r="F76" s="14">
        <v>0</v>
      </c>
      <c r="G76" s="14">
        <v>171670</v>
      </c>
      <c r="H76" s="14">
        <v>0</v>
      </c>
      <c r="I76" s="14" t="s">
        <v>250</v>
      </c>
      <c r="J76" s="14" t="s">
        <v>74</v>
      </c>
      <c r="K76" s="14" t="s">
        <v>397</v>
      </c>
    </row>
    <row r="77" spans="1:11" x14ac:dyDescent="0.35">
      <c r="A77" s="14" t="s">
        <v>398</v>
      </c>
      <c r="B77" s="14" t="s">
        <v>399</v>
      </c>
      <c r="C77" s="14" t="s">
        <v>400</v>
      </c>
      <c r="D77" s="14" t="s">
        <v>226</v>
      </c>
      <c r="E77" s="14" t="s">
        <v>108</v>
      </c>
      <c r="F77" s="14">
        <v>1</v>
      </c>
      <c r="G77" s="14">
        <v>74020</v>
      </c>
      <c r="H77" s="14">
        <v>-5</v>
      </c>
      <c r="I77" s="14" t="s">
        <v>95</v>
      </c>
      <c r="J77" s="14" t="s">
        <v>83</v>
      </c>
      <c r="K77" s="14" t="s">
        <v>401</v>
      </c>
    </row>
    <row r="78" spans="1:11" x14ac:dyDescent="0.35">
      <c r="A78" s="14" t="s">
        <v>402</v>
      </c>
      <c r="B78" s="14" t="s">
        <v>403</v>
      </c>
      <c r="C78" s="14" t="s">
        <v>396</v>
      </c>
      <c r="D78" s="14" t="s">
        <v>216</v>
      </c>
      <c r="E78" s="14" t="s">
        <v>113</v>
      </c>
      <c r="F78" s="14">
        <v>3</v>
      </c>
      <c r="G78" s="14">
        <v>97820</v>
      </c>
      <c r="H78" s="14">
        <v>0</v>
      </c>
      <c r="I78" s="14" t="s">
        <v>158</v>
      </c>
      <c r="J78" s="14" t="s">
        <v>74</v>
      </c>
      <c r="K78" s="14" t="s">
        <v>404</v>
      </c>
    </row>
    <row r="79" spans="1:11" x14ac:dyDescent="0.35">
      <c r="A79" s="14" t="s">
        <v>405</v>
      </c>
      <c r="B79" s="14" t="s">
        <v>406</v>
      </c>
      <c r="C79" s="14" t="s">
        <v>407</v>
      </c>
      <c r="D79" s="14" t="s">
        <v>112</v>
      </c>
      <c r="E79" s="14" t="s">
        <v>72</v>
      </c>
      <c r="F79" s="14">
        <v>3</v>
      </c>
      <c r="G79" s="14" t="s">
        <v>408</v>
      </c>
      <c r="H79" s="14">
        <v>-5</v>
      </c>
      <c r="I79" s="14" t="s">
        <v>95</v>
      </c>
      <c r="J79" s="14" t="s">
        <v>83</v>
      </c>
      <c r="K79" s="14"/>
    </row>
    <row r="80" spans="1:11" x14ac:dyDescent="0.35">
      <c r="A80" s="14" t="s">
        <v>409</v>
      </c>
      <c r="B80" s="14" t="s">
        <v>410</v>
      </c>
      <c r="C80" s="14" t="s">
        <v>411</v>
      </c>
      <c r="D80" s="14" t="s">
        <v>179</v>
      </c>
      <c r="E80" s="14" t="s">
        <v>64</v>
      </c>
      <c r="F80" s="14">
        <v>1</v>
      </c>
      <c r="G80" s="14">
        <v>55730</v>
      </c>
      <c r="H80" s="14" t="s">
        <v>81</v>
      </c>
      <c r="I80" s="14" t="s">
        <v>73</v>
      </c>
      <c r="J80" s="14" t="s">
        <v>149</v>
      </c>
      <c r="K80" s="14"/>
    </row>
    <row r="81" spans="1:11" x14ac:dyDescent="0.35">
      <c r="A81" s="14" t="s">
        <v>412</v>
      </c>
      <c r="B81" s="14" t="s">
        <v>413</v>
      </c>
      <c r="C81" s="14" t="s">
        <v>414</v>
      </c>
      <c r="D81" s="14" t="s">
        <v>125</v>
      </c>
      <c r="E81" s="14" t="s">
        <v>80</v>
      </c>
      <c r="F81" s="14">
        <v>1</v>
      </c>
      <c r="G81" s="14">
        <v>155010</v>
      </c>
      <c r="H81" s="14">
        <v>5</v>
      </c>
      <c r="I81" s="14" t="s">
        <v>73</v>
      </c>
      <c r="J81" s="14" t="s">
        <v>149</v>
      </c>
      <c r="K81" s="14" t="s">
        <v>415</v>
      </c>
    </row>
    <row r="82" spans="1:11" x14ac:dyDescent="0.35">
      <c r="A82" s="14" t="s">
        <v>416</v>
      </c>
      <c r="B82" s="14" t="s">
        <v>417</v>
      </c>
      <c r="C82" s="14" t="s">
        <v>111</v>
      </c>
      <c r="D82" s="14" t="s">
        <v>418</v>
      </c>
      <c r="E82" s="14" t="s">
        <v>80</v>
      </c>
      <c r="F82" s="14">
        <v>-1</v>
      </c>
      <c r="G82" s="14">
        <v>236020</v>
      </c>
      <c r="H82" s="14">
        <v>5</v>
      </c>
      <c r="I82" s="14" t="s">
        <v>121</v>
      </c>
      <c r="J82" s="14" t="s">
        <v>90</v>
      </c>
      <c r="K82" s="14"/>
    </row>
    <row r="83" spans="1:11" x14ac:dyDescent="0.35">
      <c r="A83" s="14" t="s">
        <v>419</v>
      </c>
      <c r="B83" s="14" t="s">
        <v>420</v>
      </c>
      <c r="C83" s="14"/>
      <c r="D83" s="14" t="s">
        <v>259</v>
      </c>
      <c r="E83" s="14" t="s">
        <v>64</v>
      </c>
      <c r="F83" s="14">
        <v>-1</v>
      </c>
      <c r="G83" s="14">
        <v>45160</v>
      </c>
      <c r="H83" s="14">
        <v>5</v>
      </c>
      <c r="I83" s="14" t="s">
        <v>73</v>
      </c>
      <c r="J83" s="14" t="s">
        <v>74</v>
      </c>
      <c r="K83" s="14" t="s">
        <v>421</v>
      </c>
    </row>
    <row r="84" spans="1:11" x14ac:dyDescent="0.35">
      <c r="A84" s="14" t="s">
        <v>422</v>
      </c>
      <c r="B84" s="14" t="s">
        <v>423</v>
      </c>
      <c r="C84" s="14" t="s">
        <v>248</v>
      </c>
      <c r="D84" s="14" t="s">
        <v>360</v>
      </c>
      <c r="E84" s="14" t="s">
        <v>113</v>
      </c>
      <c r="F84" s="14">
        <v>0</v>
      </c>
      <c r="G84" s="14">
        <v>131230</v>
      </c>
      <c r="H84" s="14">
        <v>0</v>
      </c>
      <c r="I84" s="14" t="s">
        <v>424</v>
      </c>
      <c r="J84" s="14" t="s">
        <v>149</v>
      </c>
      <c r="K84" s="14" t="s">
        <v>425</v>
      </c>
    </row>
    <row r="85" spans="1:11" x14ac:dyDescent="0.35">
      <c r="A85" s="14" t="s">
        <v>426</v>
      </c>
      <c r="B85" s="14" t="s">
        <v>427</v>
      </c>
      <c r="C85" s="14" t="s">
        <v>70</v>
      </c>
      <c r="D85" s="14" t="s">
        <v>94</v>
      </c>
      <c r="E85" s="14" t="s">
        <v>126</v>
      </c>
      <c r="F85" s="14">
        <v>1</v>
      </c>
      <c r="G85" s="14" t="s">
        <v>428</v>
      </c>
      <c r="H85" s="14">
        <v>15</v>
      </c>
      <c r="I85" s="14" t="s">
        <v>95</v>
      </c>
      <c r="J85" s="14" t="s">
        <v>149</v>
      </c>
      <c r="K85" s="14" t="s">
        <v>429</v>
      </c>
    </row>
    <row r="86" spans="1:11" x14ac:dyDescent="0.35">
      <c r="A86" s="14" t="s">
        <v>430</v>
      </c>
      <c r="B86" s="14" t="s">
        <v>431</v>
      </c>
      <c r="C86" s="14"/>
      <c r="D86" s="14" t="s">
        <v>432</v>
      </c>
      <c r="E86" s="14" t="s">
        <v>72</v>
      </c>
      <c r="F86" s="14">
        <v>3</v>
      </c>
      <c r="G86" s="14">
        <v>145610</v>
      </c>
      <c r="H86" s="14">
        <v>15</v>
      </c>
      <c r="I86" s="14" t="s">
        <v>73</v>
      </c>
      <c r="J86" s="14" t="s">
        <v>149</v>
      </c>
      <c r="K86" s="14"/>
    </row>
    <row r="87" spans="1:11" x14ac:dyDescent="0.35">
      <c r="A87" s="14" t="s">
        <v>433</v>
      </c>
      <c r="B87" s="14" t="s">
        <v>434</v>
      </c>
      <c r="C87" s="14" t="s">
        <v>314</v>
      </c>
      <c r="D87" s="14" t="s">
        <v>435</v>
      </c>
      <c r="E87" s="14" t="s">
        <v>101</v>
      </c>
      <c r="F87" s="14">
        <v>3</v>
      </c>
      <c r="G87" s="14">
        <v>150830</v>
      </c>
      <c r="H87" s="14">
        <v>15</v>
      </c>
      <c r="I87" s="14" t="s">
        <v>57</v>
      </c>
      <c r="J87" s="14" t="s">
        <v>74</v>
      </c>
      <c r="K87" s="14" t="s">
        <v>436</v>
      </c>
    </row>
    <row r="88" spans="1:11" x14ac:dyDescent="0.35">
      <c r="A88" s="14" t="s">
        <v>437</v>
      </c>
      <c r="B88" s="14" t="s">
        <v>438</v>
      </c>
      <c r="C88" s="14" t="s">
        <v>439</v>
      </c>
      <c r="D88" s="14" t="s">
        <v>435</v>
      </c>
      <c r="E88" s="14" t="s">
        <v>64</v>
      </c>
      <c r="F88" s="14">
        <v>1</v>
      </c>
      <c r="G88" s="14" t="s">
        <v>440</v>
      </c>
      <c r="H88" s="14">
        <v>5</v>
      </c>
      <c r="I88" s="14" t="s">
        <v>250</v>
      </c>
      <c r="J88" s="14" t="s">
        <v>74</v>
      </c>
      <c r="K88" s="14" t="s">
        <v>441</v>
      </c>
    </row>
    <row r="89" spans="1:11" x14ac:dyDescent="0.35">
      <c r="A89" s="14" t="s">
        <v>442</v>
      </c>
      <c r="B89" s="14" t="s">
        <v>443</v>
      </c>
      <c r="C89" s="14" t="s">
        <v>444</v>
      </c>
      <c r="D89" s="14" t="s">
        <v>445</v>
      </c>
      <c r="E89" s="14" t="s">
        <v>64</v>
      </c>
      <c r="F89" s="14">
        <v>1</v>
      </c>
      <c r="G89" s="14" t="s">
        <v>446</v>
      </c>
      <c r="H89" s="14">
        <v>15</v>
      </c>
      <c r="I89" s="14" t="s">
        <v>57</v>
      </c>
      <c r="J89" s="14" t="s">
        <v>174</v>
      </c>
      <c r="K89" s="14" t="s">
        <v>447</v>
      </c>
    </row>
    <row r="90" spans="1:11" x14ac:dyDescent="0.35">
      <c r="A90" s="14" t="s">
        <v>448</v>
      </c>
      <c r="B90" s="14" t="s">
        <v>449</v>
      </c>
      <c r="C90" s="14" t="s">
        <v>450</v>
      </c>
      <c r="D90" s="14" t="s">
        <v>264</v>
      </c>
      <c r="E90" s="14" t="s">
        <v>80</v>
      </c>
      <c r="F90" s="14">
        <v>1</v>
      </c>
      <c r="G90" s="14" t="s">
        <v>451</v>
      </c>
      <c r="H90" s="14">
        <v>5</v>
      </c>
      <c r="I90" s="14" t="s">
        <v>268</v>
      </c>
      <c r="J90" s="14" t="s">
        <v>66</v>
      </c>
      <c r="K90" s="14" t="s">
        <v>452</v>
      </c>
    </row>
    <row r="91" spans="1:11" x14ac:dyDescent="0.35">
      <c r="A91" s="14" t="s">
        <v>453</v>
      </c>
      <c r="B91" s="14" t="s">
        <v>454</v>
      </c>
      <c r="C91" s="14" t="s">
        <v>230</v>
      </c>
      <c r="D91" s="14" t="s">
        <v>94</v>
      </c>
      <c r="E91" s="14" t="s">
        <v>113</v>
      </c>
      <c r="F91" s="14">
        <v>2</v>
      </c>
      <c r="G91" s="14">
        <v>131600</v>
      </c>
      <c r="H91" s="14">
        <v>0</v>
      </c>
      <c r="I91" s="14" t="s">
        <v>95</v>
      </c>
      <c r="J91" s="14" t="s">
        <v>149</v>
      </c>
      <c r="K91" s="14"/>
    </row>
    <row r="92" spans="1:11" x14ac:dyDescent="0.35">
      <c r="A92" s="14" t="s">
        <v>455</v>
      </c>
      <c r="B92" s="14" t="s">
        <v>456</v>
      </c>
      <c r="C92" s="14" t="s">
        <v>457</v>
      </c>
      <c r="D92" s="14" t="s">
        <v>458</v>
      </c>
      <c r="E92" s="14" t="s">
        <v>108</v>
      </c>
      <c r="F92" s="14">
        <v>1</v>
      </c>
      <c r="G92" s="14">
        <v>83170</v>
      </c>
      <c r="H92" s="14" t="s">
        <v>81</v>
      </c>
      <c r="I92" s="14" t="s">
        <v>95</v>
      </c>
      <c r="J92" s="14" t="s">
        <v>83</v>
      </c>
      <c r="K92" s="14" t="s">
        <v>459</v>
      </c>
    </row>
    <row r="93" spans="1:11" x14ac:dyDescent="0.35">
      <c r="A93" s="14" t="s">
        <v>460</v>
      </c>
      <c r="B93" s="14" t="s">
        <v>461</v>
      </c>
      <c r="C93" s="14" t="s">
        <v>462</v>
      </c>
      <c r="D93" s="14" t="s">
        <v>463</v>
      </c>
      <c r="E93" s="14" t="s">
        <v>80</v>
      </c>
      <c r="F93" s="14">
        <v>0</v>
      </c>
      <c r="G93" s="14" t="s">
        <v>464</v>
      </c>
      <c r="H93" s="14">
        <v>15</v>
      </c>
      <c r="I93" s="14" t="s">
        <v>95</v>
      </c>
      <c r="J93" s="14" t="s">
        <v>58</v>
      </c>
      <c r="K93" s="14" t="s">
        <v>465</v>
      </c>
    </row>
    <row r="94" spans="1:11" x14ac:dyDescent="0.35">
      <c r="A94" s="14" t="s">
        <v>466</v>
      </c>
      <c r="B94" s="14" t="s">
        <v>467</v>
      </c>
      <c r="C94" s="14" t="s">
        <v>468</v>
      </c>
      <c r="D94" s="14" t="s">
        <v>163</v>
      </c>
      <c r="E94" s="14" t="s">
        <v>64</v>
      </c>
      <c r="F94" s="14">
        <v>-1</v>
      </c>
      <c r="G94" s="14">
        <v>196880</v>
      </c>
      <c r="H94" s="14">
        <v>0</v>
      </c>
      <c r="I94" s="14" t="s">
        <v>378</v>
      </c>
      <c r="J94" s="14" t="s">
        <v>174</v>
      </c>
      <c r="K94" s="14" t="s">
        <v>469</v>
      </c>
    </row>
    <row r="95" spans="1:11" x14ac:dyDescent="0.35">
      <c r="A95" s="14" t="s">
        <v>470</v>
      </c>
      <c r="B95" s="14" t="s">
        <v>471</v>
      </c>
      <c r="C95" s="14" t="s">
        <v>355</v>
      </c>
      <c r="D95" s="14" t="s">
        <v>472</v>
      </c>
      <c r="E95" s="14" t="s">
        <v>80</v>
      </c>
      <c r="F95" s="14">
        <v>-1</v>
      </c>
      <c r="G95" s="14" t="s">
        <v>473</v>
      </c>
      <c r="H95" s="14" t="s">
        <v>81</v>
      </c>
      <c r="I95" s="14" t="s">
        <v>57</v>
      </c>
      <c r="J95" s="14" t="s">
        <v>66</v>
      </c>
      <c r="K95" s="14" t="s">
        <v>474</v>
      </c>
    </row>
    <row r="96" spans="1:11" x14ac:dyDescent="0.35">
      <c r="A96" s="14" t="s">
        <v>475</v>
      </c>
      <c r="B96" s="14" t="s">
        <v>476</v>
      </c>
      <c r="C96" s="14" t="s">
        <v>477</v>
      </c>
      <c r="D96" s="14" t="s">
        <v>107</v>
      </c>
      <c r="E96" s="14" t="s">
        <v>101</v>
      </c>
      <c r="F96" s="14">
        <v>2</v>
      </c>
      <c r="G96" s="14" t="s">
        <v>478</v>
      </c>
      <c r="H96" s="14">
        <v>10</v>
      </c>
      <c r="I96" s="14" t="s">
        <v>121</v>
      </c>
      <c r="J96" s="14" t="s">
        <v>66</v>
      </c>
      <c r="K96" s="14" t="s">
        <v>479</v>
      </c>
    </row>
    <row r="97" spans="1:11" x14ac:dyDescent="0.35">
      <c r="A97" s="14" t="s">
        <v>480</v>
      </c>
      <c r="B97" s="14" t="s">
        <v>481</v>
      </c>
      <c r="C97" s="14" t="s">
        <v>347</v>
      </c>
      <c r="D97" s="14" t="s">
        <v>482</v>
      </c>
      <c r="E97" s="14" t="s">
        <v>72</v>
      </c>
      <c r="F97" s="14">
        <v>0</v>
      </c>
      <c r="G97" s="14">
        <v>240450</v>
      </c>
      <c r="H97" s="14">
        <v>5</v>
      </c>
      <c r="I97" s="14" t="s">
        <v>73</v>
      </c>
      <c r="J97" s="14" t="s">
        <v>115</v>
      </c>
      <c r="K97" s="14" t="s">
        <v>483</v>
      </c>
    </row>
    <row r="98" spans="1:11" x14ac:dyDescent="0.35">
      <c r="A98" s="14" t="s">
        <v>484</v>
      </c>
      <c r="B98" s="14" t="s">
        <v>485</v>
      </c>
      <c r="C98" s="14" t="s">
        <v>400</v>
      </c>
      <c r="D98" s="14" t="s">
        <v>100</v>
      </c>
      <c r="E98" s="14" t="s">
        <v>56</v>
      </c>
      <c r="F98" s="14">
        <v>-1</v>
      </c>
      <c r="G98" s="14">
        <v>184090</v>
      </c>
      <c r="H98" s="14">
        <v>-5</v>
      </c>
      <c r="I98" s="14" t="s">
        <v>378</v>
      </c>
      <c r="J98" s="14" t="s">
        <v>83</v>
      </c>
      <c r="K98" s="14" t="s">
        <v>486</v>
      </c>
    </row>
    <row r="99" spans="1:11" x14ac:dyDescent="0.35">
      <c r="A99" s="14" t="s">
        <v>487</v>
      </c>
      <c r="B99" s="14" t="s">
        <v>488</v>
      </c>
      <c r="C99" s="14" t="s">
        <v>341</v>
      </c>
      <c r="D99" s="14" t="s">
        <v>310</v>
      </c>
      <c r="E99" s="14" t="s">
        <v>64</v>
      </c>
      <c r="F99" s="14">
        <v>0</v>
      </c>
      <c r="G99" s="14">
        <v>14790</v>
      </c>
      <c r="H99" s="14">
        <v>10</v>
      </c>
      <c r="I99" s="14" t="s">
        <v>65</v>
      </c>
      <c r="J99" s="14" t="s">
        <v>115</v>
      </c>
      <c r="K99" s="14"/>
    </row>
    <row r="100" spans="1:11" x14ac:dyDescent="0.35">
      <c r="A100" s="14" t="s">
        <v>489</v>
      </c>
      <c r="B100" s="14" t="s">
        <v>490</v>
      </c>
      <c r="C100" s="14" t="s">
        <v>491</v>
      </c>
      <c r="D100" s="14" t="s">
        <v>255</v>
      </c>
      <c r="E100" s="14" t="s">
        <v>113</v>
      </c>
      <c r="F100" s="14">
        <v>3</v>
      </c>
      <c r="G100" s="14">
        <v>169780</v>
      </c>
      <c r="H100" s="14" t="s">
        <v>81</v>
      </c>
      <c r="I100" s="14" t="s">
        <v>250</v>
      </c>
      <c r="J100" s="14" t="s">
        <v>74</v>
      </c>
      <c r="K100" s="14" t="s">
        <v>492</v>
      </c>
    </row>
    <row r="101" spans="1:11" x14ac:dyDescent="0.35">
      <c r="A101" s="14" t="s">
        <v>493</v>
      </c>
      <c r="B101" s="14" t="s">
        <v>494</v>
      </c>
      <c r="C101" s="14" t="s">
        <v>495</v>
      </c>
      <c r="D101" s="14" t="s">
        <v>458</v>
      </c>
      <c r="E101" s="14" t="s">
        <v>113</v>
      </c>
      <c r="F101" s="14">
        <v>1</v>
      </c>
      <c r="G101" s="14">
        <v>51460</v>
      </c>
      <c r="H101" s="14">
        <v>5</v>
      </c>
      <c r="I101" s="14" t="s">
        <v>73</v>
      </c>
      <c r="J101" s="14" t="s">
        <v>149</v>
      </c>
      <c r="K101" s="14"/>
    </row>
    <row r="102" spans="1:11" x14ac:dyDescent="0.35">
      <c r="A102" s="14" t="s">
        <v>496</v>
      </c>
      <c r="B102" s="14" t="s">
        <v>497</v>
      </c>
      <c r="C102" s="14" t="s">
        <v>498</v>
      </c>
      <c r="D102" s="14" t="s">
        <v>418</v>
      </c>
      <c r="E102" s="14" t="s">
        <v>64</v>
      </c>
      <c r="F102" s="14">
        <v>3</v>
      </c>
      <c r="G102" s="14">
        <v>69330</v>
      </c>
      <c r="H102" s="14">
        <v>0</v>
      </c>
      <c r="I102" s="14" t="s">
        <v>114</v>
      </c>
      <c r="J102" s="14" t="s">
        <v>149</v>
      </c>
      <c r="K102" s="14"/>
    </row>
    <row r="103" spans="1:11" x14ac:dyDescent="0.35">
      <c r="A103" s="14" t="s">
        <v>499</v>
      </c>
      <c r="B103" s="14" t="s">
        <v>500</v>
      </c>
      <c r="C103" s="14" t="s">
        <v>162</v>
      </c>
      <c r="D103" s="14" t="s">
        <v>348</v>
      </c>
      <c r="E103" s="14" t="s">
        <v>113</v>
      </c>
      <c r="F103" s="14">
        <v>2</v>
      </c>
      <c r="G103" s="14">
        <v>183740</v>
      </c>
      <c r="H103" s="14" t="s">
        <v>81</v>
      </c>
      <c r="I103" s="14" t="s">
        <v>95</v>
      </c>
      <c r="J103" s="14" t="s">
        <v>115</v>
      </c>
      <c r="K103" s="14" t="s">
        <v>501</v>
      </c>
    </row>
    <row r="104" spans="1:11" x14ac:dyDescent="0.35">
      <c r="A104" s="14" t="s">
        <v>502</v>
      </c>
      <c r="B104" s="14" t="s">
        <v>503</v>
      </c>
      <c r="C104" s="14" t="s">
        <v>504</v>
      </c>
      <c r="D104" s="14" t="s">
        <v>163</v>
      </c>
      <c r="E104" s="14" t="s">
        <v>108</v>
      </c>
      <c r="F104" s="14">
        <v>0</v>
      </c>
      <c r="G104" s="14">
        <v>194850</v>
      </c>
      <c r="H104" s="14">
        <v>-5</v>
      </c>
      <c r="I104" s="14" t="s">
        <v>73</v>
      </c>
      <c r="J104" s="14" t="s">
        <v>83</v>
      </c>
      <c r="K104" s="14" t="s">
        <v>505</v>
      </c>
    </row>
    <row r="105" spans="1:11" x14ac:dyDescent="0.35">
      <c r="A105" s="14" t="s">
        <v>506</v>
      </c>
      <c r="B105" s="14" t="s">
        <v>507</v>
      </c>
      <c r="C105" s="14" t="s">
        <v>211</v>
      </c>
      <c r="D105" s="14" t="s">
        <v>463</v>
      </c>
      <c r="E105" s="14" t="s">
        <v>101</v>
      </c>
      <c r="F105" s="14">
        <v>2</v>
      </c>
      <c r="G105" s="14">
        <v>86100</v>
      </c>
      <c r="H105" s="14" t="s">
        <v>81</v>
      </c>
      <c r="I105" s="14" t="s">
        <v>158</v>
      </c>
      <c r="J105" s="14" t="s">
        <v>66</v>
      </c>
      <c r="K105" s="14" t="s">
        <v>508</v>
      </c>
    </row>
    <row r="106" spans="1:11" x14ac:dyDescent="0.35">
      <c r="A106" s="14" t="s">
        <v>509</v>
      </c>
      <c r="B106" s="14" t="s">
        <v>510</v>
      </c>
      <c r="C106" s="14" t="s">
        <v>511</v>
      </c>
      <c r="D106" s="14" t="s">
        <v>71</v>
      </c>
      <c r="E106" s="14" t="s">
        <v>72</v>
      </c>
      <c r="F106" s="14">
        <v>1</v>
      </c>
      <c r="G106" s="14">
        <v>242300</v>
      </c>
      <c r="H106" s="14">
        <v>5</v>
      </c>
      <c r="I106" s="14" t="s">
        <v>158</v>
      </c>
      <c r="J106" s="14" t="s">
        <v>149</v>
      </c>
      <c r="K106" s="14"/>
    </row>
    <row r="107" spans="1:11" x14ac:dyDescent="0.35">
      <c r="A107" s="14" t="s">
        <v>512</v>
      </c>
      <c r="B107" s="14" t="s">
        <v>513</v>
      </c>
      <c r="C107" s="14" t="s">
        <v>396</v>
      </c>
      <c r="D107" s="14" t="s">
        <v>255</v>
      </c>
      <c r="E107" s="14" t="s">
        <v>113</v>
      </c>
      <c r="F107" s="14">
        <v>-1</v>
      </c>
      <c r="G107" s="14">
        <v>9880</v>
      </c>
      <c r="H107" s="14">
        <v>0</v>
      </c>
      <c r="I107" s="14" t="s">
        <v>378</v>
      </c>
      <c r="J107" s="14" t="s">
        <v>58</v>
      </c>
      <c r="K107" s="14" t="s">
        <v>514</v>
      </c>
    </row>
    <row r="108" spans="1:11" x14ac:dyDescent="0.35">
      <c r="A108" s="14" t="s">
        <v>515</v>
      </c>
      <c r="B108" s="14" t="s">
        <v>516</v>
      </c>
      <c r="C108" s="14" t="s">
        <v>347</v>
      </c>
      <c r="D108" s="14" t="s">
        <v>348</v>
      </c>
      <c r="E108" s="14" t="s">
        <v>113</v>
      </c>
      <c r="F108" s="14">
        <v>3</v>
      </c>
      <c r="G108" s="14" t="s">
        <v>517</v>
      </c>
      <c r="H108" s="14" t="s">
        <v>81</v>
      </c>
      <c r="I108" s="14" t="s">
        <v>268</v>
      </c>
      <c r="J108" s="14" t="s">
        <v>83</v>
      </c>
      <c r="K108" s="14"/>
    </row>
    <row r="109" spans="1:11" x14ac:dyDescent="0.35">
      <c r="A109" s="14" t="s">
        <v>518</v>
      </c>
      <c r="B109" s="14" t="s">
        <v>519</v>
      </c>
      <c r="C109" s="14" t="s">
        <v>491</v>
      </c>
      <c r="D109" s="14" t="s">
        <v>520</v>
      </c>
      <c r="E109" s="14" t="s">
        <v>113</v>
      </c>
      <c r="F109" s="14">
        <v>2</v>
      </c>
      <c r="G109" s="14">
        <v>188640</v>
      </c>
      <c r="H109" s="14">
        <v>0</v>
      </c>
      <c r="I109" s="14" t="s">
        <v>268</v>
      </c>
      <c r="J109" s="14" t="s">
        <v>90</v>
      </c>
      <c r="K109" s="14" t="s">
        <v>521</v>
      </c>
    </row>
    <row r="110" spans="1:11" x14ac:dyDescent="0.35">
      <c r="A110" s="14" t="s">
        <v>522</v>
      </c>
      <c r="B110" s="14" t="s">
        <v>523</v>
      </c>
      <c r="C110" s="14" t="s">
        <v>524</v>
      </c>
      <c r="D110" s="14" t="s">
        <v>390</v>
      </c>
      <c r="E110" s="14" t="s">
        <v>126</v>
      </c>
      <c r="F110" s="14">
        <v>1</v>
      </c>
      <c r="G110" s="14">
        <v>21530</v>
      </c>
      <c r="H110" s="14" t="s">
        <v>81</v>
      </c>
      <c r="I110" s="14" t="s">
        <v>95</v>
      </c>
      <c r="J110" s="14" t="s">
        <v>149</v>
      </c>
      <c r="K110" s="14"/>
    </row>
    <row r="111" spans="1:11" x14ac:dyDescent="0.35">
      <c r="A111" s="14" t="s">
        <v>525</v>
      </c>
      <c r="B111" s="14" t="s">
        <v>526</v>
      </c>
      <c r="C111" s="14" t="s">
        <v>298</v>
      </c>
      <c r="D111" s="14" t="s">
        <v>71</v>
      </c>
      <c r="E111" s="14" t="s">
        <v>101</v>
      </c>
      <c r="F111" s="14">
        <v>0</v>
      </c>
      <c r="G111" s="14">
        <v>191370</v>
      </c>
      <c r="H111" s="14">
        <v>5</v>
      </c>
      <c r="I111" s="14" t="s">
        <v>73</v>
      </c>
      <c r="J111" s="14" t="s">
        <v>83</v>
      </c>
      <c r="K111" s="14"/>
    </row>
    <row r="112" spans="1:11" x14ac:dyDescent="0.35">
      <c r="A112" s="14" t="s">
        <v>527</v>
      </c>
      <c r="B112" s="14" t="s">
        <v>528</v>
      </c>
      <c r="C112" s="14" t="s">
        <v>134</v>
      </c>
      <c r="D112" s="14" t="s">
        <v>529</v>
      </c>
      <c r="E112" s="14" t="s">
        <v>64</v>
      </c>
      <c r="F112" s="14">
        <v>3</v>
      </c>
      <c r="G112" s="14" t="s">
        <v>530</v>
      </c>
      <c r="H112" s="14">
        <v>-5</v>
      </c>
      <c r="I112" s="14" t="s">
        <v>114</v>
      </c>
      <c r="J112" s="14" t="s">
        <v>74</v>
      </c>
      <c r="K112" s="14" t="s">
        <v>531</v>
      </c>
    </row>
    <row r="113" spans="1:11" x14ac:dyDescent="0.35">
      <c r="A113" s="14" t="s">
        <v>532</v>
      </c>
      <c r="B113" s="14" t="s">
        <v>533</v>
      </c>
      <c r="C113" s="14" t="s">
        <v>534</v>
      </c>
      <c r="D113" s="14" t="s">
        <v>418</v>
      </c>
      <c r="E113" s="14" t="s">
        <v>108</v>
      </c>
      <c r="F113" s="14">
        <v>3</v>
      </c>
      <c r="G113" s="14">
        <v>40390</v>
      </c>
      <c r="H113" s="14">
        <v>5</v>
      </c>
      <c r="I113" s="14" t="s">
        <v>95</v>
      </c>
      <c r="J113" s="14" t="s">
        <v>115</v>
      </c>
      <c r="K113" s="14"/>
    </row>
    <row r="114" spans="1:11" x14ac:dyDescent="0.35">
      <c r="A114" s="14" t="s">
        <v>535</v>
      </c>
      <c r="B114" s="14" t="s">
        <v>536</v>
      </c>
      <c r="C114" s="14" t="s">
        <v>134</v>
      </c>
      <c r="D114" s="14" t="s">
        <v>135</v>
      </c>
      <c r="E114" s="14" t="s">
        <v>56</v>
      </c>
      <c r="F114" s="14">
        <v>2</v>
      </c>
      <c r="G114" s="14" t="s">
        <v>537</v>
      </c>
      <c r="H114" s="14">
        <v>10</v>
      </c>
      <c r="I114" s="14" t="s">
        <v>95</v>
      </c>
      <c r="J114" s="14" t="s">
        <v>83</v>
      </c>
      <c r="K114" s="14"/>
    </row>
    <row r="115" spans="1:11" x14ac:dyDescent="0.35">
      <c r="A115" s="14" t="s">
        <v>538</v>
      </c>
      <c r="B115" s="14" t="s">
        <v>539</v>
      </c>
      <c r="C115" s="14" t="s">
        <v>400</v>
      </c>
      <c r="D115" s="14" t="s">
        <v>63</v>
      </c>
      <c r="E115" s="14" t="s">
        <v>126</v>
      </c>
      <c r="F115" s="14">
        <v>2</v>
      </c>
      <c r="G115" s="14">
        <v>236370</v>
      </c>
      <c r="H115" s="14" t="s">
        <v>81</v>
      </c>
      <c r="I115" s="14" t="s">
        <v>73</v>
      </c>
      <c r="J115" s="14" t="s">
        <v>58</v>
      </c>
      <c r="K115" s="14" t="s">
        <v>540</v>
      </c>
    </row>
    <row r="116" spans="1:11" x14ac:dyDescent="0.35">
      <c r="A116" s="14" t="s">
        <v>541</v>
      </c>
      <c r="B116" s="14" t="s">
        <v>542</v>
      </c>
      <c r="C116" s="14" t="s">
        <v>504</v>
      </c>
      <c r="D116" s="14" t="s">
        <v>212</v>
      </c>
      <c r="E116" s="14" t="s">
        <v>108</v>
      </c>
      <c r="F116" s="14">
        <v>3</v>
      </c>
      <c r="G116" s="14" t="s">
        <v>543</v>
      </c>
      <c r="H116" s="14">
        <v>0</v>
      </c>
      <c r="I116" s="14" t="s">
        <v>250</v>
      </c>
      <c r="J116" s="14" t="s">
        <v>83</v>
      </c>
      <c r="K116" s="14" t="s">
        <v>544</v>
      </c>
    </row>
    <row r="117" spans="1:11" x14ac:dyDescent="0.35">
      <c r="A117" s="14" t="s">
        <v>545</v>
      </c>
      <c r="B117" s="14" t="s">
        <v>546</v>
      </c>
      <c r="C117" s="14" t="s">
        <v>439</v>
      </c>
      <c r="D117" s="14" t="s">
        <v>100</v>
      </c>
      <c r="E117" s="14" t="s">
        <v>108</v>
      </c>
      <c r="F117" s="14">
        <v>0</v>
      </c>
      <c r="G117" s="14">
        <v>23990</v>
      </c>
      <c r="H117" s="14">
        <v>10</v>
      </c>
      <c r="I117" s="14" t="s">
        <v>65</v>
      </c>
      <c r="J117" s="14" t="s">
        <v>149</v>
      </c>
      <c r="K117" s="14"/>
    </row>
    <row r="118" spans="1:11" x14ac:dyDescent="0.35">
      <c r="A118" s="14" t="s">
        <v>547</v>
      </c>
      <c r="B118" s="14" t="s">
        <v>548</v>
      </c>
      <c r="C118" s="14" t="s">
        <v>549</v>
      </c>
      <c r="D118" s="14" t="s">
        <v>550</v>
      </c>
      <c r="E118" s="14" t="s">
        <v>80</v>
      </c>
      <c r="F118" s="14">
        <v>1</v>
      </c>
      <c r="G118" s="14">
        <v>168100</v>
      </c>
      <c r="H118" s="14">
        <v>5</v>
      </c>
      <c r="I118" s="14" t="s">
        <v>82</v>
      </c>
      <c r="J118" s="14" t="s">
        <v>149</v>
      </c>
      <c r="K118" s="14"/>
    </row>
    <row r="119" spans="1:11" x14ac:dyDescent="0.35">
      <c r="A119" s="14" t="s">
        <v>551</v>
      </c>
      <c r="B119" s="14" t="s">
        <v>552</v>
      </c>
      <c r="C119" s="14" t="s">
        <v>534</v>
      </c>
      <c r="D119" s="14" t="s">
        <v>315</v>
      </c>
      <c r="E119" s="14" t="s">
        <v>108</v>
      </c>
      <c r="F119" s="14">
        <v>1</v>
      </c>
      <c r="G119" s="14">
        <v>227870</v>
      </c>
      <c r="H119" s="14" t="s">
        <v>81</v>
      </c>
      <c r="I119" s="14" t="s">
        <v>65</v>
      </c>
      <c r="J119" s="14" t="s">
        <v>115</v>
      </c>
      <c r="K119" s="14"/>
    </row>
    <row r="120" spans="1:11" x14ac:dyDescent="0.35">
      <c r="A120" s="14" t="s">
        <v>553</v>
      </c>
      <c r="B120" s="14" t="s">
        <v>554</v>
      </c>
      <c r="C120" s="14"/>
      <c r="D120" s="14" t="s">
        <v>550</v>
      </c>
      <c r="E120" s="14" t="s">
        <v>64</v>
      </c>
      <c r="F120" s="14">
        <v>1</v>
      </c>
      <c r="G120" s="14">
        <v>221260</v>
      </c>
      <c r="H120" s="14"/>
      <c r="I120" s="14" t="s">
        <v>57</v>
      </c>
      <c r="J120" s="14" t="s">
        <v>66</v>
      </c>
      <c r="K120" s="14" t="s">
        <v>555</v>
      </c>
    </row>
    <row r="121" spans="1:11" x14ac:dyDescent="0.35">
      <c r="A121" s="14" t="s">
        <v>556</v>
      </c>
      <c r="B121" s="14" t="s">
        <v>557</v>
      </c>
      <c r="C121" s="14" t="s">
        <v>558</v>
      </c>
      <c r="D121" s="14" t="s">
        <v>249</v>
      </c>
      <c r="E121" s="14" t="s">
        <v>101</v>
      </c>
      <c r="F121" s="14">
        <v>2</v>
      </c>
      <c r="G121" s="14">
        <v>229510</v>
      </c>
      <c r="H121" s="14">
        <v>-5</v>
      </c>
      <c r="I121" s="14" t="s">
        <v>95</v>
      </c>
      <c r="J121" s="14" t="s">
        <v>174</v>
      </c>
      <c r="K121" s="14" t="s">
        <v>559</v>
      </c>
    </row>
    <row r="122" spans="1:11" x14ac:dyDescent="0.35">
      <c r="A122" s="14" t="s">
        <v>560</v>
      </c>
      <c r="B122" s="14" t="s">
        <v>561</v>
      </c>
      <c r="C122" s="14" t="s">
        <v>562</v>
      </c>
      <c r="D122" s="14" t="s">
        <v>435</v>
      </c>
      <c r="E122" s="14" t="s">
        <v>101</v>
      </c>
      <c r="F122" s="14">
        <v>2</v>
      </c>
      <c r="G122" s="14" t="s">
        <v>563</v>
      </c>
      <c r="H122" s="14">
        <v>5</v>
      </c>
      <c r="I122" s="14" t="s">
        <v>121</v>
      </c>
      <c r="J122" s="14" t="s">
        <v>115</v>
      </c>
      <c r="K122" s="14" t="s">
        <v>564</v>
      </c>
    </row>
    <row r="123" spans="1:11" x14ac:dyDescent="0.35">
      <c r="A123" s="14" t="s">
        <v>565</v>
      </c>
      <c r="B123" s="14" t="s">
        <v>566</v>
      </c>
      <c r="C123" s="14" t="s">
        <v>301</v>
      </c>
      <c r="D123" s="14" t="s">
        <v>55</v>
      </c>
      <c r="E123" s="14" t="s">
        <v>126</v>
      </c>
      <c r="F123" s="14">
        <v>1</v>
      </c>
      <c r="G123" s="14">
        <v>52240</v>
      </c>
      <c r="H123" s="14"/>
      <c r="I123" s="14" t="s">
        <v>89</v>
      </c>
      <c r="J123" s="14" t="s">
        <v>174</v>
      </c>
      <c r="K123" s="14" t="s">
        <v>567</v>
      </c>
    </row>
    <row r="124" spans="1:11" x14ac:dyDescent="0.35">
      <c r="A124" s="14" t="s">
        <v>568</v>
      </c>
      <c r="B124" s="14" t="s">
        <v>569</v>
      </c>
      <c r="C124" s="14" t="s">
        <v>549</v>
      </c>
      <c r="D124" s="14" t="s">
        <v>550</v>
      </c>
      <c r="E124" s="14" t="s">
        <v>126</v>
      </c>
      <c r="F124" s="14">
        <v>1</v>
      </c>
      <c r="G124" s="14">
        <v>96060</v>
      </c>
      <c r="H124" s="14"/>
      <c r="I124" s="14" t="s">
        <v>65</v>
      </c>
      <c r="J124" s="14" t="s">
        <v>90</v>
      </c>
      <c r="K124" s="14" t="s">
        <v>570</v>
      </c>
    </row>
    <row r="125" spans="1:11" x14ac:dyDescent="0.35">
      <c r="A125" s="14" t="s">
        <v>571</v>
      </c>
      <c r="B125" s="14" t="s">
        <v>572</v>
      </c>
      <c r="C125" s="14" t="s">
        <v>573</v>
      </c>
      <c r="D125" s="14" t="s">
        <v>212</v>
      </c>
      <c r="E125" s="14" t="s">
        <v>101</v>
      </c>
      <c r="F125" s="14">
        <v>1</v>
      </c>
      <c r="G125" s="14">
        <v>102560</v>
      </c>
      <c r="H125" s="14" t="s">
        <v>81</v>
      </c>
      <c r="I125" s="14" t="s">
        <v>95</v>
      </c>
      <c r="J125" s="14" t="s">
        <v>149</v>
      </c>
      <c r="K125" s="14"/>
    </row>
    <row r="126" spans="1:11" x14ac:dyDescent="0.35">
      <c r="A126" s="14" t="s">
        <v>574</v>
      </c>
      <c r="B126" s="14" t="s">
        <v>575</v>
      </c>
      <c r="C126" s="14" t="s">
        <v>148</v>
      </c>
      <c r="D126" s="14" t="s">
        <v>576</v>
      </c>
      <c r="E126" s="14" t="s">
        <v>56</v>
      </c>
      <c r="F126" s="14">
        <v>1</v>
      </c>
      <c r="G126" s="14">
        <v>88440</v>
      </c>
      <c r="H126" s="14">
        <v>15</v>
      </c>
      <c r="I126" s="14" t="s">
        <v>158</v>
      </c>
      <c r="J126" s="14" t="s">
        <v>90</v>
      </c>
      <c r="K126" s="14"/>
    </row>
    <row r="127" spans="1:11" x14ac:dyDescent="0.35">
      <c r="A127" s="14" t="s">
        <v>577</v>
      </c>
      <c r="B127" s="14" t="s">
        <v>578</v>
      </c>
      <c r="C127" s="14" t="s">
        <v>579</v>
      </c>
      <c r="D127" s="14" t="s">
        <v>196</v>
      </c>
      <c r="E127" s="14" t="s">
        <v>72</v>
      </c>
      <c r="F127" s="14">
        <v>0</v>
      </c>
      <c r="G127" s="14">
        <v>231400</v>
      </c>
      <c r="H127" s="14">
        <v>5</v>
      </c>
      <c r="I127" s="14" t="s">
        <v>73</v>
      </c>
      <c r="J127" s="14" t="s">
        <v>115</v>
      </c>
      <c r="K127" s="14"/>
    </row>
    <row r="128" spans="1:11" x14ac:dyDescent="0.35">
      <c r="A128" s="14" t="s">
        <v>580</v>
      </c>
      <c r="B128" s="14" t="s">
        <v>581</v>
      </c>
      <c r="C128" s="14" t="s">
        <v>54</v>
      </c>
      <c r="D128" s="14" t="s">
        <v>100</v>
      </c>
      <c r="E128" s="14" t="s">
        <v>64</v>
      </c>
      <c r="F128" s="14">
        <v>2</v>
      </c>
      <c r="G128" s="14">
        <v>136450</v>
      </c>
      <c r="H128" s="14" t="s">
        <v>81</v>
      </c>
      <c r="I128" s="14" t="s">
        <v>121</v>
      </c>
      <c r="J128" s="14" t="s">
        <v>90</v>
      </c>
      <c r="K128" s="14" t="s">
        <v>582</v>
      </c>
    </row>
    <row r="129" spans="1:11" x14ac:dyDescent="0.35">
      <c r="A129" s="14" t="s">
        <v>583</v>
      </c>
      <c r="B129" s="14" t="s">
        <v>584</v>
      </c>
      <c r="C129" s="14" t="s">
        <v>396</v>
      </c>
      <c r="D129" s="14" t="s">
        <v>154</v>
      </c>
      <c r="E129" s="14" t="s">
        <v>72</v>
      </c>
      <c r="F129" s="14">
        <v>2</v>
      </c>
      <c r="G129" s="14" t="s">
        <v>585</v>
      </c>
      <c r="H129" s="14">
        <v>5</v>
      </c>
      <c r="I129" s="14" t="s">
        <v>250</v>
      </c>
      <c r="J129" s="14" t="s">
        <v>58</v>
      </c>
      <c r="K129" s="14" t="s">
        <v>586</v>
      </c>
    </row>
    <row r="130" spans="1:11" x14ac:dyDescent="0.35">
      <c r="A130" s="14" t="s">
        <v>587</v>
      </c>
      <c r="B130" s="14" t="s">
        <v>588</v>
      </c>
      <c r="C130" s="14"/>
      <c r="D130" s="14" t="s">
        <v>107</v>
      </c>
      <c r="E130" s="14" t="s">
        <v>80</v>
      </c>
      <c r="F130" s="14">
        <v>1</v>
      </c>
      <c r="G130" s="14">
        <v>25250</v>
      </c>
      <c r="H130" s="14"/>
      <c r="I130" s="14" t="s">
        <v>73</v>
      </c>
      <c r="J130" s="14" t="s">
        <v>149</v>
      </c>
      <c r="K130" s="14"/>
    </row>
    <row r="131" spans="1:11" x14ac:dyDescent="0.35">
      <c r="A131" s="14" t="s">
        <v>589</v>
      </c>
      <c r="B131" s="14" t="s">
        <v>590</v>
      </c>
      <c r="C131" s="14" t="s">
        <v>591</v>
      </c>
      <c r="D131" s="14" t="s">
        <v>348</v>
      </c>
      <c r="E131" s="14" t="s">
        <v>72</v>
      </c>
      <c r="F131" s="14">
        <v>2</v>
      </c>
      <c r="G131" s="14">
        <v>231070</v>
      </c>
      <c r="H131" s="14">
        <v>0</v>
      </c>
      <c r="I131" s="14" t="s">
        <v>57</v>
      </c>
      <c r="J131" s="14" t="s">
        <v>74</v>
      </c>
      <c r="K131" s="14" t="s">
        <v>592</v>
      </c>
    </row>
    <row r="132" spans="1:11" x14ac:dyDescent="0.35">
      <c r="A132" s="14" t="s">
        <v>593</v>
      </c>
      <c r="B132" s="14" t="s">
        <v>594</v>
      </c>
      <c r="C132" s="14" t="s">
        <v>171</v>
      </c>
      <c r="D132" s="14" t="s">
        <v>207</v>
      </c>
      <c r="E132" s="14" t="s">
        <v>80</v>
      </c>
      <c r="F132" s="14">
        <v>-1</v>
      </c>
      <c r="G132" s="14">
        <v>179260</v>
      </c>
      <c r="H132" s="14"/>
      <c r="I132" s="14" t="s">
        <v>95</v>
      </c>
      <c r="J132" s="14" t="s">
        <v>90</v>
      </c>
      <c r="K132" s="14"/>
    </row>
    <row r="133" spans="1:11" x14ac:dyDescent="0.35">
      <c r="A133" s="14" t="s">
        <v>595</v>
      </c>
      <c r="B133" s="14" t="s">
        <v>596</v>
      </c>
      <c r="C133" s="14" t="s">
        <v>597</v>
      </c>
      <c r="D133" s="14" t="s">
        <v>240</v>
      </c>
      <c r="E133" s="14" t="s">
        <v>56</v>
      </c>
      <c r="F133" s="14">
        <v>2</v>
      </c>
      <c r="G133" s="14" t="s">
        <v>598</v>
      </c>
      <c r="H133" s="14" t="s">
        <v>81</v>
      </c>
      <c r="I133" s="14" t="s">
        <v>424</v>
      </c>
      <c r="J133" s="14" t="s">
        <v>58</v>
      </c>
      <c r="K133" s="14" t="s">
        <v>599</v>
      </c>
    </row>
    <row r="134" spans="1:11" x14ac:dyDescent="0.35">
      <c r="A134" s="14" t="s">
        <v>600</v>
      </c>
      <c r="B134" s="14" t="s">
        <v>601</v>
      </c>
      <c r="C134" s="14" t="s">
        <v>602</v>
      </c>
      <c r="D134" s="14" t="s">
        <v>172</v>
      </c>
      <c r="E134" s="14" t="s">
        <v>72</v>
      </c>
      <c r="F134" s="14">
        <v>-1</v>
      </c>
      <c r="G134" s="14">
        <v>38330</v>
      </c>
      <c r="H134" s="14">
        <v>0</v>
      </c>
      <c r="I134" s="14" t="s">
        <v>121</v>
      </c>
      <c r="J134" s="14" t="s">
        <v>66</v>
      </c>
      <c r="K134" s="14" t="s">
        <v>603</v>
      </c>
    </row>
    <row r="135" spans="1:11" x14ac:dyDescent="0.35">
      <c r="A135" s="14" t="s">
        <v>604</v>
      </c>
      <c r="B135" s="14" t="s">
        <v>605</v>
      </c>
      <c r="C135" s="14" t="s">
        <v>294</v>
      </c>
      <c r="D135" s="14" t="s">
        <v>472</v>
      </c>
      <c r="E135" s="14" t="s">
        <v>80</v>
      </c>
      <c r="F135" s="14">
        <v>2</v>
      </c>
      <c r="G135" s="14" t="s">
        <v>606</v>
      </c>
      <c r="H135" s="14">
        <v>0</v>
      </c>
      <c r="I135" s="14" t="s">
        <v>121</v>
      </c>
      <c r="J135" s="14" t="s">
        <v>58</v>
      </c>
      <c r="K135" s="14" t="s">
        <v>607</v>
      </c>
    </row>
    <row r="136" spans="1:11" x14ac:dyDescent="0.35">
      <c r="A136" s="14" t="s">
        <v>608</v>
      </c>
      <c r="B136" s="14" t="s">
        <v>609</v>
      </c>
      <c r="C136" s="14" t="s">
        <v>239</v>
      </c>
      <c r="D136" s="14" t="s">
        <v>435</v>
      </c>
      <c r="E136" s="14" t="s">
        <v>64</v>
      </c>
      <c r="F136" s="14">
        <v>1</v>
      </c>
      <c r="G136" s="14">
        <v>229840</v>
      </c>
      <c r="H136" s="14">
        <v>15</v>
      </c>
      <c r="I136" s="14" t="s">
        <v>114</v>
      </c>
      <c r="J136" s="14" t="s">
        <v>74</v>
      </c>
      <c r="K136" s="14" t="s">
        <v>610</v>
      </c>
    </row>
    <row r="137" spans="1:11" x14ac:dyDescent="0.35">
      <c r="A137" s="14" t="s">
        <v>611</v>
      </c>
      <c r="B137" s="14" t="s">
        <v>612</v>
      </c>
      <c r="C137" s="14" t="s">
        <v>613</v>
      </c>
      <c r="D137" s="14" t="s">
        <v>529</v>
      </c>
      <c r="E137" s="14" t="s">
        <v>126</v>
      </c>
      <c r="F137" s="14">
        <v>3</v>
      </c>
      <c r="G137" s="14" t="s">
        <v>614</v>
      </c>
      <c r="H137" s="14">
        <v>10</v>
      </c>
      <c r="I137" s="14" t="s">
        <v>378</v>
      </c>
      <c r="J137" s="14" t="s">
        <v>90</v>
      </c>
      <c r="K137" s="14" t="s">
        <v>615</v>
      </c>
    </row>
    <row r="138" spans="1:11" x14ac:dyDescent="0.35">
      <c r="A138" s="14" t="s">
        <v>616</v>
      </c>
      <c r="B138" s="14" t="s">
        <v>617</v>
      </c>
      <c r="C138" s="14" t="s">
        <v>111</v>
      </c>
      <c r="D138" s="14" t="s">
        <v>79</v>
      </c>
      <c r="E138" s="14" t="s">
        <v>64</v>
      </c>
      <c r="F138" s="14">
        <v>1</v>
      </c>
      <c r="G138" s="14">
        <v>27970</v>
      </c>
      <c r="H138" s="14">
        <v>0</v>
      </c>
      <c r="I138" s="14" t="s">
        <v>114</v>
      </c>
      <c r="J138" s="14" t="s">
        <v>58</v>
      </c>
      <c r="K138" s="14" t="s">
        <v>618</v>
      </c>
    </row>
    <row r="139" spans="1:11" x14ac:dyDescent="0.35">
      <c r="A139" s="14" t="s">
        <v>619</v>
      </c>
      <c r="B139" s="14" t="s">
        <v>620</v>
      </c>
      <c r="C139" s="14" t="s">
        <v>621</v>
      </c>
      <c r="D139" s="14" t="s">
        <v>167</v>
      </c>
      <c r="E139" s="14" t="s">
        <v>56</v>
      </c>
      <c r="F139" s="14">
        <v>0</v>
      </c>
      <c r="G139" s="14" t="s">
        <v>622</v>
      </c>
      <c r="H139" s="14">
        <v>0</v>
      </c>
      <c r="I139" s="14" t="s">
        <v>378</v>
      </c>
      <c r="J139" s="14" t="s">
        <v>115</v>
      </c>
      <c r="K139" s="14" t="s">
        <v>623</v>
      </c>
    </row>
    <row r="140" spans="1:11" x14ac:dyDescent="0.35">
      <c r="A140" s="14" t="s">
        <v>624</v>
      </c>
      <c r="B140" s="14" t="s">
        <v>625</v>
      </c>
      <c r="C140" s="14"/>
      <c r="D140" s="14" t="s">
        <v>207</v>
      </c>
      <c r="E140" s="14" t="s">
        <v>72</v>
      </c>
      <c r="F140" s="14">
        <v>-1</v>
      </c>
      <c r="G140" s="14">
        <v>9100</v>
      </c>
      <c r="H140" s="14">
        <v>0</v>
      </c>
      <c r="I140" s="14" t="s">
        <v>121</v>
      </c>
      <c r="J140" s="14" t="s">
        <v>90</v>
      </c>
      <c r="K140" s="14"/>
    </row>
    <row r="141" spans="1:11" x14ac:dyDescent="0.35">
      <c r="A141" s="14" t="s">
        <v>626</v>
      </c>
      <c r="B141" s="14" t="s">
        <v>627</v>
      </c>
      <c r="C141" s="14" t="s">
        <v>347</v>
      </c>
      <c r="D141" s="14" t="s">
        <v>55</v>
      </c>
      <c r="E141" s="14" t="s">
        <v>126</v>
      </c>
      <c r="F141" s="14">
        <v>2</v>
      </c>
      <c r="G141" s="14">
        <v>144310</v>
      </c>
      <c r="H141" s="14" t="s">
        <v>81</v>
      </c>
      <c r="I141" s="14" t="s">
        <v>65</v>
      </c>
      <c r="J141" s="14" t="s">
        <v>115</v>
      </c>
      <c r="K141" s="14"/>
    </row>
    <row r="142" spans="1:11" x14ac:dyDescent="0.35">
      <c r="A142" s="14" t="s">
        <v>628</v>
      </c>
      <c r="B142" s="14" t="s">
        <v>629</v>
      </c>
      <c r="C142" s="14" t="s">
        <v>119</v>
      </c>
      <c r="D142" s="14" t="s">
        <v>112</v>
      </c>
      <c r="E142" s="14" t="s">
        <v>72</v>
      </c>
      <c r="F142" s="14">
        <v>1</v>
      </c>
      <c r="G142" s="14" t="s">
        <v>630</v>
      </c>
      <c r="H142" s="14">
        <v>10</v>
      </c>
      <c r="I142" s="14" t="s">
        <v>158</v>
      </c>
      <c r="J142" s="14" t="s">
        <v>90</v>
      </c>
      <c r="K142" s="14" t="s">
        <v>631</v>
      </c>
    </row>
    <row r="143" spans="1:11" x14ac:dyDescent="0.35">
      <c r="A143" s="14" t="s">
        <v>632</v>
      </c>
      <c r="B143" s="14" t="s">
        <v>633</v>
      </c>
      <c r="C143" s="14" t="s">
        <v>524</v>
      </c>
      <c r="D143" s="14" t="s">
        <v>216</v>
      </c>
      <c r="E143" s="14" t="s">
        <v>113</v>
      </c>
      <c r="F143" s="14">
        <v>1</v>
      </c>
      <c r="G143" s="14">
        <v>138600</v>
      </c>
      <c r="H143" s="14">
        <v>0</v>
      </c>
      <c r="I143" s="14" t="s">
        <v>158</v>
      </c>
      <c r="J143" s="14" t="s">
        <v>149</v>
      </c>
      <c r="K143" s="14" t="s">
        <v>634</v>
      </c>
    </row>
    <row r="144" spans="1:11" x14ac:dyDescent="0.35">
      <c r="A144" s="14" t="s">
        <v>635</v>
      </c>
      <c r="B144" s="14" t="s">
        <v>636</v>
      </c>
      <c r="C144" s="14" t="s">
        <v>637</v>
      </c>
      <c r="D144" s="14" t="s">
        <v>638</v>
      </c>
      <c r="E144" s="14" t="s">
        <v>101</v>
      </c>
      <c r="F144" s="14">
        <v>1</v>
      </c>
      <c r="G144" s="14" t="s">
        <v>639</v>
      </c>
      <c r="H144" s="14"/>
      <c r="I144" s="14" t="s">
        <v>73</v>
      </c>
      <c r="J144" s="14" t="s">
        <v>149</v>
      </c>
      <c r="K144" s="14"/>
    </row>
    <row r="145" spans="1:11" x14ac:dyDescent="0.35">
      <c r="A145" s="14" t="s">
        <v>640</v>
      </c>
      <c r="B145" s="14" t="s">
        <v>641</v>
      </c>
      <c r="C145" s="14" t="s">
        <v>462</v>
      </c>
      <c r="D145" s="14" t="s">
        <v>342</v>
      </c>
      <c r="E145" s="14" t="s">
        <v>126</v>
      </c>
      <c r="F145" s="14">
        <v>2</v>
      </c>
      <c r="G145" s="14" t="s">
        <v>642</v>
      </c>
      <c r="H145" s="14">
        <v>-5</v>
      </c>
      <c r="I145" s="14" t="s">
        <v>268</v>
      </c>
      <c r="J145" s="14" t="s">
        <v>149</v>
      </c>
      <c r="K145" s="14"/>
    </row>
    <row r="146" spans="1:11" x14ac:dyDescent="0.35">
      <c r="A146" s="14" t="s">
        <v>643</v>
      </c>
      <c r="B146" s="14" t="s">
        <v>644</v>
      </c>
      <c r="C146" s="14" t="s">
        <v>645</v>
      </c>
      <c r="D146" s="14" t="s">
        <v>310</v>
      </c>
      <c r="E146" s="14" t="s">
        <v>126</v>
      </c>
      <c r="F146" s="14">
        <v>1</v>
      </c>
      <c r="G146" s="14" t="s">
        <v>646</v>
      </c>
      <c r="H146" s="14">
        <v>0</v>
      </c>
      <c r="I146" s="14" t="s">
        <v>121</v>
      </c>
      <c r="J146" s="14" t="s">
        <v>174</v>
      </c>
      <c r="K146" s="14" t="s">
        <v>647</v>
      </c>
    </row>
    <row r="147" spans="1:11" x14ac:dyDescent="0.35">
      <c r="A147" s="14" t="s">
        <v>648</v>
      </c>
      <c r="B147" s="14" t="s">
        <v>649</v>
      </c>
      <c r="C147" s="14" t="s">
        <v>183</v>
      </c>
      <c r="D147" s="14" t="s">
        <v>154</v>
      </c>
      <c r="E147" s="14" t="s">
        <v>72</v>
      </c>
      <c r="F147" s="14">
        <v>1</v>
      </c>
      <c r="G147" s="14" t="s">
        <v>650</v>
      </c>
      <c r="H147" s="14">
        <v>5</v>
      </c>
      <c r="I147" s="14" t="s">
        <v>250</v>
      </c>
      <c r="J147" s="14" t="s">
        <v>149</v>
      </c>
      <c r="K147" s="14" t="s">
        <v>651</v>
      </c>
    </row>
    <row r="148" spans="1:11" x14ac:dyDescent="0.35">
      <c r="A148" s="14" t="s">
        <v>652</v>
      </c>
      <c r="B148" s="14" t="s">
        <v>653</v>
      </c>
      <c r="C148" s="14" t="s">
        <v>290</v>
      </c>
      <c r="D148" s="14" t="s">
        <v>348</v>
      </c>
      <c r="E148" s="14" t="s">
        <v>101</v>
      </c>
      <c r="F148" s="14">
        <v>1</v>
      </c>
      <c r="G148" s="14" t="s">
        <v>654</v>
      </c>
      <c r="H148" s="14"/>
      <c r="I148" s="14" t="s">
        <v>268</v>
      </c>
      <c r="J148" s="14" t="s">
        <v>66</v>
      </c>
      <c r="K148" s="14" t="s">
        <v>655</v>
      </c>
    </row>
    <row r="149" spans="1:11" x14ac:dyDescent="0.35">
      <c r="A149" s="14" t="s">
        <v>656</v>
      </c>
      <c r="B149" s="14" t="s">
        <v>657</v>
      </c>
      <c r="C149" s="14" t="s">
        <v>290</v>
      </c>
      <c r="D149" s="14" t="s">
        <v>179</v>
      </c>
      <c r="E149" s="14" t="s">
        <v>56</v>
      </c>
      <c r="F149" s="14">
        <v>3</v>
      </c>
      <c r="G149" s="14">
        <v>236970</v>
      </c>
      <c r="H149" s="14">
        <v>15</v>
      </c>
      <c r="I149" s="14" t="s">
        <v>95</v>
      </c>
      <c r="J149" s="14" t="s">
        <v>66</v>
      </c>
      <c r="K149" s="14" t="s">
        <v>658</v>
      </c>
    </row>
    <row r="150" spans="1:11" x14ac:dyDescent="0.35">
      <c r="A150" s="14" t="s">
        <v>659</v>
      </c>
      <c r="B150" s="14" t="s">
        <v>660</v>
      </c>
      <c r="C150" s="14" t="s">
        <v>661</v>
      </c>
      <c r="D150" s="14" t="s">
        <v>100</v>
      </c>
      <c r="E150" s="14" t="s">
        <v>126</v>
      </c>
      <c r="F150" s="14">
        <v>1</v>
      </c>
      <c r="G150" s="14">
        <v>93110</v>
      </c>
      <c r="H150" s="14">
        <v>0</v>
      </c>
      <c r="I150" s="14" t="s">
        <v>73</v>
      </c>
      <c r="J150" s="14" t="s">
        <v>66</v>
      </c>
      <c r="K150" s="14" t="s">
        <v>662</v>
      </c>
    </row>
    <row r="151" spans="1:11" x14ac:dyDescent="0.35">
      <c r="A151" s="14" t="s">
        <v>663</v>
      </c>
      <c r="B151" s="14" t="s">
        <v>664</v>
      </c>
      <c r="C151" s="14" t="s">
        <v>613</v>
      </c>
      <c r="D151" s="14" t="s">
        <v>154</v>
      </c>
      <c r="E151" s="14" t="s">
        <v>64</v>
      </c>
      <c r="F151" s="14">
        <v>1</v>
      </c>
      <c r="G151" s="14">
        <v>101610</v>
      </c>
      <c r="H151" s="14">
        <v>10</v>
      </c>
      <c r="I151" s="14" t="s">
        <v>95</v>
      </c>
      <c r="J151" s="14" t="s">
        <v>83</v>
      </c>
      <c r="K151" s="14"/>
    </row>
    <row r="152" spans="1:11" x14ac:dyDescent="0.35">
      <c r="A152" s="14" t="s">
        <v>665</v>
      </c>
      <c r="B152" s="14" t="s">
        <v>666</v>
      </c>
      <c r="C152" s="14" t="s">
        <v>309</v>
      </c>
      <c r="D152" s="14" t="s">
        <v>55</v>
      </c>
      <c r="E152" s="14" t="s">
        <v>113</v>
      </c>
      <c r="F152" s="14">
        <v>3</v>
      </c>
      <c r="G152" s="14" t="s">
        <v>667</v>
      </c>
      <c r="H152" s="14" t="s">
        <v>81</v>
      </c>
      <c r="I152" s="14" t="s">
        <v>73</v>
      </c>
      <c r="J152" s="14" t="s">
        <v>174</v>
      </c>
      <c r="K152" s="14" t="s">
        <v>668</v>
      </c>
    </row>
    <row r="153" spans="1:11" x14ac:dyDescent="0.35">
      <c r="A153" s="14" t="s">
        <v>669</v>
      </c>
      <c r="B153" s="14" t="s">
        <v>670</v>
      </c>
      <c r="C153" s="14"/>
      <c r="D153" s="14" t="s">
        <v>216</v>
      </c>
      <c r="E153" s="14" t="s">
        <v>108</v>
      </c>
      <c r="F153" s="14">
        <v>1</v>
      </c>
      <c r="G153" s="14">
        <v>239950</v>
      </c>
      <c r="H153" s="14">
        <v>10</v>
      </c>
      <c r="I153" s="14" t="s">
        <v>95</v>
      </c>
      <c r="J153" s="14" t="s">
        <v>83</v>
      </c>
      <c r="K153" s="14" t="s">
        <v>671</v>
      </c>
    </row>
    <row r="154" spans="1:11" x14ac:dyDescent="0.35">
      <c r="A154" s="14" t="s">
        <v>672</v>
      </c>
      <c r="B154" s="14" t="s">
        <v>673</v>
      </c>
      <c r="C154" s="14" t="s">
        <v>674</v>
      </c>
      <c r="D154" s="14" t="s">
        <v>196</v>
      </c>
      <c r="E154" s="14" t="s">
        <v>72</v>
      </c>
      <c r="F154" s="14">
        <v>1</v>
      </c>
      <c r="G154" s="14">
        <v>115530</v>
      </c>
      <c r="H154" s="14">
        <v>15</v>
      </c>
      <c r="I154" s="14" t="s">
        <v>73</v>
      </c>
      <c r="J154" s="14" t="s">
        <v>115</v>
      </c>
      <c r="K154" s="14" t="s">
        <v>675</v>
      </c>
    </row>
    <row r="155" spans="1:11" x14ac:dyDescent="0.35">
      <c r="A155" s="14" t="s">
        <v>676</v>
      </c>
      <c r="B155" s="14" t="s">
        <v>677</v>
      </c>
      <c r="C155" s="14" t="s">
        <v>678</v>
      </c>
      <c r="D155" s="14" t="s">
        <v>226</v>
      </c>
      <c r="E155" s="14" t="s">
        <v>101</v>
      </c>
      <c r="F155" s="14">
        <v>1</v>
      </c>
      <c r="G155" s="14" t="s">
        <v>679</v>
      </c>
      <c r="H155" s="14">
        <v>5</v>
      </c>
      <c r="I155" s="14" t="s">
        <v>65</v>
      </c>
      <c r="J155" s="14" t="s">
        <v>174</v>
      </c>
      <c r="K155" s="14" t="s">
        <v>680</v>
      </c>
    </row>
    <row r="156" spans="1:11" x14ac:dyDescent="0.35">
      <c r="A156" s="14" t="s">
        <v>681</v>
      </c>
      <c r="B156" s="14" t="s">
        <v>682</v>
      </c>
      <c r="C156" s="14" t="s">
        <v>683</v>
      </c>
      <c r="D156" s="14" t="s">
        <v>684</v>
      </c>
      <c r="E156" s="14" t="s">
        <v>56</v>
      </c>
      <c r="F156" s="14">
        <v>3</v>
      </c>
      <c r="G156" s="14" t="s">
        <v>685</v>
      </c>
      <c r="H156" s="14">
        <v>0</v>
      </c>
      <c r="I156" s="14" t="s">
        <v>89</v>
      </c>
      <c r="J156" s="14" t="s">
        <v>58</v>
      </c>
      <c r="K156" s="14" t="s">
        <v>686</v>
      </c>
    </row>
    <row r="157" spans="1:11" x14ac:dyDescent="0.35">
      <c r="A157" s="14" t="s">
        <v>687</v>
      </c>
      <c r="B157" s="14" t="s">
        <v>688</v>
      </c>
      <c r="C157" s="14" t="s">
        <v>689</v>
      </c>
      <c r="D157" s="14" t="s">
        <v>259</v>
      </c>
      <c r="E157" s="14" t="s">
        <v>64</v>
      </c>
      <c r="F157" s="14">
        <v>-1</v>
      </c>
      <c r="G157" s="14" t="s">
        <v>690</v>
      </c>
      <c r="H157" s="14">
        <v>10</v>
      </c>
      <c r="I157" s="14" t="s">
        <v>268</v>
      </c>
      <c r="J157" s="14" t="s">
        <v>115</v>
      </c>
      <c r="K157" s="14" t="s">
        <v>691</v>
      </c>
    </row>
    <row r="158" spans="1:11" x14ac:dyDescent="0.35">
      <c r="A158" s="14" t="s">
        <v>692</v>
      </c>
      <c r="B158" s="14" t="s">
        <v>693</v>
      </c>
      <c r="C158" s="14" t="s">
        <v>524</v>
      </c>
      <c r="D158" s="14" t="s">
        <v>435</v>
      </c>
      <c r="E158" s="14" t="s">
        <v>108</v>
      </c>
      <c r="F158" s="14">
        <v>3</v>
      </c>
      <c r="G158" s="14">
        <v>152190</v>
      </c>
      <c r="H158" s="14">
        <v>15</v>
      </c>
      <c r="I158" s="14" t="s">
        <v>121</v>
      </c>
      <c r="J158" s="14" t="s">
        <v>74</v>
      </c>
      <c r="K158" s="14" t="s">
        <v>694</v>
      </c>
    </row>
    <row r="159" spans="1:11" x14ac:dyDescent="0.35">
      <c r="A159" s="14" t="s">
        <v>695</v>
      </c>
      <c r="B159" s="14" t="s">
        <v>696</v>
      </c>
      <c r="C159" s="14" t="s">
        <v>498</v>
      </c>
      <c r="D159" s="14" t="s">
        <v>315</v>
      </c>
      <c r="E159" s="14" t="s">
        <v>108</v>
      </c>
      <c r="F159" s="14">
        <v>1</v>
      </c>
      <c r="G159" s="14">
        <v>202580</v>
      </c>
      <c r="H159" s="14" t="s">
        <v>81</v>
      </c>
      <c r="I159" s="14" t="s">
        <v>73</v>
      </c>
      <c r="J159" s="14" t="s">
        <v>58</v>
      </c>
      <c r="K159" s="14" t="s">
        <v>697</v>
      </c>
    </row>
    <row r="160" spans="1:11" x14ac:dyDescent="0.35">
      <c r="A160" s="14" t="s">
        <v>698</v>
      </c>
      <c r="B160" s="14" t="s">
        <v>699</v>
      </c>
      <c r="C160" s="14" t="s">
        <v>407</v>
      </c>
      <c r="D160" s="14" t="s">
        <v>264</v>
      </c>
      <c r="E160" s="14" t="s">
        <v>80</v>
      </c>
      <c r="F160" s="14">
        <v>3</v>
      </c>
      <c r="G160" s="14">
        <v>25920</v>
      </c>
      <c r="H160" s="14"/>
      <c r="I160" s="14" t="s">
        <v>158</v>
      </c>
      <c r="J160" s="14" t="s">
        <v>174</v>
      </c>
      <c r="K160" s="14" t="s">
        <v>700</v>
      </c>
    </row>
    <row r="161" spans="1:11" x14ac:dyDescent="0.35">
      <c r="A161" s="14" t="s">
        <v>701</v>
      </c>
      <c r="B161" s="14" t="s">
        <v>702</v>
      </c>
      <c r="C161" s="14" t="s">
        <v>703</v>
      </c>
      <c r="D161" s="14" t="s">
        <v>472</v>
      </c>
      <c r="E161" s="14" t="s">
        <v>72</v>
      </c>
      <c r="F161" s="14">
        <v>2</v>
      </c>
      <c r="G161" s="14">
        <v>68920</v>
      </c>
      <c r="H161" s="14">
        <v>10</v>
      </c>
      <c r="I161" s="14" t="s">
        <v>95</v>
      </c>
      <c r="J161" s="14" t="s">
        <v>174</v>
      </c>
      <c r="K161" s="14" t="s">
        <v>704</v>
      </c>
    </row>
    <row r="162" spans="1:11" x14ac:dyDescent="0.35">
      <c r="A162" s="14" t="s">
        <v>705</v>
      </c>
      <c r="B162" s="14" t="s">
        <v>706</v>
      </c>
      <c r="C162" s="14" t="s">
        <v>462</v>
      </c>
      <c r="D162" s="14" t="s">
        <v>638</v>
      </c>
      <c r="E162" s="14" t="s">
        <v>80</v>
      </c>
      <c r="F162" s="14">
        <v>1</v>
      </c>
      <c r="G162" s="14">
        <v>131590</v>
      </c>
      <c r="H162" s="14">
        <v>10</v>
      </c>
      <c r="I162" s="14" t="s">
        <v>121</v>
      </c>
      <c r="J162" s="14" t="s">
        <v>90</v>
      </c>
      <c r="K162" s="14" t="s">
        <v>707</v>
      </c>
    </row>
    <row r="163" spans="1:11" x14ac:dyDescent="0.35">
      <c r="A163" s="14" t="s">
        <v>708</v>
      </c>
      <c r="B163" s="14" t="s">
        <v>709</v>
      </c>
      <c r="C163" s="14" t="s">
        <v>678</v>
      </c>
      <c r="D163" s="14" t="s">
        <v>94</v>
      </c>
      <c r="E163" s="14" t="s">
        <v>80</v>
      </c>
      <c r="F163" s="14">
        <v>2</v>
      </c>
      <c r="G163" s="14">
        <v>200690</v>
      </c>
      <c r="H163" s="14"/>
      <c r="I163" s="14" t="s">
        <v>89</v>
      </c>
      <c r="J163" s="14" t="s">
        <v>174</v>
      </c>
      <c r="K163" s="14" t="s">
        <v>710</v>
      </c>
    </row>
    <row r="164" spans="1:11" x14ac:dyDescent="0.35">
      <c r="A164" s="14" t="s">
        <v>711</v>
      </c>
      <c r="B164" s="14" t="s">
        <v>712</v>
      </c>
      <c r="C164" s="14" t="s">
        <v>285</v>
      </c>
      <c r="D164" s="14" t="s">
        <v>240</v>
      </c>
      <c r="E164" s="14" t="s">
        <v>80</v>
      </c>
      <c r="F164" s="14">
        <v>-1</v>
      </c>
      <c r="G164" s="14" t="s">
        <v>713</v>
      </c>
      <c r="H164" s="14">
        <v>5</v>
      </c>
      <c r="I164" s="14" t="s">
        <v>65</v>
      </c>
      <c r="J164" s="14" t="s">
        <v>74</v>
      </c>
      <c r="K164" s="14" t="s">
        <v>714</v>
      </c>
    </row>
    <row r="165" spans="1:11" x14ac:dyDescent="0.35">
      <c r="A165" s="14" t="s">
        <v>715</v>
      </c>
      <c r="B165" s="14" t="s">
        <v>716</v>
      </c>
      <c r="C165" s="14" t="s">
        <v>341</v>
      </c>
      <c r="D165" s="14" t="s">
        <v>458</v>
      </c>
      <c r="E165" s="14" t="s">
        <v>72</v>
      </c>
      <c r="F165" s="14">
        <v>1</v>
      </c>
      <c r="G165" s="14">
        <v>161900</v>
      </c>
      <c r="H165" s="14">
        <v>5</v>
      </c>
      <c r="I165" s="14" t="s">
        <v>89</v>
      </c>
      <c r="J165" s="14" t="s">
        <v>58</v>
      </c>
      <c r="K165" s="14" t="s">
        <v>717</v>
      </c>
    </row>
    <row r="166" spans="1:11" x14ac:dyDescent="0.35">
      <c r="A166" s="14" t="s">
        <v>718</v>
      </c>
      <c r="B166" s="14" t="s">
        <v>719</v>
      </c>
      <c r="C166" s="14" t="s">
        <v>558</v>
      </c>
      <c r="D166" s="14" t="s">
        <v>684</v>
      </c>
      <c r="E166" s="14" t="s">
        <v>80</v>
      </c>
      <c r="F166" s="14">
        <v>1</v>
      </c>
      <c r="G166" s="14" t="s">
        <v>720</v>
      </c>
      <c r="H166" s="14">
        <v>0</v>
      </c>
      <c r="I166" s="14" t="s">
        <v>121</v>
      </c>
      <c r="J166" s="14" t="s">
        <v>115</v>
      </c>
      <c r="K166" s="14"/>
    </row>
    <row r="167" spans="1:11" x14ac:dyDescent="0.35">
      <c r="A167" s="14" t="s">
        <v>721</v>
      </c>
      <c r="B167" s="14" t="s">
        <v>722</v>
      </c>
      <c r="C167" s="14" t="s">
        <v>723</v>
      </c>
      <c r="D167" s="14" t="s">
        <v>390</v>
      </c>
      <c r="E167" s="14" t="s">
        <v>101</v>
      </c>
      <c r="F167" s="14">
        <v>2</v>
      </c>
      <c r="G167" s="14">
        <v>195010</v>
      </c>
      <c r="H167" s="14">
        <v>5</v>
      </c>
      <c r="I167" s="14" t="s">
        <v>95</v>
      </c>
      <c r="J167" s="14" t="s">
        <v>58</v>
      </c>
      <c r="K167" s="14" t="s">
        <v>724</v>
      </c>
    </row>
    <row r="168" spans="1:11" x14ac:dyDescent="0.35">
      <c r="A168" s="14" t="s">
        <v>725</v>
      </c>
      <c r="B168" s="14" t="s">
        <v>726</v>
      </c>
      <c r="C168" s="14" t="s">
        <v>727</v>
      </c>
      <c r="D168" s="14" t="s">
        <v>112</v>
      </c>
      <c r="E168" s="14" t="s">
        <v>72</v>
      </c>
      <c r="F168" s="14">
        <v>0</v>
      </c>
      <c r="G168" s="14" t="s">
        <v>728</v>
      </c>
      <c r="H168" s="14">
        <v>0</v>
      </c>
      <c r="I168" s="14" t="s">
        <v>95</v>
      </c>
      <c r="J168" s="14" t="s">
        <v>174</v>
      </c>
      <c r="K168" s="14" t="s">
        <v>729</v>
      </c>
    </row>
    <row r="169" spans="1:11" x14ac:dyDescent="0.35">
      <c r="A169" s="14" t="s">
        <v>730</v>
      </c>
      <c r="B169" s="14" t="s">
        <v>731</v>
      </c>
      <c r="C169" s="14"/>
      <c r="D169" s="14" t="s">
        <v>167</v>
      </c>
      <c r="E169" s="14" t="s">
        <v>80</v>
      </c>
      <c r="F169" s="14">
        <v>0</v>
      </c>
      <c r="G169" s="14" t="s">
        <v>732</v>
      </c>
      <c r="H169" s="14">
        <v>0</v>
      </c>
      <c r="I169" s="14" t="s">
        <v>424</v>
      </c>
      <c r="J169" s="14" t="s">
        <v>174</v>
      </c>
      <c r="K169" s="14" t="s">
        <v>733</v>
      </c>
    </row>
    <row r="170" spans="1:11" x14ac:dyDescent="0.35">
      <c r="A170" s="14" t="s">
        <v>734</v>
      </c>
      <c r="B170" s="14" t="s">
        <v>735</v>
      </c>
      <c r="C170" s="14" t="s">
        <v>727</v>
      </c>
      <c r="D170" s="14" t="s">
        <v>736</v>
      </c>
      <c r="E170" s="14" t="s">
        <v>64</v>
      </c>
      <c r="F170" s="14">
        <v>3</v>
      </c>
      <c r="G170" s="14">
        <v>70280</v>
      </c>
      <c r="H170" s="14">
        <v>0</v>
      </c>
      <c r="I170" s="14" t="s">
        <v>121</v>
      </c>
      <c r="J170" s="14" t="s">
        <v>83</v>
      </c>
      <c r="K170" s="14" t="s">
        <v>737</v>
      </c>
    </row>
    <row r="171" spans="1:11" x14ac:dyDescent="0.35">
      <c r="A171" s="14" t="s">
        <v>738</v>
      </c>
      <c r="B171" s="14" t="s">
        <v>739</v>
      </c>
      <c r="C171" s="14" t="s">
        <v>740</v>
      </c>
      <c r="D171" s="14" t="s">
        <v>135</v>
      </c>
      <c r="E171" s="14" t="s">
        <v>56</v>
      </c>
      <c r="F171" s="14">
        <v>1</v>
      </c>
      <c r="G171" s="14">
        <v>16920</v>
      </c>
      <c r="H171" s="14">
        <v>-5</v>
      </c>
      <c r="I171" s="14" t="s">
        <v>114</v>
      </c>
      <c r="J171" s="14" t="s">
        <v>83</v>
      </c>
      <c r="K171" s="14" t="s">
        <v>741</v>
      </c>
    </row>
    <row r="172" spans="1:11" x14ac:dyDescent="0.35">
      <c r="A172" s="14" t="s">
        <v>742</v>
      </c>
      <c r="B172" s="14" t="s">
        <v>743</v>
      </c>
      <c r="C172" s="14" t="s">
        <v>62</v>
      </c>
      <c r="D172" s="14" t="s">
        <v>432</v>
      </c>
      <c r="E172" s="14" t="s">
        <v>101</v>
      </c>
      <c r="F172" s="14">
        <v>2</v>
      </c>
      <c r="G172" s="14" t="s">
        <v>744</v>
      </c>
      <c r="H172" s="14">
        <v>5</v>
      </c>
      <c r="I172" s="14" t="s">
        <v>250</v>
      </c>
      <c r="J172" s="14" t="s">
        <v>90</v>
      </c>
      <c r="K172" s="14"/>
    </row>
    <row r="173" spans="1:11" x14ac:dyDescent="0.35">
      <c r="A173" s="14" t="s">
        <v>745</v>
      </c>
      <c r="B173" s="14" t="s">
        <v>746</v>
      </c>
      <c r="C173" s="14" t="s">
        <v>389</v>
      </c>
      <c r="D173" s="14" t="s">
        <v>264</v>
      </c>
      <c r="E173" s="14" t="s">
        <v>72</v>
      </c>
      <c r="F173" s="14">
        <v>2</v>
      </c>
      <c r="G173" s="14">
        <v>246160</v>
      </c>
      <c r="H173" s="14">
        <v>5</v>
      </c>
      <c r="I173" s="14" t="s">
        <v>82</v>
      </c>
      <c r="J173" s="14" t="s">
        <v>66</v>
      </c>
      <c r="K173" s="14" t="s">
        <v>747</v>
      </c>
    </row>
    <row r="174" spans="1:11" x14ac:dyDescent="0.35">
      <c r="A174" s="14" t="s">
        <v>748</v>
      </c>
      <c r="B174" s="14" t="s">
        <v>749</v>
      </c>
      <c r="C174" s="14" t="s">
        <v>750</v>
      </c>
      <c r="D174" s="14" t="s">
        <v>172</v>
      </c>
      <c r="E174" s="14" t="s">
        <v>72</v>
      </c>
      <c r="F174" s="14">
        <v>-1</v>
      </c>
      <c r="G174" s="14">
        <v>126050</v>
      </c>
      <c r="H174" s="14"/>
      <c r="I174" s="14" t="s">
        <v>121</v>
      </c>
      <c r="J174" s="14" t="s">
        <v>149</v>
      </c>
      <c r="K174" s="14"/>
    </row>
    <row r="175" spans="1:11" x14ac:dyDescent="0.35">
      <c r="A175" s="14" t="s">
        <v>751</v>
      </c>
      <c r="B175" s="14" t="s">
        <v>752</v>
      </c>
      <c r="C175" s="14" t="s">
        <v>753</v>
      </c>
      <c r="D175" s="14" t="s">
        <v>638</v>
      </c>
      <c r="E175" s="14" t="s">
        <v>126</v>
      </c>
      <c r="F175" s="14">
        <v>2</v>
      </c>
      <c r="G175" s="14">
        <v>179130</v>
      </c>
      <c r="H175" s="14">
        <v>0</v>
      </c>
      <c r="I175" s="14" t="s">
        <v>250</v>
      </c>
      <c r="J175" s="14" t="s">
        <v>115</v>
      </c>
      <c r="K175" s="14"/>
    </row>
    <row r="176" spans="1:11" x14ac:dyDescent="0.35">
      <c r="A176" s="14" t="s">
        <v>754</v>
      </c>
      <c r="B176" s="14" t="s">
        <v>755</v>
      </c>
      <c r="C176" s="14" t="s">
        <v>301</v>
      </c>
      <c r="D176" s="14" t="s">
        <v>112</v>
      </c>
      <c r="E176" s="14" t="s">
        <v>101</v>
      </c>
      <c r="F176" s="14">
        <v>3</v>
      </c>
      <c r="G176" s="14">
        <v>120900</v>
      </c>
      <c r="H176" s="14">
        <v>15</v>
      </c>
      <c r="I176" s="14" t="s">
        <v>424</v>
      </c>
      <c r="J176" s="14" t="s">
        <v>149</v>
      </c>
      <c r="K176" s="14"/>
    </row>
    <row r="177" spans="1:11" x14ac:dyDescent="0.35">
      <c r="A177" s="14" t="s">
        <v>756</v>
      </c>
      <c r="B177" s="14" t="s">
        <v>757</v>
      </c>
      <c r="C177" s="14" t="s">
        <v>758</v>
      </c>
      <c r="D177" s="14" t="s">
        <v>120</v>
      </c>
      <c r="E177" s="14" t="s">
        <v>113</v>
      </c>
      <c r="F177" s="14">
        <v>0</v>
      </c>
      <c r="G177" s="14">
        <v>135230</v>
      </c>
      <c r="H177" s="14">
        <v>0</v>
      </c>
      <c r="I177" s="14" t="s">
        <v>65</v>
      </c>
      <c r="J177" s="14" t="s">
        <v>66</v>
      </c>
      <c r="K177" s="14" t="s">
        <v>759</v>
      </c>
    </row>
    <row r="178" spans="1:11" x14ac:dyDescent="0.35">
      <c r="A178" s="14" t="s">
        <v>760</v>
      </c>
      <c r="B178" s="14" t="s">
        <v>761</v>
      </c>
      <c r="C178" s="14" t="s">
        <v>267</v>
      </c>
      <c r="D178" s="14" t="s">
        <v>472</v>
      </c>
      <c r="E178" s="14" t="s">
        <v>126</v>
      </c>
      <c r="F178" s="14">
        <v>1</v>
      </c>
      <c r="G178" s="14">
        <v>39310</v>
      </c>
      <c r="H178" s="14">
        <v>-5</v>
      </c>
      <c r="I178" s="14" t="s">
        <v>73</v>
      </c>
      <c r="J178" s="14" t="s">
        <v>149</v>
      </c>
      <c r="K178" s="14" t="s">
        <v>762</v>
      </c>
    </row>
    <row r="179" spans="1:11" x14ac:dyDescent="0.35">
      <c r="A179" s="14" t="s">
        <v>763</v>
      </c>
      <c r="B179" s="14" t="s">
        <v>764</v>
      </c>
      <c r="C179" s="14" t="s">
        <v>637</v>
      </c>
      <c r="D179" s="14" t="s">
        <v>576</v>
      </c>
      <c r="E179" s="14" t="s">
        <v>72</v>
      </c>
      <c r="F179" s="14">
        <v>1</v>
      </c>
      <c r="G179" s="14">
        <v>202620</v>
      </c>
      <c r="H179" s="14">
        <v>15</v>
      </c>
      <c r="I179" s="14" t="s">
        <v>95</v>
      </c>
      <c r="J179" s="14" t="s">
        <v>58</v>
      </c>
      <c r="K179" s="14" t="s">
        <v>765</v>
      </c>
    </row>
    <row r="180" spans="1:11" x14ac:dyDescent="0.35">
      <c r="A180" s="14" t="s">
        <v>766</v>
      </c>
      <c r="B180" s="14" t="s">
        <v>767</v>
      </c>
      <c r="C180" s="14" t="s">
        <v>768</v>
      </c>
      <c r="D180" s="14" t="s">
        <v>63</v>
      </c>
      <c r="E180" s="14" t="s">
        <v>64</v>
      </c>
      <c r="F180" s="14">
        <v>-1</v>
      </c>
      <c r="G180" s="14">
        <v>136380</v>
      </c>
      <c r="H180" s="14">
        <v>0</v>
      </c>
      <c r="I180" s="14" t="s">
        <v>95</v>
      </c>
      <c r="J180" s="14" t="s">
        <v>74</v>
      </c>
      <c r="K180" s="14" t="s">
        <v>769</v>
      </c>
    </row>
    <row r="181" spans="1:11" x14ac:dyDescent="0.35">
      <c r="A181" s="14" t="s">
        <v>770</v>
      </c>
      <c r="B181" s="14" t="s">
        <v>771</v>
      </c>
      <c r="C181" s="14" t="s">
        <v>294</v>
      </c>
      <c r="D181" s="14" t="s">
        <v>226</v>
      </c>
      <c r="E181" s="14" t="s">
        <v>108</v>
      </c>
      <c r="F181" s="14">
        <v>1</v>
      </c>
      <c r="G181" s="14" t="s">
        <v>772</v>
      </c>
      <c r="H181" s="14">
        <v>10</v>
      </c>
      <c r="I181" s="14" t="s">
        <v>114</v>
      </c>
      <c r="J181" s="14" t="s">
        <v>174</v>
      </c>
      <c r="K181" s="14" t="s">
        <v>84</v>
      </c>
    </row>
    <row r="182" spans="1:11" x14ac:dyDescent="0.35">
      <c r="A182" s="14" t="s">
        <v>773</v>
      </c>
      <c r="B182" s="14" t="s">
        <v>774</v>
      </c>
      <c r="C182" s="14" t="s">
        <v>396</v>
      </c>
      <c r="D182" s="14" t="s">
        <v>94</v>
      </c>
      <c r="E182" s="14" t="s">
        <v>80</v>
      </c>
      <c r="F182" s="14">
        <v>1</v>
      </c>
      <c r="G182" s="14">
        <v>188160</v>
      </c>
      <c r="H182" s="14"/>
      <c r="I182" s="14" t="s">
        <v>95</v>
      </c>
      <c r="J182" s="14" t="s">
        <v>74</v>
      </c>
      <c r="K182" s="14" t="s">
        <v>775</v>
      </c>
    </row>
    <row r="183" spans="1:11" x14ac:dyDescent="0.35">
      <c r="A183" s="14" t="s">
        <v>776</v>
      </c>
      <c r="B183" s="14" t="s">
        <v>777</v>
      </c>
      <c r="C183" s="14" t="s">
        <v>220</v>
      </c>
      <c r="D183" s="14" t="s">
        <v>196</v>
      </c>
      <c r="E183" s="14" t="s">
        <v>64</v>
      </c>
      <c r="F183" s="14">
        <v>1</v>
      </c>
      <c r="G183" s="14">
        <v>60530</v>
      </c>
      <c r="H183" s="14">
        <v>0</v>
      </c>
      <c r="I183" s="14" t="s">
        <v>268</v>
      </c>
      <c r="J183" s="14" t="s">
        <v>174</v>
      </c>
      <c r="K183" s="14" t="s">
        <v>778</v>
      </c>
    </row>
    <row r="184" spans="1:11" x14ac:dyDescent="0.35">
      <c r="A184" s="14" t="s">
        <v>779</v>
      </c>
      <c r="B184" s="14" t="s">
        <v>780</v>
      </c>
      <c r="C184" s="14" t="s">
        <v>781</v>
      </c>
      <c r="D184" s="14" t="s">
        <v>144</v>
      </c>
      <c r="E184" s="14" t="s">
        <v>113</v>
      </c>
      <c r="F184" s="14">
        <v>0</v>
      </c>
      <c r="G184" s="14" t="s">
        <v>782</v>
      </c>
      <c r="H184" s="14">
        <v>0</v>
      </c>
      <c r="I184" s="14" t="s">
        <v>65</v>
      </c>
      <c r="J184" s="14" t="s">
        <v>74</v>
      </c>
      <c r="K184" s="14" t="s">
        <v>783</v>
      </c>
    </row>
    <row r="185" spans="1:11" x14ac:dyDescent="0.35">
      <c r="A185" s="14" t="s">
        <v>784</v>
      </c>
      <c r="B185" s="14" t="s">
        <v>785</v>
      </c>
      <c r="C185" s="14" t="s">
        <v>786</v>
      </c>
      <c r="D185" s="14" t="s">
        <v>348</v>
      </c>
      <c r="E185" s="14" t="s">
        <v>56</v>
      </c>
      <c r="F185" s="14">
        <v>2</v>
      </c>
      <c r="G185" s="14" t="s">
        <v>787</v>
      </c>
      <c r="H185" s="14">
        <v>-5</v>
      </c>
      <c r="I185" s="14" t="s">
        <v>378</v>
      </c>
      <c r="J185" s="14" t="s">
        <v>83</v>
      </c>
      <c r="K185" s="14" t="s">
        <v>788</v>
      </c>
    </row>
    <row r="186" spans="1:11" x14ac:dyDescent="0.35">
      <c r="A186" s="14" t="s">
        <v>789</v>
      </c>
      <c r="B186" s="14" t="s">
        <v>790</v>
      </c>
      <c r="C186" s="14" t="s">
        <v>791</v>
      </c>
      <c r="D186" s="14" t="s">
        <v>112</v>
      </c>
      <c r="E186" s="14" t="s">
        <v>126</v>
      </c>
      <c r="F186" s="14">
        <v>-1</v>
      </c>
      <c r="G186" s="14" t="s">
        <v>792</v>
      </c>
      <c r="H186" s="14"/>
      <c r="I186" s="14" t="s">
        <v>73</v>
      </c>
      <c r="J186" s="14" t="s">
        <v>74</v>
      </c>
      <c r="K186" s="14" t="s">
        <v>793</v>
      </c>
    </row>
    <row r="187" spans="1:11" x14ac:dyDescent="0.35">
      <c r="A187" s="14" t="s">
        <v>794</v>
      </c>
      <c r="B187" s="14" t="s">
        <v>795</v>
      </c>
      <c r="C187" s="14" t="s">
        <v>562</v>
      </c>
      <c r="D187" s="14" t="s">
        <v>310</v>
      </c>
      <c r="E187" s="14" t="s">
        <v>72</v>
      </c>
      <c r="F187" s="14">
        <v>-1</v>
      </c>
      <c r="G187" s="14">
        <v>244960</v>
      </c>
      <c r="H187" s="14">
        <v>10</v>
      </c>
      <c r="I187" s="14" t="s">
        <v>114</v>
      </c>
      <c r="J187" s="14" t="s">
        <v>58</v>
      </c>
      <c r="K187" s="14" t="s">
        <v>796</v>
      </c>
    </row>
    <row r="188" spans="1:11" x14ac:dyDescent="0.35">
      <c r="A188" s="14" t="s">
        <v>797</v>
      </c>
      <c r="B188" s="14" t="s">
        <v>798</v>
      </c>
      <c r="C188" s="14" t="s">
        <v>799</v>
      </c>
      <c r="D188" s="14" t="s">
        <v>432</v>
      </c>
      <c r="E188" s="14" t="s">
        <v>56</v>
      </c>
      <c r="F188" s="14">
        <v>2</v>
      </c>
      <c r="G188" s="14" t="s">
        <v>800</v>
      </c>
      <c r="H188" s="14">
        <v>0</v>
      </c>
      <c r="I188" s="14" t="s">
        <v>73</v>
      </c>
      <c r="J188" s="14" t="s">
        <v>58</v>
      </c>
      <c r="K188" s="14" t="s">
        <v>801</v>
      </c>
    </row>
    <row r="189" spans="1:11" x14ac:dyDescent="0.35">
      <c r="A189" s="14" t="s">
        <v>802</v>
      </c>
      <c r="B189" s="14" t="s">
        <v>803</v>
      </c>
      <c r="C189" s="14" t="s">
        <v>804</v>
      </c>
      <c r="D189" s="14" t="s">
        <v>529</v>
      </c>
      <c r="E189" s="14" t="s">
        <v>108</v>
      </c>
      <c r="F189" s="14">
        <v>1</v>
      </c>
      <c r="G189" s="14">
        <v>84290</v>
      </c>
      <c r="H189" s="14">
        <v>10</v>
      </c>
      <c r="I189" s="14" t="s">
        <v>95</v>
      </c>
      <c r="J189" s="14" t="s">
        <v>174</v>
      </c>
      <c r="K189" s="14" t="s">
        <v>805</v>
      </c>
    </row>
    <row r="190" spans="1:11" x14ac:dyDescent="0.35">
      <c r="A190" s="14" t="s">
        <v>806</v>
      </c>
      <c r="B190" s="14" t="s">
        <v>807</v>
      </c>
      <c r="C190" s="14" t="s">
        <v>294</v>
      </c>
      <c r="D190" s="14" t="s">
        <v>79</v>
      </c>
      <c r="E190" s="14" t="s">
        <v>56</v>
      </c>
      <c r="F190" s="14">
        <v>2</v>
      </c>
      <c r="G190" s="14">
        <v>235310</v>
      </c>
      <c r="H190" s="14">
        <v>15</v>
      </c>
      <c r="I190" s="14" t="s">
        <v>57</v>
      </c>
      <c r="J190" s="14" t="s">
        <v>83</v>
      </c>
      <c r="K190" s="14" t="s">
        <v>808</v>
      </c>
    </row>
    <row r="191" spans="1:11" x14ac:dyDescent="0.35">
      <c r="A191" s="14" t="s">
        <v>809</v>
      </c>
      <c r="B191" s="14" t="s">
        <v>810</v>
      </c>
      <c r="C191" s="14" t="s">
        <v>811</v>
      </c>
      <c r="D191" s="14" t="s">
        <v>167</v>
      </c>
      <c r="E191" s="14" t="s">
        <v>108</v>
      </c>
      <c r="F191" s="14">
        <v>0</v>
      </c>
      <c r="G191" s="14">
        <v>228030</v>
      </c>
      <c r="H191" s="14"/>
      <c r="I191" s="14" t="s">
        <v>114</v>
      </c>
      <c r="J191" s="14" t="s">
        <v>149</v>
      </c>
      <c r="K191" s="14" t="s">
        <v>812</v>
      </c>
    </row>
    <row r="192" spans="1:11" x14ac:dyDescent="0.35">
      <c r="A192" s="14" t="s">
        <v>813</v>
      </c>
      <c r="B192" s="14" t="s">
        <v>814</v>
      </c>
      <c r="C192" s="14" t="s">
        <v>277</v>
      </c>
      <c r="D192" s="14" t="s">
        <v>435</v>
      </c>
      <c r="E192" s="14" t="s">
        <v>113</v>
      </c>
      <c r="F192" s="14">
        <v>2</v>
      </c>
      <c r="G192" s="14">
        <v>190600</v>
      </c>
      <c r="H192" s="14">
        <v>5</v>
      </c>
      <c r="I192" s="14" t="s">
        <v>95</v>
      </c>
      <c r="J192" s="14" t="s">
        <v>66</v>
      </c>
      <c r="K192" s="14" t="s">
        <v>815</v>
      </c>
    </row>
    <row r="193" spans="1:11" x14ac:dyDescent="0.35">
      <c r="A193" s="14" t="s">
        <v>816</v>
      </c>
      <c r="B193" s="14" t="s">
        <v>817</v>
      </c>
      <c r="C193" s="14" t="s">
        <v>359</v>
      </c>
      <c r="D193" s="14" t="s">
        <v>576</v>
      </c>
      <c r="E193" s="14" t="s">
        <v>80</v>
      </c>
      <c r="F193" s="14">
        <v>1</v>
      </c>
      <c r="G193" s="14">
        <v>22180</v>
      </c>
      <c r="H193" s="14"/>
      <c r="I193" s="14" t="s">
        <v>424</v>
      </c>
      <c r="J193" s="14" t="s">
        <v>115</v>
      </c>
      <c r="K193" s="14" t="s">
        <v>818</v>
      </c>
    </row>
    <row r="194" spans="1:11" x14ac:dyDescent="0.35">
      <c r="A194" s="14" t="s">
        <v>819</v>
      </c>
      <c r="B194" s="14" t="s">
        <v>820</v>
      </c>
      <c r="C194" s="14" t="s">
        <v>368</v>
      </c>
      <c r="D194" s="14" t="s">
        <v>259</v>
      </c>
      <c r="E194" s="14" t="s">
        <v>56</v>
      </c>
      <c r="F194" s="14">
        <v>2</v>
      </c>
      <c r="G194" s="14">
        <v>198510</v>
      </c>
      <c r="H194" s="14">
        <v>0</v>
      </c>
      <c r="I194" s="14" t="s">
        <v>114</v>
      </c>
      <c r="J194" s="14" t="s">
        <v>149</v>
      </c>
      <c r="K194" s="14"/>
    </row>
    <row r="195" spans="1:11" x14ac:dyDescent="0.35">
      <c r="A195" s="14" t="s">
        <v>821</v>
      </c>
      <c r="B195" s="14" t="s">
        <v>822</v>
      </c>
      <c r="C195" s="14" t="s">
        <v>457</v>
      </c>
      <c r="D195" s="14" t="s">
        <v>216</v>
      </c>
      <c r="E195" s="14" t="s">
        <v>113</v>
      </c>
      <c r="F195" s="14">
        <v>1</v>
      </c>
      <c r="G195" s="14" t="s">
        <v>823</v>
      </c>
      <c r="H195" s="14">
        <v>15</v>
      </c>
      <c r="I195" s="14" t="s">
        <v>121</v>
      </c>
      <c r="J195" s="14" t="s">
        <v>115</v>
      </c>
      <c r="K195" s="14" t="s">
        <v>824</v>
      </c>
    </row>
    <row r="196" spans="1:11" x14ac:dyDescent="0.35">
      <c r="A196" s="14" t="s">
        <v>825</v>
      </c>
      <c r="B196" s="14" t="s">
        <v>826</v>
      </c>
      <c r="C196" s="14" t="s">
        <v>62</v>
      </c>
      <c r="D196" s="14" t="s">
        <v>172</v>
      </c>
      <c r="E196" s="14" t="s">
        <v>56</v>
      </c>
      <c r="F196" s="14">
        <v>1</v>
      </c>
      <c r="G196" s="14" t="s">
        <v>827</v>
      </c>
      <c r="H196" s="14"/>
      <c r="I196" s="14" t="s">
        <v>158</v>
      </c>
      <c r="J196" s="14" t="s">
        <v>74</v>
      </c>
      <c r="K196" s="14" t="s">
        <v>828</v>
      </c>
    </row>
    <row r="197" spans="1:11" x14ac:dyDescent="0.35">
      <c r="A197" s="14" t="s">
        <v>829</v>
      </c>
      <c r="B197" s="14" t="s">
        <v>830</v>
      </c>
      <c r="C197" s="14" t="s">
        <v>831</v>
      </c>
      <c r="D197" s="14" t="s">
        <v>231</v>
      </c>
      <c r="E197" s="14" t="s">
        <v>56</v>
      </c>
      <c r="F197" s="14">
        <v>0</v>
      </c>
      <c r="G197" s="14" t="s">
        <v>832</v>
      </c>
      <c r="H197" s="14"/>
      <c r="I197" s="14" t="s">
        <v>114</v>
      </c>
      <c r="J197" s="14" t="s">
        <v>58</v>
      </c>
      <c r="K197" s="14" t="s">
        <v>833</v>
      </c>
    </row>
    <row r="198" spans="1:11" x14ac:dyDescent="0.35">
      <c r="A198" s="14" t="s">
        <v>834</v>
      </c>
      <c r="B198" s="14" t="s">
        <v>835</v>
      </c>
      <c r="C198" s="14" t="s">
        <v>319</v>
      </c>
      <c r="D198" s="14" t="s">
        <v>348</v>
      </c>
      <c r="E198" s="14" t="s">
        <v>101</v>
      </c>
      <c r="F198" s="14">
        <v>1</v>
      </c>
      <c r="G198" s="14">
        <v>39100</v>
      </c>
      <c r="H198" s="14">
        <v>15</v>
      </c>
      <c r="I198" s="14" t="s">
        <v>89</v>
      </c>
      <c r="J198" s="14" t="s">
        <v>83</v>
      </c>
      <c r="K198" s="14" t="s">
        <v>836</v>
      </c>
    </row>
    <row r="199" spans="1:11" x14ac:dyDescent="0.35">
      <c r="A199" s="14" t="s">
        <v>837</v>
      </c>
      <c r="B199" s="14" t="s">
        <v>838</v>
      </c>
      <c r="C199" s="14" t="s">
        <v>740</v>
      </c>
      <c r="D199" s="14" t="s">
        <v>88</v>
      </c>
      <c r="E199" s="14" t="s">
        <v>126</v>
      </c>
      <c r="F199" s="14">
        <v>2</v>
      </c>
      <c r="G199" s="14" t="s">
        <v>839</v>
      </c>
      <c r="H199" s="14">
        <v>-5</v>
      </c>
      <c r="I199" s="14" t="s">
        <v>73</v>
      </c>
      <c r="J199" s="14" t="s">
        <v>149</v>
      </c>
      <c r="K199" s="14" t="s">
        <v>840</v>
      </c>
    </row>
    <row r="200" spans="1:11" x14ac:dyDescent="0.35">
      <c r="A200" s="14" t="s">
        <v>841</v>
      </c>
      <c r="B200" s="14" t="s">
        <v>842</v>
      </c>
      <c r="C200" s="14" t="s">
        <v>211</v>
      </c>
      <c r="D200" s="14" t="s">
        <v>88</v>
      </c>
      <c r="E200" s="14" t="s">
        <v>72</v>
      </c>
      <c r="F200" s="14">
        <v>1</v>
      </c>
      <c r="G200" s="14" t="s">
        <v>843</v>
      </c>
      <c r="H200" s="14">
        <v>0</v>
      </c>
      <c r="I200" s="14" t="s">
        <v>95</v>
      </c>
      <c r="J200" s="14" t="s">
        <v>83</v>
      </c>
      <c r="K200" s="14" t="s">
        <v>844</v>
      </c>
    </row>
    <row r="201" spans="1:11" x14ac:dyDescent="0.35">
      <c r="A201" s="14" t="s">
        <v>845</v>
      </c>
      <c r="B201" s="14" t="s">
        <v>846</v>
      </c>
      <c r="C201" s="14" t="s">
        <v>613</v>
      </c>
      <c r="D201" s="14" t="s">
        <v>212</v>
      </c>
      <c r="E201" s="14" t="s">
        <v>72</v>
      </c>
      <c r="F201" s="14">
        <v>1</v>
      </c>
      <c r="G201" s="14" t="s">
        <v>847</v>
      </c>
      <c r="H201" s="14">
        <v>0</v>
      </c>
      <c r="I201" s="14" t="s">
        <v>95</v>
      </c>
      <c r="J201" s="14" t="s">
        <v>74</v>
      </c>
      <c r="K201" s="14" t="s">
        <v>848</v>
      </c>
    </row>
    <row r="202" spans="1:11" x14ac:dyDescent="0.35">
      <c r="A202" s="14" t="s">
        <v>849</v>
      </c>
      <c r="B202" s="14" t="s">
        <v>850</v>
      </c>
      <c r="C202" s="14" t="s">
        <v>703</v>
      </c>
      <c r="D202" s="14" t="s">
        <v>369</v>
      </c>
      <c r="E202" s="14" t="s">
        <v>101</v>
      </c>
      <c r="F202" s="14">
        <v>2</v>
      </c>
      <c r="G202" s="14">
        <v>33610</v>
      </c>
      <c r="H202" s="14" t="s">
        <v>81</v>
      </c>
      <c r="I202" s="14" t="s">
        <v>73</v>
      </c>
      <c r="J202" s="14" t="s">
        <v>174</v>
      </c>
      <c r="K202" s="14" t="s">
        <v>851</v>
      </c>
    </row>
    <row r="203" spans="1:11" x14ac:dyDescent="0.35">
      <c r="A203" s="14" t="s">
        <v>852</v>
      </c>
      <c r="B203" s="14" t="s">
        <v>853</v>
      </c>
      <c r="C203" s="14" t="s">
        <v>854</v>
      </c>
      <c r="D203" s="14" t="s">
        <v>144</v>
      </c>
      <c r="E203" s="14" t="s">
        <v>64</v>
      </c>
      <c r="F203" s="14">
        <v>3</v>
      </c>
      <c r="G203" s="14" t="s">
        <v>855</v>
      </c>
      <c r="H203" s="14"/>
      <c r="I203" s="14" t="s">
        <v>73</v>
      </c>
      <c r="J203" s="14" t="s">
        <v>66</v>
      </c>
      <c r="K203" s="14" t="s">
        <v>856</v>
      </c>
    </row>
    <row r="204" spans="1:11" x14ac:dyDescent="0.35">
      <c r="A204" s="14" t="s">
        <v>857</v>
      </c>
      <c r="B204" s="14" t="s">
        <v>858</v>
      </c>
      <c r="C204" s="14" t="s">
        <v>859</v>
      </c>
      <c r="D204" s="14" t="s">
        <v>107</v>
      </c>
      <c r="E204" s="14" t="s">
        <v>64</v>
      </c>
      <c r="F204" s="14">
        <v>2</v>
      </c>
      <c r="G204" s="14">
        <v>193260</v>
      </c>
      <c r="H204" s="14" t="s">
        <v>81</v>
      </c>
      <c r="I204" s="14" t="s">
        <v>378</v>
      </c>
      <c r="J204" s="14" t="s">
        <v>90</v>
      </c>
      <c r="K204" s="14" t="s">
        <v>860</v>
      </c>
    </row>
    <row r="205" spans="1:11" x14ac:dyDescent="0.35">
      <c r="A205" s="14" t="s">
        <v>861</v>
      </c>
      <c r="B205" s="14" t="s">
        <v>862</v>
      </c>
      <c r="C205" s="14" t="s">
        <v>602</v>
      </c>
      <c r="D205" s="14" t="s">
        <v>94</v>
      </c>
      <c r="E205" s="14" t="s">
        <v>101</v>
      </c>
      <c r="F205" s="14">
        <v>-1</v>
      </c>
      <c r="G205" s="14">
        <v>76430</v>
      </c>
      <c r="H205" s="14">
        <v>5</v>
      </c>
      <c r="I205" s="14" t="s">
        <v>57</v>
      </c>
      <c r="J205" s="14" t="s">
        <v>74</v>
      </c>
      <c r="K205" s="14" t="s">
        <v>863</v>
      </c>
    </row>
    <row r="206" spans="1:11" x14ac:dyDescent="0.35">
      <c r="A206" s="14" t="s">
        <v>864</v>
      </c>
      <c r="B206" s="14" t="s">
        <v>865</v>
      </c>
      <c r="C206" s="14" t="s">
        <v>389</v>
      </c>
      <c r="D206" s="14" t="s">
        <v>207</v>
      </c>
      <c r="E206" s="14" t="s">
        <v>108</v>
      </c>
      <c r="F206" s="14">
        <v>2</v>
      </c>
      <c r="G206" s="14">
        <v>204240</v>
      </c>
      <c r="H206" s="14" t="s">
        <v>81</v>
      </c>
      <c r="I206" s="14" t="s">
        <v>65</v>
      </c>
      <c r="J206" s="14" t="s">
        <v>174</v>
      </c>
      <c r="K206" s="14" t="s">
        <v>866</v>
      </c>
    </row>
    <row r="207" spans="1:11" x14ac:dyDescent="0.35">
      <c r="A207" s="14" t="s">
        <v>867</v>
      </c>
      <c r="B207" s="14" t="s">
        <v>868</v>
      </c>
      <c r="C207" s="14" t="s">
        <v>285</v>
      </c>
      <c r="D207" s="14" t="s">
        <v>112</v>
      </c>
      <c r="E207" s="14" t="s">
        <v>113</v>
      </c>
      <c r="F207" s="14">
        <v>1</v>
      </c>
      <c r="G207" s="14" t="s">
        <v>869</v>
      </c>
      <c r="H207" s="14">
        <v>-5</v>
      </c>
      <c r="I207" s="14" t="s">
        <v>65</v>
      </c>
      <c r="J207" s="14" t="s">
        <v>74</v>
      </c>
      <c r="K207" s="14" t="s">
        <v>870</v>
      </c>
    </row>
    <row r="208" spans="1:11" x14ac:dyDescent="0.35">
      <c r="A208" s="14" t="s">
        <v>871</v>
      </c>
      <c r="B208" s="14" t="s">
        <v>872</v>
      </c>
      <c r="C208" s="14"/>
      <c r="D208" s="14" t="s">
        <v>240</v>
      </c>
      <c r="E208" s="14" t="s">
        <v>101</v>
      </c>
      <c r="F208" s="14">
        <v>0</v>
      </c>
      <c r="G208" s="14">
        <v>86920</v>
      </c>
      <c r="H208" s="14" t="s">
        <v>81</v>
      </c>
      <c r="I208" s="14" t="s">
        <v>95</v>
      </c>
      <c r="J208" s="14" t="s">
        <v>58</v>
      </c>
      <c r="K208" s="14" t="s">
        <v>873</v>
      </c>
    </row>
    <row r="209" spans="1:11" x14ac:dyDescent="0.35">
      <c r="A209" s="14" t="s">
        <v>874</v>
      </c>
      <c r="B209" s="14" t="s">
        <v>875</v>
      </c>
      <c r="C209" s="14" t="s">
        <v>591</v>
      </c>
      <c r="D209" s="14" t="s">
        <v>125</v>
      </c>
      <c r="E209" s="14" t="s">
        <v>56</v>
      </c>
      <c r="F209" s="14">
        <v>1</v>
      </c>
      <c r="G209" s="14">
        <v>43710</v>
      </c>
      <c r="H209" s="14">
        <v>0</v>
      </c>
      <c r="I209" s="14" t="s">
        <v>378</v>
      </c>
      <c r="J209" s="14" t="s">
        <v>74</v>
      </c>
      <c r="K209" s="14" t="s">
        <v>876</v>
      </c>
    </row>
    <row r="210" spans="1:11" x14ac:dyDescent="0.35">
      <c r="A210" s="14" t="s">
        <v>877</v>
      </c>
      <c r="B210" s="14" t="s">
        <v>878</v>
      </c>
      <c r="C210" s="14" t="s">
        <v>70</v>
      </c>
      <c r="D210" s="14" t="s">
        <v>94</v>
      </c>
      <c r="E210" s="14" t="s">
        <v>64</v>
      </c>
      <c r="F210" s="14">
        <v>0</v>
      </c>
      <c r="G210" s="14" t="s">
        <v>879</v>
      </c>
      <c r="H210" s="14">
        <v>0</v>
      </c>
      <c r="I210" s="14" t="s">
        <v>158</v>
      </c>
      <c r="J210" s="14" t="s">
        <v>83</v>
      </c>
      <c r="K210" s="14"/>
    </row>
    <row r="211" spans="1:11" x14ac:dyDescent="0.35">
      <c r="A211" s="14" t="s">
        <v>880</v>
      </c>
      <c r="B211" s="14" t="s">
        <v>881</v>
      </c>
      <c r="C211" s="14" t="s">
        <v>859</v>
      </c>
      <c r="D211" s="14" t="s">
        <v>216</v>
      </c>
      <c r="E211" s="14" t="s">
        <v>101</v>
      </c>
      <c r="F211" s="14">
        <v>0</v>
      </c>
      <c r="G211" s="14" t="s">
        <v>882</v>
      </c>
      <c r="H211" s="14">
        <v>15</v>
      </c>
      <c r="I211" s="14" t="s">
        <v>95</v>
      </c>
      <c r="J211" s="14" t="s">
        <v>74</v>
      </c>
      <c r="K211" s="14" t="s">
        <v>883</v>
      </c>
    </row>
    <row r="212" spans="1:11" x14ac:dyDescent="0.35">
      <c r="A212" s="14" t="s">
        <v>884</v>
      </c>
      <c r="B212" s="14" t="s">
        <v>885</v>
      </c>
      <c r="C212" s="14" t="s">
        <v>267</v>
      </c>
      <c r="D212" s="14" t="s">
        <v>231</v>
      </c>
      <c r="E212" s="14" t="s">
        <v>108</v>
      </c>
      <c r="F212" s="14">
        <v>0</v>
      </c>
      <c r="G212" s="14" t="s">
        <v>886</v>
      </c>
      <c r="H212" s="14">
        <v>15</v>
      </c>
      <c r="I212" s="14" t="s">
        <v>158</v>
      </c>
      <c r="J212" s="14" t="s">
        <v>174</v>
      </c>
      <c r="K212" s="14" t="s">
        <v>887</v>
      </c>
    </row>
    <row r="213" spans="1:11" x14ac:dyDescent="0.35">
      <c r="A213" s="14" t="s">
        <v>888</v>
      </c>
      <c r="B213" s="14" t="s">
        <v>889</v>
      </c>
      <c r="C213" s="14" t="s">
        <v>890</v>
      </c>
      <c r="D213" s="14" t="s">
        <v>240</v>
      </c>
      <c r="E213" s="14" t="s">
        <v>101</v>
      </c>
      <c r="F213" s="14">
        <v>3</v>
      </c>
      <c r="G213" s="14">
        <v>202690</v>
      </c>
      <c r="H213" s="14">
        <v>5</v>
      </c>
      <c r="I213" s="14" t="s">
        <v>89</v>
      </c>
      <c r="J213" s="14" t="s">
        <v>149</v>
      </c>
      <c r="K213" s="14" t="s">
        <v>891</v>
      </c>
    </row>
    <row r="214" spans="1:11" x14ac:dyDescent="0.35">
      <c r="A214" s="14" t="s">
        <v>892</v>
      </c>
      <c r="B214" s="14" t="s">
        <v>893</v>
      </c>
      <c r="C214" s="14" t="s">
        <v>894</v>
      </c>
      <c r="D214" s="14" t="s">
        <v>231</v>
      </c>
      <c r="E214" s="14" t="s">
        <v>108</v>
      </c>
      <c r="F214" s="14">
        <v>-1</v>
      </c>
      <c r="G214" s="14">
        <v>222440</v>
      </c>
      <c r="H214" s="14" t="s">
        <v>81</v>
      </c>
      <c r="I214" s="14" t="s">
        <v>158</v>
      </c>
      <c r="J214" s="14" t="s">
        <v>149</v>
      </c>
      <c r="K214" s="14" t="s">
        <v>895</v>
      </c>
    </row>
    <row r="215" spans="1:11" x14ac:dyDescent="0.35">
      <c r="A215" s="14" t="s">
        <v>896</v>
      </c>
      <c r="B215" s="14" t="s">
        <v>897</v>
      </c>
      <c r="C215" s="14" t="s">
        <v>898</v>
      </c>
      <c r="D215" s="14" t="s">
        <v>107</v>
      </c>
      <c r="E215" s="14" t="s">
        <v>108</v>
      </c>
      <c r="F215" s="14">
        <v>-1</v>
      </c>
      <c r="G215" s="14" t="s">
        <v>899</v>
      </c>
      <c r="H215" s="14">
        <v>0</v>
      </c>
      <c r="I215" s="14" t="s">
        <v>158</v>
      </c>
      <c r="J215" s="14" t="s">
        <v>58</v>
      </c>
      <c r="K215" s="14" t="s">
        <v>900</v>
      </c>
    </row>
    <row r="216" spans="1:11" x14ac:dyDescent="0.35">
      <c r="A216" s="14" t="s">
        <v>901</v>
      </c>
      <c r="B216" s="14" t="s">
        <v>902</v>
      </c>
      <c r="C216" s="14" t="s">
        <v>903</v>
      </c>
      <c r="D216" s="14" t="s">
        <v>463</v>
      </c>
      <c r="E216" s="14" t="s">
        <v>108</v>
      </c>
      <c r="F216" s="14">
        <v>1</v>
      </c>
      <c r="G216" s="14">
        <v>32000</v>
      </c>
      <c r="H216" s="14">
        <v>-5</v>
      </c>
      <c r="I216" s="14" t="s">
        <v>114</v>
      </c>
      <c r="J216" s="14" t="s">
        <v>66</v>
      </c>
      <c r="K216" s="14" t="s">
        <v>904</v>
      </c>
    </row>
    <row r="217" spans="1:11" x14ac:dyDescent="0.35">
      <c r="A217" s="14" t="s">
        <v>905</v>
      </c>
      <c r="B217" s="14" t="s">
        <v>906</v>
      </c>
      <c r="C217" s="14" t="s">
        <v>457</v>
      </c>
      <c r="D217" s="14" t="s">
        <v>463</v>
      </c>
      <c r="E217" s="14" t="s">
        <v>72</v>
      </c>
      <c r="F217" s="14">
        <v>1</v>
      </c>
      <c r="G217" s="14" t="s">
        <v>907</v>
      </c>
      <c r="H217" s="14">
        <v>5</v>
      </c>
      <c r="I217" s="14" t="s">
        <v>73</v>
      </c>
      <c r="J217" s="14" t="s">
        <v>74</v>
      </c>
      <c r="K217" s="14" t="s">
        <v>908</v>
      </c>
    </row>
    <row r="218" spans="1:11" x14ac:dyDescent="0.35">
      <c r="A218" s="14" t="s">
        <v>909</v>
      </c>
      <c r="B218" s="14" t="s">
        <v>910</v>
      </c>
      <c r="C218" s="14" t="s">
        <v>498</v>
      </c>
      <c r="D218" s="14" t="s">
        <v>520</v>
      </c>
      <c r="E218" s="14" t="s">
        <v>80</v>
      </c>
      <c r="F218" s="14">
        <v>2</v>
      </c>
      <c r="G218" s="14" t="s">
        <v>911</v>
      </c>
      <c r="H218" s="14">
        <v>0</v>
      </c>
      <c r="I218" s="14" t="s">
        <v>95</v>
      </c>
      <c r="J218" s="14" t="s">
        <v>83</v>
      </c>
      <c r="K218" s="14" t="s">
        <v>912</v>
      </c>
    </row>
    <row r="219" spans="1:11" x14ac:dyDescent="0.35">
      <c r="A219" s="14" t="s">
        <v>913</v>
      </c>
      <c r="B219" s="14" t="s">
        <v>914</v>
      </c>
      <c r="C219" s="14" t="s">
        <v>915</v>
      </c>
      <c r="D219" s="14" t="s">
        <v>916</v>
      </c>
      <c r="E219" s="14" t="s">
        <v>56</v>
      </c>
      <c r="F219" s="14">
        <v>2</v>
      </c>
      <c r="G219" s="14" t="s">
        <v>917</v>
      </c>
      <c r="H219" s="14">
        <v>0</v>
      </c>
      <c r="I219" s="14" t="s">
        <v>424</v>
      </c>
      <c r="J219" s="14" t="s">
        <v>90</v>
      </c>
      <c r="K219" s="14" t="s">
        <v>918</v>
      </c>
    </row>
    <row r="220" spans="1:11" x14ac:dyDescent="0.35">
      <c r="A220" s="14" t="s">
        <v>919</v>
      </c>
      <c r="B220" s="14" t="s">
        <v>920</v>
      </c>
      <c r="C220" s="14" t="s">
        <v>376</v>
      </c>
      <c r="D220" s="14" t="s">
        <v>100</v>
      </c>
      <c r="E220" s="14" t="s">
        <v>108</v>
      </c>
      <c r="F220" s="14">
        <v>1</v>
      </c>
      <c r="G220" s="14">
        <v>44400</v>
      </c>
      <c r="H220" s="14">
        <v>-5</v>
      </c>
      <c r="I220" s="14" t="s">
        <v>89</v>
      </c>
      <c r="J220" s="14" t="s">
        <v>174</v>
      </c>
      <c r="K220" s="14" t="s">
        <v>921</v>
      </c>
    </row>
    <row r="221" spans="1:11" x14ac:dyDescent="0.35">
      <c r="A221" s="14" t="s">
        <v>922</v>
      </c>
      <c r="B221" s="14" t="s">
        <v>923</v>
      </c>
      <c r="C221" s="14" t="s">
        <v>468</v>
      </c>
      <c r="D221" s="14" t="s">
        <v>192</v>
      </c>
      <c r="E221" s="14" t="s">
        <v>101</v>
      </c>
      <c r="F221" s="14">
        <v>2</v>
      </c>
      <c r="G221" s="14">
        <v>87880</v>
      </c>
      <c r="H221" s="14">
        <v>-5</v>
      </c>
      <c r="I221" s="14" t="s">
        <v>73</v>
      </c>
      <c r="J221" s="14" t="s">
        <v>58</v>
      </c>
      <c r="K221" s="14" t="s">
        <v>924</v>
      </c>
    </row>
    <row r="222" spans="1:11" x14ac:dyDescent="0.35">
      <c r="A222" s="14" t="s">
        <v>925</v>
      </c>
      <c r="B222" s="14" t="s">
        <v>926</v>
      </c>
      <c r="C222" s="14" t="s">
        <v>187</v>
      </c>
      <c r="D222" s="14" t="s">
        <v>112</v>
      </c>
      <c r="E222" s="14" t="s">
        <v>113</v>
      </c>
      <c r="F222" s="14">
        <v>0</v>
      </c>
      <c r="G222" s="14" t="s">
        <v>927</v>
      </c>
      <c r="H222" s="14">
        <v>10</v>
      </c>
      <c r="I222" s="14" t="s">
        <v>73</v>
      </c>
      <c r="J222" s="14" t="s">
        <v>174</v>
      </c>
      <c r="K222" s="14" t="s">
        <v>928</v>
      </c>
    </row>
    <row r="223" spans="1:11" x14ac:dyDescent="0.35">
      <c r="A223" s="14" t="s">
        <v>929</v>
      </c>
      <c r="B223" s="14" t="s">
        <v>930</v>
      </c>
      <c r="C223" s="14" t="s">
        <v>457</v>
      </c>
      <c r="D223" s="14" t="s">
        <v>390</v>
      </c>
      <c r="E223" s="14" t="s">
        <v>113</v>
      </c>
      <c r="F223" s="14">
        <v>1</v>
      </c>
      <c r="G223" s="14">
        <v>229660</v>
      </c>
      <c r="H223" s="14"/>
      <c r="I223" s="14" t="s">
        <v>250</v>
      </c>
      <c r="J223" s="14" t="s">
        <v>58</v>
      </c>
      <c r="K223" s="14" t="s">
        <v>931</v>
      </c>
    </row>
    <row r="224" spans="1:11" x14ac:dyDescent="0.35">
      <c r="A224" s="14" t="s">
        <v>932</v>
      </c>
      <c r="B224" s="14" t="s">
        <v>933</v>
      </c>
      <c r="C224" s="14" t="s">
        <v>352</v>
      </c>
      <c r="D224" s="14" t="s">
        <v>445</v>
      </c>
      <c r="E224" s="14" t="s">
        <v>72</v>
      </c>
      <c r="F224" s="14">
        <v>-1</v>
      </c>
      <c r="G224" s="14" t="s">
        <v>934</v>
      </c>
      <c r="H224" s="14">
        <v>5</v>
      </c>
      <c r="I224" s="14" t="s">
        <v>378</v>
      </c>
      <c r="J224" s="14" t="s">
        <v>74</v>
      </c>
      <c r="K224" s="14" t="s">
        <v>935</v>
      </c>
    </row>
    <row r="225" spans="1:11" x14ac:dyDescent="0.35">
      <c r="A225" s="14" t="s">
        <v>936</v>
      </c>
      <c r="B225" s="14" t="s">
        <v>937</v>
      </c>
      <c r="C225" s="14" t="s">
        <v>534</v>
      </c>
      <c r="D225" s="14" t="s">
        <v>240</v>
      </c>
      <c r="E225" s="14" t="s">
        <v>113</v>
      </c>
      <c r="F225" s="14">
        <v>2</v>
      </c>
      <c r="G225" s="14">
        <v>37580</v>
      </c>
      <c r="H225" s="14">
        <v>-5</v>
      </c>
      <c r="I225" s="14" t="s">
        <v>250</v>
      </c>
      <c r="J225" s="14" t="s">
        <v>174</v>
      </c>
      <c r="K225" s="14" t="s">
        <v>938</v>
      </c>
    </row>
    <row r="226" spans="1:11" x14ac:dyDescent="0.35">
      <c r="A226" s="14" t="s">
        <v>939</v>
      </c>
      <c r="B226" s="14" t="s">
        <v>940</v>
      </c>
      <c r="C226" s="14" t="s">
        <v>439</v>
      </c>
      <c r="D226" s="14" t="s">
        <v>79</v>
      </c>
      <c r="E226" s="14" t="s">
        <v>80</v>
      </c>
      <c r="F226" s="14">
        <v>1</v>
      </c>
      <c r="G226" s="14">
        <v>87220</v>
      </c>
      <c r="H226" s="14">
        <v>5</v>
      </c>
      <c r="I226" s="14" t="s">
        <v>250</v>
      </c>
      <c r="J226" s="14" t="s">
        <v>74</v>
      </c>
      <c r="K226" s="14" t="s">
        <v>941</v>
      </c>
    </row>
    <row r="227" spans="1:11" x14ac:dyDescent="0.35">
      <c r="A227" s="14" t="s">
        <v>942</v>
      </c>
      <c r="B227" s="14" t="s">
        <v>943</v>
      </c>
      <c r="C227" s="14" t="s">
        <v>129</v>
      </c>
      <c r="D227" s="14" t="s">
        <v>550</v>
      </c>
      <c r="E227" s="14" t="s">
        <v>101</v>
      </c>
      <c r="F227" s="14">
        <v>1</v>
      </c>
      <c r="G227" s="14" t="s">
        <v>944</v>
      </c>
      <c r="H227" s="14">
        <v>15</v>
      </c>
      <c r="I227" s="14" t="s">
        <v>121</v>
      </c>
      <c r="J227" s="14" t="s">
        <v>174</v>
      </c>
      <c r="K227" s="14" t="s">
        <v>945</v>
      </c>
    </row>
    <row r="228" spans="1:11" x14ac:dyDescent="0.35">
      <c r="A228" s="14" t="s">
        <v>946</v>
      </c>
      <c r="B228" s="14" t="s">
        <v>947</v>
      </c>
      <c r="C228" s="14" t="s">
        <v>613</v>
      </c>
      <c r="D228" s="14" t="s">
        <v>948</v>
      </c>
      <c r="E228" s="14" t="s">
        <v>113</v>
      </c>
      <c r="F228" s="14">
        <v>2</v>
      </c>
      <c r="G228" s="14" t="s">
        <v>949</v>
      </c>
      <c r="H228" s="14">
        <v>0</v>
      </c>
      <c r="I228" s="14" t="s">
        <v>114</v>
      </c>
      <c r="J228" s="14" t="s">
        <v>90</v>
      </c>
      <c r="K228" s="14"/>
    </row>
    <row r="229" spans="1:11" x14ac:dyDescent="0.35">
      <c r="A229" s="14" t="s">
        <v>950</v>
      </c>
      <c r="B229" s="14" t="s">
        <v>951</v>
      </c>
      <c r="C229" s="14" t="s">
        <v>352</v>
      </c>
      <c r="D229" s="14" t="s">
        <v>435</v>
      </c>
      <c r="E229" s="14" t="s">
        <v>72</v>
      </c>
      <c r="F229" s="14">
        <v>-1</v>
      </c>
      <c r="G229" s="14">
        <v>121900</v>
      </c>
      <c r="H229" s="14">
        <v>0</v>
      </c>
      <c r="I229" s="14" t="s">
        <v>158</v>
      </c>
      <c r="J229" s="14" t="s">
        <v>115</v>
      </c>
      <c r="K229" s="14" t="s">
        <v>952</v>
      </c>
    </row>
    <row r="230" spans="1:11" x14ac:dyDescent="0.35">
      <c r="A230" s="14" t="s">
        <v>953</v>
      </c>
      <c r="B230" s="14" t="s">
        <v>954</v>
      </c>
      <c r="C230" s="14" t="s">
        <v>573</v>
      </c>
      <c r="D230" s="14" t="s">
        <v>432</v>
      </c>
      <c r="E230" s="14" t="s">
        <v>101</v>
      </c>
      <c r="F230" s="14">
        <v>1</v>
      </c>
      <c r="G230" s="14">
        <v>243030</v>
      </c>
      <c r="H230" s="14" t="s">
        <v>81</v>
      </c>
      <c r="I230" s="14" t="s">
        <v>114</v>
      </c>
      <c r="J230" s="14" t="s">
        <v>174</v>
      </c>
      <c r="K230" s="14" t="s">
        <v>955</v>
      </c>
    </row>
    <row r="231" spans="1:11" x14ac:dyDescent="0.35">
      <c r="A231" s="14" t="s">
        <v>956</v>
      </c>
      <c r="B231" s="14" t="s">
        <v>957</v>
      </c>
      <c r="C231" s="14" t="s">
        <v>267</v>
      </c>
      <c r="D231" s="14" t="s">
        <v>125</v>
      </c>
      <c r="E231" s="14" t="s">
        <v>126</v>
      </c>
      <c r="F231" s="14">
        <v>2</v>
      </c>
      <c r="G231" s="14" t="s">
        <v>958</v>
      </c>
      <c r="H231" s="14">
        <v>15</v>
      </c>
      <c r="I231" s="14" t="s">
        <v>121</v>
      </c>
      <c r="J231" s="14" t="s">
        <v>149</v>
      </c>
      <c r="K231" s="14"/>
    </row>
    <row r="232" spans="1:11" x14ac:dyDescent="0.35">
      <c r="A232" s="14" t="s">
        <v>959</v>
      </c>
      <c r="B232" s="14" t="s">
        <v>960</v>
      </c>
      <c r="C232" s="14" t="s">
        <v>898</v>
      </c>
      <c r="D232" s="14" t="s">
        <v>329</v>
      </c>
      <c r="E232" s="14" t="s">
        <v>80</v>
      </c>
      <c r="F232" s="14">
        <v>1</v>
      </c>
      <c r="G232" s="14" t="s">
        <v>961</v>
      </c>
      <c r="H232" s="14">
        <v>0</v>
      </c>
      <c r="I232" s="14" t="s">
        <v>73</v>
      </c>
      <c r="J232" s="14" t="s">
        <v>66</v>
      </c>
      <c r="K232" s="14" t="s">
        <v>962</v>
      </c>
    </row>
    <row r="233" spans="1:11" x14ac:dyDescent="0.35">
      <c r="A233" s="14" t="s">
        <v>963</v>
      </c>
      <c r="B233" s="14" t="s">
        <v>964</v>
      </c>
      <c r="C233" s="14" t="s">
        <v>124</v>
      </c>
      <c r="D233" s="14" t="s">
        <v>240</v>
      </c>
      <c r="E233" s="14" t="s">
        <v>101</v>
      </c>
      <c r="F233" s="14">
        <v>2</v>
      </c>
      <c r="G233" s="14">
        <v>152940</v>
      </c>
      <c r="H233" s="14">
        <v>5</v>
      </c>
      <c r="I233" s="14" t="s">
        <v>378</v>
      </c>
      <c r="J233" s="14" t="s">
        <v>115</v>
      </c>
      <c r="K233" s="14"/>
    </row>
    <row r="234" spans="1:11" x14ac:dyDescent="0.35">
      <c r="A234" s="14" t="s">
        <v>965</v>
      </c>
      <c r="B234" s="14" t="s">
        <v>966</v>
      </c>
      <c r="C234" s="14" t="s">
        <v>967</v>
      </c>
      <c r="D234" s="14" t="s">
        <v>212</v>
      </c>
      <c r="E234" s="14" t="s">
        <v>101</v>
      </c>
      <c r="F234" s="14">
        <v>3</v>
      </c>
      <c r="G234" s="14" t="s">
        <v>968</v>
      </c>
      <c r="H234" s="14">
        <v>0</v>
      </c>
      <c r="I234" s="14" t="s">
        <v>73</v>
      </c>
      <c r="J234" s="14" t="s">
        <v>149</v>
      </c>
      <c r="K234" s="14"/>
    </row>
    <row r="235" spans="1:11" x14ac:dyDescent="0.35">
      <c r="A235" s="14" t="s">
        <v>969</v>
      </c>
      <c r="B235" s="14" t="s">
        <v>970</v>
      </c>
      <c r="C235" s="14" t="s">
        <v>248</v>
      </c>
      <c r="D235" s="14" t="s">
        <v>163</v>
      </c>
      <c r="E235" s="14" t="s">
        <v>108</v>
      </c>
      <c r="F235" s="14">
        <v>1</v>
      </c>
      <c r="G235" s="14">
        <v>70780</v>
      </c>
      <c r="H235" s="14">
        <v>0</v>
      </c>
      <c r="I235" s="14" t="s">
        <v>82</v>
      </c>
      <c r="J235" s="14" t="s">
        <v>149</v>
      </c>
      <c r="K235" s="14"/>
    </row>
    <row r="236" spans="1:11" x14ac:dyDescent="0.35">
      <c r="A236" s="14" t="s">
        <v>971</v>
      </c>
      <c r="B236" s="14" t="s">
        <v>972</v>
      </c>
      <c r="C236" s="14" t="s">
        <v>973</v>
      </c>
      <c r="D236" s="14" t="s">
        <v>167</v>
      </c>
      <c r="E236" s="14" t="s">
        <v>72</v>
      </c>
      <c r="F236" s="14">
        <v>3</v>
      </c>
      <c r="G236" s="14" t="s">
        <v>974</v>
      </c>
      <c r="H236" s="14"/>
      <c r="I236" s="14" t="s">
        <v>73</v>
      </c>
      <c r="J236" s="14" t="s">
        <v>66</v>
      </c>
      <c r="K236" s="14" t="s">
        <v>975</v>
      </c>
    </row>
    <row r="237" spans="1:11" x14ac:dyDescent="0.35">
      <c r="A237" s="14" t="s">
        <v>976</v>
      </c>
      <c r="B237" s="14" t="s">
        <v>977</v>
      </c>
      <c r="C237" s="14" t="s">
        <v>613</v>
      </c>
      <c r="D237" s="14" t="s">
        <v>144</v>
      </c>
      <c r="E237" s="14" t="s">
        <v>101</v>
      </c>
      <c r="F237" s="14">
        <v>-1</v>
      </c>
      <c r="G237" s="14">
        <v>139320</v>
      </c>
      <c r="H237" s="14">
        <v>10</v>
      </c>
      <c r="I237" s="14" t="s">
        <v>57</v>
      </c>
      <c r="J237" s="14" t="s">
        <v>58</v>
      </c>
      <c r="K237" s="14" t="s">
        <v>978</v>
      </c>
    </row>
    <row r="238" spans="1:11" x14ac:dyDescent="0.35">
      <c r="A238" s="14" t="s">
        <v>979</v>
      </c>
      <c r="B238" s="14" t="s">
        <v>980</v>
      </c>
      <c r="C238" s="14" t="s">
        <v>347</v>
      </c>
      <c r="D238" s="14" t="s">
        <v>736</v>
      </c>
      <c r="E238" s="14" t="s">
        <v>108</v>
      </c>
      <c r="F238" s="14">
        <v>0</v>
      </c>
      <c r="G238" s="14" t="s">
        <v>981</v>
      </c>
      <c r="H238" s="14" t="s">
        <v>81</v>
      </c>
      <c r="I238" s="14" t="s">
        <v>73</v>
      </c>
      <c r="J238" s="14" t="s">
        <v>58</v>
      </c>
      <c r="K238" s="14" t="s">
        <v>982</v>
      </c>
    </row>
    <row r="239" spans="1:11" x14ac:dyDescent="0.35">
      <c r="A239" s="14" t="s">
        <v>983</v>
      </c>
      <c r="B239" s="14" t="s">
        <v>984</v>
      </c>
      <c r="C239" s="14" t="s">
        <v>124</v>
      </c>
      <c r="D239" s="14" t="s">
        <v>684</v>
      </c>
      <c r="E239" s="14" t="s">
        <v>101</v>
      </c>
      <c r="F239" s="14">
        <v>1</v>
      </c>
      <c r="G239" s="14" t="s">
        <v>985</v>
      </c>
      <c r="H239" s="14"/>
      <c r="I239" s="14" t="s">
        <v>424</v>
      </c>
      <c r="J239" s="14" t="s">
        <v>74</v>
      </c>
      <c r="K239" s="14" t="s">
        <v>986</v>
      </c>
    </row>
    <row r="240" spans="1:11" x14ac:dyDescent="0.35">
      <c r="A240" s="14" t="s">
        <v>987</v>
      </c>
      <c r="B240" s="14" t="s">
        <v>988</v>
      </c>
      <c r="C240" s="14" t="s">
        <v>314</v>
      </c>
      <c r="D240" s="14" t="s">
        <v>989</v>
      </c>
      <c r="E240" s="14" t="s">
        <v>64</v>
      </c>
      <c r="F240" s="14">
        <v>3</v>
      </c>
      <c r="G240" s="14" t="s">
        <v>990</v>
      </c>
      <c r="H240" s="14">
        <v>5</v>
      </c>
      <c r="I240" s="14" t="s">
        <v>65</v>
      </c>
      <c r="J240" s="14" t="s">
        <v>149</v>
      </c>
      <c r="K240" s="14" t="s">
        <v>991</v>
      </c>
    </row>
    <row r="241" spans="1:11" x14ac:dyDescent="0.35">
      <c r="A241" s="14" t="s">
        <v>992</v>
      </c>
      <c r="B241" s="14" t="s">
        <v>993</v>
      </c>
      <c r="C241" s="14" t="s">
        <v>385</v>
      </c>
      <c r="D241" s="14" t="s">
        <v>55</v>
      </c>
      <c r="E241" s="14" t="s">
        <v>113</v>
      </c>
      <c r="F241" s="14">
        <v>3</v>
      </c>
      <c r="G241" s="14">
        <v>176650</v>
      </c>
      <c r="H241" s="14" t="s">
        <v>81</v>
      </c>
      <c r="I241" s="14" t="s">
        <v>95</v>
      </c>
      <c r="J241" s="14" t="s">
        <v>174</v>
      </c>
      <c r="K241" s="14" t="s">
        <v>994</v>
      </c>
    </row>
    <row r="242" spans="1:11" x14ac:dyDescent="0.35">
      <c r="A242" s="14" t="s">
        <v>995</v>
      </c>
      <c r="B242" s="14" t="s">
        <v>996</v>
      </c>
      <c r="C242" s="14" t="s">
        <v>439</v>
      </c>
      <c r="D242" s="14" t="s">
        <v>167</v>
      </c>
      <c r="E242" s="14" t="s">
        <v>113</v>
      </c>
      <c r="F242" s="14">
        <v>2</v>
      </c>
      <c r="G242" s="14">
        <v>97650</v>
      </c>
      <c r="H242" s="14"/>
      <c r="I242" s="14" t="s">
        <v>250</v>
      </c>
      <c r="J242" s="14" t="s">
        <v>66</v>
      </c>
      <c r="K242" s="14" t="s">
        <v>997</v>
      </c>
    </row>
    <row r="243" spans="1:11" x14ac:dyDescent="0.35">
      <c r="A243" s="14" t="s">
        <v>998</v>
      </c>
      <c r="B243" s="14" t="s">
        <v>999</v>
      </c>
      <c r="C243" s="14" t="s">
        <v>750</v>
      </c>
      <c r="D243" s="14" t="s">
        <v>207</v>
      </c>
      <c r="E243" s="14" t="s">
        <v>72</v>
      </c>
      <c r="F243" s="14">
        <v>1</v>
      </c>
      <c r="G243" s="14">
        <v>25190</v>
      </c>
      <c r="H243" s="14">
        <v>-5</v>
      </c>
      <c r="I243" s="14" t="s">
        <v>95</v>
      </c>
      <c r="J243" s="14" t="s">
        <v>58</v>
      </c>
      <c r="K243" s="14" t="s">
        <v>1000</v>
      </c>
    </row>
    <row r="244" spans="1:11" x14ac:dyDescent="0.35">
      <c r="A244" s="14" t="s">
        <v>1001</v>
      </c>
      <c r="B244" s="14" t="s">
        <v>1002</v>
      </c>
      <c r="C244" s="14" t="s">
        <v>683</v>
      </c>
      <c r="D244" s="14" t="s">
        <v>163</v>
      </c>
      <c r="E244" s="14" t="s">
        <v>113</v>
      </c>
      <c r="F244" s="14">
        <v>2</v>
      </c>
      <c r="G244" s="14" t="s">
        <v>1003</v>
      </c>
      <c r="H244" s="14">
        <v>-5</v>
      </c>
      <c r="I244" s="14" t="s">
        <v>89</v>
      </c>
      <c r="J244" s="14" t="s">
        <v>149</v>
      </c>
      <c r="K244" s="14"/>
    </row>
    <row r="245" spans="1:11" x14ac:dyDescent="0.35">
      <c r="A245" s="14" t="s">
        <v>1004</v>
      </c>
      <c r="B245" s="14" t="s">
        <v>1005</v>
      </c>
      <c r="C245" s="14" t="s">
        <v>1006</v>
      </c>
      <c r="D245" s="14" t="s">
        <v>71</v>
      </c>
      <c r="E245" s="14" t="s">
        <v>72</v>
      </c>
      <c r="F245" s="14">
        <v>3</v>
      </c>
      <c r="G245" s="14">
        <v>243570</v>
      </c>
      <c r="H245" s="14">
        <v>0</v>
      </c>
      <c r="I245" s="14" t="s">
        <v>114</v>
      </c>
      <c r="J245" s="14" t="s">
        <v>149</v>
      </c>
      <c r="K245" s="14"/>
    </row>
    <row r="246" spans="1:11" x14ac:dyDescent="0.35">
      <c r="A246" s="14" t="s">
        <v>1007</v>
      </c>
      <c r="B246" s="14" t="s">
        <v>1008</v>
      </c>
      <c r="C246" s="14" t="s">
        <v>1009</v>
      </c>
      <c r="D246" s="14" t="s">
        <v>550</v>
      </c>
      <c r="E246" s="14" t="s">
        <v>113</v>
      </c>
      <c r="F246" s="14">
        <v>1</v>
      </c>
      <c r="G246" s="14">
        <v>213590</v>
      </c>
      <c r="H246" s="14">
        <v>5</v>
      </c>
      <c r="I246" s="14" t="s">
        <v>114</v>
      </c>
      <c r="J246" s="14" t="s">
        <v>58</v>
      </c>
      <c r="K246" s="14" t="s">
        <v>1010</v>
      </c>
    </row>
    <row r="247" spans="1:11" x14ac:dyDescent="0.35">
      <c r="A247" s="14" t="s">
        <v>1011</v>
      </c>
      <c r="B247" s="14" t="s">
        <v>1012</v>
      </c>
      <c r="C247" s="14" t="s">
        <v>1013</v>
      </c>
      <c r="D247" s="14" t="s">
        <v>916</v>
      </c>
      <c r="E247" s="14" t="s">
        <v>113</v>
      </c>
      <c r="F247" s="14">
        <v>1</v>
      </c>
      <c r="G247" s="14" t="s">
        <v>1014</v>
      </c>
      <c r="H247" s="14" t="s">
        <v>81</v>
      </c>
      <c r="I247" s="14" t="s">
        <v>158</v>
      </c>
      <c r="J247" s="14" t="s">
        <v>74</v>
      </c>
      <c r="K247" s="14" t="s">
        <v>1015</v>
      </c>
    </row>
    <row r="248" spans="1:11" x14ac:dyDescent="0.35">
      <c r="A248" s="14" t="s">
        <v>1016</v>
      </c>
      <c r="B248" s="14" t="s">
        <v>1017</v>
      </c>
      <c r="C248" s="14" t="s">
        <v>1018</v>
      </c>
      <c r="D248" s="14" t="s">
        <v>207</v>
      </c>
      <c r="E248" s="14" t="s">
        <v>113</v>
      </c>
      <c r="F248" s="14">
        <v>2</v>
      </c>
      <c r="G248" s="14" t="s">
        <v>1019</v>
      </c>
      <c r="H248" s="14">
        <v>5</v>
      </c>
      <c r="I248" s="14" t="s">
        <v>95</v>
      </c>
      <c r="J248" s="14" t="s">
        <v>90</v>
      </c>
      <c r="K248" s="14"/>
    </row>
    <row r="249" spans="1:11" x14ac:dyDescent="0.35">
      <c r="A249" s="14" t="s">
        <v>1020</v>
      </c>
      <c r="B249" s="14" t="s">
        <v>1021</v>
      </c>
      <c r="C249" s="14" t="s">
        <v>1006</v>
      </c>
      <c r="D249" s="14" t="s">
        <v>310</v>
      </c>
      <c r="E249" s="14" t="s">
        <v>80</v>
      </c>
      <c r="F249" s="14">
        <v>-1</v>
      </c>
      <c r="G249" s="14">
        <v>188550</v>
      </c>
      <c r="H249" s="14">
        <v>0</v>
      </c>
      <c r="I249" s="14" t="s">
        <v>95</v>
      </c>
      <c r="J249" s="14" t="s">
        <v>58</v>
      </c>
      <c r="K249" s="14" t="s">
        <v>1022</v>
      </c>
    </row>
    <row r="250" spans="1:11" x14ac:dyDescent="0.35">
      <c r="A250" s="14" t="s">
        <v>1023</v>
      </c>
      <c r="B250" s="14" t="s">
        <v>1024</v>
      </c>
      <c r="C250" s="14" t="s">
        <v>1025</v>
      </c>
      <c r="D250" s="14" t="s">
        <v>315</v>
      </c>
      <c r="E250" s="14" t="s">
        <v>126</v>
      </c>
      <c r="F250" s="14">
        <v>1</v>
      </c>
      <c r="G250" s="14">
        <v>237180</v>
      </c>
      <c r="H250" s="14" t="s">
        <v>81</v>
      </c>
      <c r="I250" s="14" t="s">
        <v>121</v>
      </c>
      <c r="J250" s="14" t="s">
        <v>83</v>
      </c>
      <c r="K250" s="14"/>
    </row>
    <row r="251" spans="1:11" x14ac:dyDescent="0.35">
      <c r="A251" s="14" t="s">
        <v>1026</v>
      </c>
      <c r="B251" s="14" t="s">
        <v>1027</v>
      </c>
      <c r="C251" s="14" t="s">
        <v>183</v>
      </c>
      <c r="D251" s="14" t="s">
        <v>520</v>
      </c>
      <c r="E251" s="14" t="s">
        <v>64</v>
      </c>
      <c r="F251" s="14">
        <v>1</v>
      </c>
      <c r="G251" s="14">
        <v>176480</v>
      </c>
      <c r="H251" s="14">
        <v>5</v>
      </c>
      <c r="I251" s="14" t="s">
        <v>121</v>
      </c>
      <c r="J251" s="14" t="s">
        <v>115</v>
      </c>
      <c r="K251" s="14"/>
    </row>
    <row r="252" spans="1:11" x14ac:dyDescent="0.35">
      <c r="A252" s="14" t="s">
        <v>480</v>
      </c>
      <c r="B252" s="14" t="s">
        <v>481</v>
      </c>
      <c r="C252" s="14" t="s">
        <v>347</v>
      </c>
      <c r="D252" s="14" t="s">
        <v>482</v>
      </c>
      <c r="E252" s="14" t="s">
        <v>72</v>
      </c>
      <c r="F252" s="14">
        <v>0</v>
      </c>
      <c r="G252" s="14">
        <v>240450</v>
      </c>
      <c r="H252" s="14">
        <v>5</v>
      </c>
      <c r="I252" s="14" t="s">
        <v>73</v>
      </c>
      <c r="J252" s="14" t="s">
        <v>115</v>
      </c>
      <c r="K252" s="14" t="s">
        <v>483</v>
      </c>
    </row>
    <row r="253" spans="1:11" x14ac:dyDescent="0.35">
      <c r="A253" s="14" t="s">
        <v>1028</v>
      </c>
      <c r="B253" s="14" t="s">
        <v>1029</v>
      </c>
      <c r="C253" s="14" t="s">
        <v>439</v>
      </c>
      <c r="D253" s="14" t="s">
        <v>463</v>
      </c>
      <c r="E253" s="14" t="s">
        <v>126</v>
      </c>
      <c r="F253" s="14">
        <v>2</v>
      </c>
      <c r="G253" s="14" t="s">
        <v>1030</v>
      </c>
      <c r="H253" s="14">
        <v>10</v>
      </c>
      <c r="I253" s="14" t="s">
        <v>158</v>
      </c>
      <c r="J253" s="14" t="s">
        <v>174</v>
      </c>
      <c r="K253" s="14" t="s">
        <v>1031</v>
      </c>
    </row>
    <row r="254" spans="1:11" x14ac:dyDescent="0.35">
      <c r="A254" s="14" t="s">
        <v>1032</v>
      </c>
      <c r="B254" s="14" t="s">
        <v>1033</v>
      </c>
      <c r="C254" s="14" t="s">
        <v>898</v>
      </c>
      <c r="D254" s="14" t="s">
        <v>989</v>
      </c>
      <c r="E254" s="14" t="s">
        <v>64</v>
      </c>
      <c r="F254" s="14">
        <v>1</v>
      </c>
      <c r="G254" s="14">
        <v>211480</v>
      </c>
      <c r="H254" s="14">
        <v>15</v>
      </c>
      <c r="I254" s="14" t="s">
        <v>95</v>
      </c>
      <c r="J254" s="14" t="s">
        <v>90</v>
      </c>
      <c r="K254" s="14"/>
    </row>
    <row r="255" spans="1:11" x14ac:dyDescent="0.35">
      <c r="A255" s="14" t="s">
        <v>1034</v>
      </c>
      <c r="B255" s="14" t="s">
        <v>1035</v>
      </c>
      <c r="C255" s="14" t="s">
        <v>368</v>
      </c>
      <c r="D255" s="14" t="s">
        <v>79</v>
      </c>
      <c r="E255" s="14" t="s">
        <v>108</v>
      </c>
      <c r="F255" s="14">
        <v>1</v>
      </c>
      <c r="G255" s="14" t="s">
        <v>1036</v>
      </c>
      <c r="H255" s="14"/>
      <c r="I255" s="14" t="s">
        <v>250</v>
      </c>
      <c r="J255" s="14" t="s">
        <v>115</v>
      </c>
      <c r="K255" s="14"/>
    </row>
    <row r="256" spans="1:11" x14ac:dyDescent="0.35">
      <c r="A256" s="14" t="s">
        <v>1037</v>
      </c>
      <c r="B256" s="14" t="s">
        <v>1038</v>
      </c>
      <c r="C256" s="14" t="s">
        <v>129</v>
      </c>
      <c r="D256" s="14" t="s">
        <v>144</v>
      </c>
      <c r="E256" s="14" t="s">
        <v>101</v>
      </c>
      <c r="F256" s="14">
        <v>-1</v>
      </c>
      <c r="G256" s="14">
        <v>105740</v>
      </c>
      <c r="H256" s="14">
        <v>5</v>
      </c>
      <c r="I256" s="14" t="s">
        <v>57</v>
      </c>
      <c r="J256" s="14" t="s">
        <v>83</v>
      </c>
      <c r="K256" s="14"/>
    </row>
    <row r="257" spans="1:11" x14ac:dyDescent="0.35">
      <c r="A257" s="14" t="s">
        <v>1039</v>
      </c>
      <c r="B257" s="14" t="s">
        <v>1040</v>
      </c>
      <c r="C257" s="14" t="s">
        <v>206</v>
      </c>
      <c r="D257" s="14" t="s">
        <v>342</v>
      </c>
      <c r="E257" s="14" t="s">
        <v>113</v>
      </c>
      <c r="F257" s="14">
        <v>2</v>
      </c>
      <c r="G257" s="14">
        <v>213080</v>
      </c>
      <c r="H257" s="14"/>
      <c r="I257" s="14" t="s">
        <v>121</v>
      </c>
      <c r="J257" s="14" t="s">
        <v>66</v>
      </c>
      <c r="K257" s="14" t="s">
        <v>1041</v>
      </c>
    </row>
    <row r="258" spans="1:11" x14ac:dyDescent="0.35">
      <c r="A258" s="14" t="s">
        <v>1042</v>
      </c>
      <c r="B258" s="14" t="s">
        <v>1043</v>
      </c>
      <c r="C258" s="14" t="s">
        <v>727</v>
      </c>
      <c r="D258" s="14" t="s">
        <v>989</v>
      </c>
      <c r="E258" s="14" t="s">
        <v>80</v>
      </c>
      <c r="F258" s="14">
        <v>1</v>
      </c>
      <c r="G258" s="14">
        <v>208260</v>
      </c>
      <c r="H258" s="14">
        <v>0</v>
      </c>
      <c r="I258" s="14" t="s">
        <v>121</v>
      </c>
      <c r="J258" s="14" t="s">
        <v>174</v>
      </c>
      <c r="K258" s="14" t="s">
        <v>1044</v>
      </c>
    </row>
    <row r="259" spans="1:11" x14ac:dyDescent="0.35">
      <c r="A259" s="14" t="s">
        <v>1045</v>
      </c>
      <c r="B259" s="14" t="s">
        <v>1046</v>
      </c>
      <c r="C259" s="14" t="s">
        <v>285</v>
      </c>
      <c r="D259" s="14" t="s">
        <v>348</v>
      </c>
      <c r="E259" s="14" t="s">
        <v>101</v>
      </c>
      <c r="F259" s="14">
        <v>1</v>
      </c>
      <c r="G259" s="14" t="s">
        <v>1047</v>
      </c>
      <c r="H259" s="14"/>
      <c r="I259" s="14" t="s">
        <v>378</v>
      </c>
      <c r="J259" s="14" t="s">
        <v>66</v>
      </c>
      <c r="K259" s="14" t="s">
        <v>1048</v>
      </c>
    </row>
    <row r="260" spans="1:11" x14ac:dyDescent="0.35">
      <c r="A260" s="14" t="s">
        <v>1049</v>
      </c>
      <c r="B260" s="14" t="s">
        <v>1050</v>
      </c>
      <c r="C260" s="14" t="s">
        <v>148</v>
      </c>
      <c r="D260" s="14" t="s">
        <v>948</v>
      </c>
      <c r="E260" s="14" t="s">
        <v>64</v>
      </c>
      <c r="F260" s="14">
        <v>3</v>
      </c>
      <c r="G260" s="14">
        <v>173530</v>
      </c>
      <c r="H260" s="14">
        <v>0</v>
      </c>
      <c r="I260" s="14" t="s">
        <v>121</v>
      </c>
      <c r="J260" s="14" t="s">
        <v>74</v>
      </c>
      <c r="K260" s="14" t="s">
        <v>1051</v>
      </c>
    </row>
    <row r="261" spans="1:11" x14ac:dyDescent="0.35">
      <c r="A261" s="14" t="s">
        <v>1052</v>
      </c>
      <c r="B261" s="14" t="s">
        <v>1053</v>
      </c>
      <c r="C261" s="14" t="s">
        <v>143</v>
      </c>
      <c r="D261" s="14" t="s">
        <v>63</v>
      </c>
      <c r="E261" s="14" t="s">
        <v>126</v>
      </c>
      <c r="F261" s="14">
        <v>2</v>
      </c>
      <c r="G261" s="14" t="s">
        <v>1054</v>
      </c>
      <c r="H261" s="14">
        <v>0</v>
      </c>
      <c r="I261" s="14" t="s">
        <v>95</v>
      </c>
      <c r="J261" s="14" t="s">
        <v>66</v>
      </c>
      <c r="K261" s="14" t="s">
        <v>1055</v>
      </c>
    </row>
    <row r="262" spans="1:11" x14ac:dyDescent="0.35">
      <c r="A262" s="14" t="s">
        <v>1056</v>
      </c>
      <c r="B262" s="14" t="s">
        <v>1057</v>
      </c>
      <c r="C262" s="14" t="s">
        <v>1058</v>
      </c>
      <c r="D262" s="14" t="s">
        <v>135</v>
      </c>
      <c r="E262" s="14" t="s">
        <v>113</v>
      </c>
      <c r="F262" s="14">
        <v>1</v>
      </c>
      <c r="G262" s="14" t="s">
        <v>1059</v>
      </c>
      <c r="H262" s="14"/>
      <c r="I262" s="14" t="s">
        <v>121</v>
      </c>
      <c r="J262" s="14" t="s">
        <v>149</v>
      </c>
      <c r="K262" s="14" t="s">
        <v>1060</v>
      </c>
    </row>
    <row r="263" spans="1:11" x14ac:dyDescent="0.35">
      <c r="A263" s="14" t="s">
        <v>1061</v>
      </c>
      <c r="B263" s="14" t="s">
        <v>1062</v>
      </c>
      <c r="C263" s="14" t="s">
        <v>162</v>
      </c>
      <c r="D263" s="14" t="s">
        <v>55</v>
      </c>
      <c r="E263" s="14" t="s">
        <v>113</v>
      </c>
      <c r="F263" s="14">
        <v>-1</v>
      </c>
      <c r="G263" s="14" t="s">
        <v>1063</v>
      </c>
      <c r="H263" s="14">
        <v>10</v>
      </c>
      <c r="I263" s="14" t="s">
        <v>250</v>
      </c>
      <c r="J263" s="14" t="s">
        <v>74</v>
      </c>
      <c r="K263" s="14" t="s">
        <v>1064</v>
      </c>
    </row>
    <row r="264" spans="1:11" x14ac:dyDescent="0.35">
      <c r="A264" s="14" t="s">
        <v>1065</v>
      </c>
      <c r="B264" s="14" t="s">
        <v>1066</v>
      </c>
      <c r="C264" s="14" t="s">
        <v>444</v>
      </c>
      <c r="D264" s="14" t="s">
        <v>264</v>
      </c>
      <c r="E264" s="14" t="s">
        <v>101</v>
      </c>
      <c r="F264" s="14">
        <v>1</v>
      </c>
      <c r="G264" s="14" t="s">
        <v>1067</v>
      </c>
      <c r="H264" s="14">
        <v>10</v>
      </c>
      <c r="I264" s="14" t="s">
        <v>57</v>
      </c>
      <c r="J264" s="14" t="s">
        <v>74</v>
      </c>
      <c r="K264" s="14" t="s">
        <v>1068</v>
      </c>
    </row>
    <row r="265" spans="1:11" x14ac:dyDescent="0.35">
      <c r="A265" s="14" t="s">
        <v>1069</v>
      </c>
      <c r="B265" s="14" t="s">
        <v>1070</v>
      </c>
      <c r="C265" s="14" t="s">
        <v>325</v>
      </c>
      <c r="D265" s="14" t="s">
        <v>342</v>
      </c>
      <c r="E265" s="14" t="s">
        <v>56</v>
      </c>
      <c r="F265" s="14">
        <v>1</v>
      </c>
      <c r="G265" s="14" t="s">
        <v>1071</v>
      </c>
      <c r="H265" s="14"/>
      <c r="I265" s="14" t="s">
        <v>250</v>
      </c>
      <c r="J265" s="14" t="s">
        <v>66</v>
      </c>
      <c r="K265" s="14" t="s">
        <v>1072</v>
      </c>
    </row>
    <row r="266" spans="1:11" x14ac:dyDescent="0.35">
      <c r="A266" s="14" t="s">
        <v>1073</v>
      </c>
      <c r="B266" s="14" t="s">
        <v>1074</v>
      </c>
      <c r="C266" s="14" t="s">
        <v>1075</v>
      </c>
      <c r="D266" s="14" t="s">
        <v>638</v>
      </c>
      <c r="E266" s="14" t="s">
        <v>101</v>
      </c>
      <c r="F266" s="14">
        <v>-1</v>
      </c>
      <c r="G266" s="14" t="s">
        <v>1076</v>
      </c>
      <c r="H266" s="14">
        <v>-5</v>
      </c>
      <c r="I266" s="14" t="s">
        <v>73</v>
      </c>
      <c r="J266" s="14" t="s">
        <v>74</v>
      </c>
      <c r="K266" s="14" t="s">
        <v>1077</v>
      </c>
    </row>
    <row r="267" spans="1:11" x14ac:dyDescent="0.35">
      <c r="A267" s="14" t="s">
        <v>1078</v>
      </c>
      <c r="B267" s="14" t="s">
        <v>1079</v>
      </c>
      <c r="C267" s="14"/>
      <c r="D267" s="14" t="s">
        <v>369</v>
      </c>
      <c r="E267" s="14" t="s">
        <v>108</v>
      </c>
      <c r="F267" s="14">
        <v>3</v>
      </c>
      <c r="G267" s="14">
        <v>208750</v>
      </c>
      <c r="H267" s="14">
        <v>10</v>
      </c>
      <c r="I267" s="14" t="s">
        <v>250</v>
      </c>
      <c r="J267" s="14" t="s">
        <v>115</v>
      </c>
      <c r="K267" s="14"/>
    </row>
    <row r="268" spans="1:11" x14ac:dyDescent="0.35">
      <c r="A268" s="14" t="s">
        <v>1080</v>
      </c>
      <c r="B268" s="14" t="s">
        <v>1081</v>
      </c>
      <c r="C268" s="14" t="s">
        <v>558</v>
      </c>
      <c r="D268" s="14" t="s">
        <v>196</v>
      </c>
      <c r="E268" s="14" t="s">
        <v>126</v>
      </c>
      <c r="F268" s="14">
        <v>2</v>
      </c>
      <c r="G268" s="14" t="s">
        <v>1082</v>
      </c>
      <c r="H268" s="14">
        <v>5</v>
      </c>
      <c r="I268" s="14" t="s">
        <v>424</v>
      </c>
      <c r="J268" s="14" t="s">
        <v>115</v>
      </c>
      <c r="K268" s="14"/>
    </row>
    <row r="269" spans="1:11" x14ac:dyDescent="0.35">
      <c r="A269" s="14" t="s">
        <v>1083</v>
      </c>
      <c r="B269" s="14" t="s">
        <v>1084</v>
      </c>
      <c r="C269" s="14" t="s">
        <v>1085</v>
      </c>
      <c r="D269" s="14" t="s">
        <v>390</v>
      </c>
      <c r="E269" s="14" t="s">
        <v>101</v>
      </c>
      <c r="F269" s="14">
        <v>-1</v>
      </c>
      <c r="G269" s="14">
        <v>164800</v>
      </c>
      <c r="H269" s="14">
        <v>0</v>
      </c>
      <c r="I269" s="14" t="s">
        <v>95</v>
      </c>
      <c r="J269" s="14" t="s">
        <v>174</v>
      </c>
      <c r="K269" s="14" t="s">
        <v>1086</v>
      </c>
    </row>
    <row r="270" spans="1:11" x14ac:dyDescent="0.35">
      <c r="A270" s="14" t="s">
        <v>1087</v>
      </c>
      <c r="B270" s="14" t="s">
        <v>1088</v>
      </c>
      <c r="C270" s="14" t="s">
        <v>1018</v>
      </c>
      <c r="D270" s="14" t="s">
        <v>390</v>
      </c>
      <c r="E270" s="14" t="s">
        <v>126</v>
      </c>
      <c r="F270" s="14">
        <v>3</v>
      </c>
      <c r="G270" s="14">
        <v>77600</v>
      </c>
      <c r="H270" s="14">
        <v>5</v>
      </c>
      <c r="I270" s="14" t="s">
        <v>73</v>
      </c>
      <c r="J270" s="14" t="s">
        <v>115</v>
      </c>
      <c r="K270" s="14"/>
    </row>
    <row r="271" spans="1:11" x14ac:dyDescent="0.35">
      <c r="A271" s="14" t="s">
        <v>1089</v>
      </c>
      <c r="B271" s="14" t="s">
        <v>1090</v>
      </c>
      <c r="C271" s="14" t="s">
        <v>99</v>
      </c>
      <c r="D271" s="14" t="s">
        <v>472</v>
      </c>
      <c r="E271" s="14" t="s">
        <v>72</v>
      </c>
      <c r="F271" s="14">
        <v>2</v>
      </c>
      <c r="G271" s="14">
        <v>17400</v>
      </c>
      <c r="H271" s="14">
        <v>-5</v>
      </c>
      <c r="I271" s="14" t="s">
        <v>57</v>
      </c>
      <c r="J271" s="14" t="s">
        <v>83</v>
      </c>
      <c r="K271" s="14" t="s">
        <v>1091</v>
      </c>
    </row>
    <row r="272" spans="1:11" x14ac:dyDescent="0.35">
      <c r="A272" s="14" t="s">
        <v>1092</v>
      </c>
      <c r="B272" s="14" t="s">
        <v>1093</v>
      </c>
      <c r="C272" s="14" t="s">
        <v>524</v>
      </c>
      <c r="D272" s="14" t="s">
        <v>638</v>
      </c>
      <c r="E272" s="14" t="s">
        <v>113</v>
      </c>
      <c r="F272" s="14">
        <v>2</v>
      </c>
      <c r="G272" s="14">
        <v>54540</v>
      </c>
      <c r="H272" s="14">
        <v>10</v>
      </c>
      <c r="I272" s="14" t="s">
        <v>73</v>
      </c>
      <c r="J272" s="14" t="s">
        <v>74</v>
      </c>
      <c r="K272" s="14" t="s">
        <v>1094</v>
      </c>
    </row>
    <row r="273" spans="1:11" x14ac:dyDescent="0.35">
      <c r="A273" s="14" t="s">
        <v>1095</v>
      </c>
      <c r="B273" s="14" t="s">
        <v>1096</v>
      </c>
      <c r="C273" s="14" t="s">
        <v>1097</v>
      </c>
      <c r="D273" s="14" t="s">
        <v>445</v>
      </c>
      <c r="E273" s="14" t="s">
        <v>126</v>
      </c>
      <c r="F273" s="14">
        <v>1</v>
      </c>
      <c r="G273" s="14">
        <v>9420</v>
      </c>
      <c r="H273" s="14" t="s">
        <v>81</v>
      </c>
      <c r="I273" s="14" t="s">
        <v>57</v>
      </c>
      <c r="J273" s="14" t="s">
        <v>58</v>
      </c>
      <c r="K273" s="14" t="s">
        <v>1098</v>
      </c>
    </row>
    <row r="274" spans="1:11" x14ac:dyDescent="0.35">
      <c r="A274" s="14" t="s">
        <v>1099</v>
      </c>
      <c r="B274" s="14" t="s">
        <v>1100</v>
      </c>
      <c r="C274" s="14" t="s">
        <v>524</v>
      </c>
      <c r="D274" s="14" t="s">
        <v>684</v>
      </c>
      <c r="E274" s="14" t="s">
        <v>101</v>
      </c>
      <c r="F274" s="14">
        <v>0</v>
      </c>
      <c r="G274" s="14">
        <v>188340</v>
      </c>
      <c r="H274" s="14">
        <v>0</v>
      </c>
      <c r="I274" s="14" t="s">
        <v>89</v>
      </c>
      <c r="J274" s="14" t="s">
        <v>58</v>
      </c>
      <c r="K274" s="14" t="s">
        <v>1101</v>
      </c>
    </row>
    <row r="275" spans="1:11" x14ac:dyDescent="0.35">
      <c r="A275" s="14" t="s">
        <v>1102</v>
      </c>
      <c r="B275" s="14" t="s">
        <v>1103</v>
      </c>
      <c r="C275" s="14" t="s">
        <v>385</v>
      </c>
      <c r="D275" s="14" t="s">
        <v>88</v>
      </c>
      <c r="E275" s="14" t="s">
        <v>108</v>
      </c>
      <c r="F275" s="14">
        <v>2</v>
      </c>
      <c r="G275" s="14">
        <v>59670</v>
      </c>
      <c r="H275" s="14">
        <v>-5</v>
      </c>
      <c r="I275" s="14" t="s">
        <v>57</v>
      </c>
      <c r="J275" s="14" t="s">
        <v>90</v>
      </c>
      <c r="K275" s="14"/>
    </row>
    <row r="276" spans="1:11" x14ac:dyDescent="0.35">
      <c r="A276" s="14" t="s">
        <v>1104</v>
      </c>
      <c r="B276" s="14" t="s">
        <v>1105</v>
      </c>
      <c r="C276" s="14" t="s">
        <v>799</v>
      </c>
      <c r="D276" s="14" t="s">
        <v>435</v>
      </c>
      <c r="E276" s="14" t="s">
        <v>101</v>
      </c>
      <c r="F276" s="14">
        <v>1</v>
      </c>
      <c r="G276" s="14">
        <v>44920</v>
      </c>
      <c r="H276" s="14"/>
      <c r="I276" s="14" t="s">
        <v>95</v>
      </c>
      <c r="J276" s="14" t="s">
        <v>74</v>
      </c>
      <c r="K276" s="14" t="s">
        <v>1106</v>
      </c>
    </row>
    <row r="277" spans="1:11" x14ac:dyDescent="0.35">
      <c r="A277" s="14" t="s">
        <v>1107</v>
      </c>
      <c r="B277" s="14" t="s">
        <v>1108</v>
      </c>
      <c r="C277" s="14" t="s">
        <v>294</v>
      </c>
      <c r="D277" s="14" t="s">
        <v>295</v>
      </c>
      <c r="E277" s="14" t="s">
        <v>126</v>
      </c>
      <c r="F277" s="14">
        <v>1</v>
      </c>
      <c r="G277" s="14">
        <v>180560</v>
      </c>
      <c r="H277" s="14" t="s">
        <v>81</v>
      </c>
      <c r="I277" s="14" t="s">
        <v>378</v>
      </c>
      <c r="J277" s="14" t="s">
        <v>66</v>
      </c>
      <c r="K277" s="14" t="s">
        <v>1109</v>
      </c>
    </row>
    <row r="278" spans="1:11" x14ac:dyDescent="0.35">
      <c r="A278" s="14" t="s">
        <v>1110</v>
      </c>
      <c r="B278" s="14" t="s">
        <v>1111</v>
      </c>
      <c r="C278" s="14" t="s">
        <v>254</v>
      </c>
      <c r="D278" s="14" t="s">
        <v>329</v>
      </c>
      <c r="E278" s="14" t="s">
        <v>126</v>
      </c>
      <c r="F278" s="14">
        <v>2</v>
      </c>
      <c r="G278" s="14">
        <v>74030</v>
      </c>
      <c r="H278" s="14">
        <v>15</v>
      </c>
      <c r="I278" s="14" t="s">
        <v>250</v>
      </c>
      <c r="J278" s="14" t="s">
        <v>149</v>
      </c>
      <c r="K278" s="14"/>
    </row>
    <row r="279" spans="1:11" x14ac:dyDescent="0.35">
      <c r="A279" s="14" t="s">
        <v>1112</v>
      </c>
      <c r="B279" s="14" t="s">
        <v>1113</v>
      </c>
      <c r="C279" s="14" t="s">
        <v>347</v>
      </c>
      <c r="D279" s="14" t="s">
        <v>638</v>
      </c>
      <c r="E279" s="14" t="s">
        <v>72</v>
      </c>
      <c r="F279" s="14">
        <v>1</v>
      </c>
      <c r="G279" s="14" t="s">
        <v>1114</v>
      </c>
      <c r="H279" s="14"/>
      <c r="I279" s="14" t="s">
        <v>424</v>
      </c>
      <c r="J279" s="14" t="s">
        <v>90</v>
      </c>
      <c r="K279" s="14"/>
    </row>
    <row r="280" spans="1:11" x14ac:dyDescent="0.35">
      <c r="A280" s="14" t="s">
        <v>1115</v>
      </c>
      <c r="B280" s="14" t="s">
        <v>1116</v>
      </c>
      <c r="C280" s="14" t="s">
        <v>54</v>
      </c>
      <c r="D280" s="14" t="s">
        <v>482</v>
      </c>
      <c r="E280" s="14" t="s">
        <v>101</v>
      </c>
      <c r="F280" s="14">
        <v>1</v>
      </c>
      <c r="G280" s="14" t="s">
        <v>1117</v>
      </c>
      <c r="H280" s="14">
        <v>5</v>
      </c>
      <c r="I280" s="14" t="s">
        <v>73</v>
      </c>
      <c r="J280" s="14" t="s">
        <v>58</v>
      </c>
      <c r="K280" s="14" t="s">
        <v>1118</v>
      </c>
    </row>
    <row r="281" spans="1:11" x14ac:dyDescent="0.35">
      <c r="A281" s="14" t="s">
        <v>1119</v>
      </c>
      <c r="B281" s="14" t="s">
        <v>1120</v>
      </c>
      <c r="C281" s="14" t="s">
        <v>234</v>
      </c>
      <c r="D281" s="14" t="s">
        <v>329</v>
      </c>
      <c r="E281" s="14" t="s">
        <v>72</v>
      </c>
      <c r="F281" s="14">
        <v>1</v>
      </c>
      <c r="G281" s="14" t="s">
        <v>1121</v>
      </c>
      <c r="H281" s="14" t="s">
        <v>81</v>
      </c>
      <c r="I281" s="14" t="s">
        <v>378</v>
      </c>
      <c r="J281" s="14" t="s">
        <v>66</v>
      </c>
      <c r="K281" s="14" t="s">
        <v>1122</v>
      </c>
    </row>
    <row r="282" spans="1:11" x14ac:dyDescent="0.35">
      <c r="A282" s="14" t="s">
        <v>1123</v>
      </c>
      <c r="B282" s="14" t="s">
        <v>1124</v>
      </c>
      <c r="C282" s="14" t="s">
        <v>504</v>
      </c>
      <c r="D282" s="14" t="s">
        <v>482</v>
      </c>
      <c r="E282" s="14" t="s">
        <v>126</v>
      </c>
      <c r="F282" s="14">
        <v>2</v>
      </c>
      <c r="G282" s="14" t="s">
        <v>1125</v>
      </c>
      <c r="H282" s="14">
        <v>5</v>
      </c>
      <c r="I282" s="14" t="s">
        <v>57</v>
      </c>
      <c r="J282" s="14" t="s">
        <v>83</v>
      </c>
      <c r="K282" s="14"/>
    </row>
    <row r="283" spans="1:11" x14ac:dyDescent="0.35">
      <c r="A283" s="14" t="s">
        <v>1126</v>
      </c>
      <c r="B283" s="14" t="s">
        <v>1100</v>
      </c>
      <c r="C283" s="14" t="s">
        <v>400</v>
      </c>
      <c r="D283" s="14" t="s">
        <v>463</v>
      </c>
      <c r="E283" s="14" t="s">
        <v>108</v>
      </c>
      <c r="F283" s="14">
        <v>1</v>
      </c>
      <c r="G283" s="14">
        <v>154200</v>
      </c>
      <c r="H283" s="14">
        <v>0</v>
      </c>
      <c r="I283" s="14" t="s">
        <v>73</v>
      </c>
      <c r="J283" s="14" t="s">
        <v>83</v>
      </c>
      <c r="K283" s="14"/>
    </row>
    <row r="284" spans="1:11" x14ac:dyDescent="0.35">
      <c r="A284" s="14" t="s">
        <v>1127</v>
      </c>
      <c r="B284" s="14" t="s">
        <v>1128</v>
      </c>
      <c r="C284" s="14"/>
      <c r="D284" s="14" t="s">
        <v>418</v>
      </c>
      <c r="E284" s="14" t="s">
        <v>113</v>
      </c>
      <c r="F284" s="14">
        <v>3</v>
      </c>
      <c r="G284" s="14">
        <v>242560</v>
      </c>
      <c r="H284" s="14">
        <v>-5</v>
      </c>
      <c r="I284" s="14" t="s">
        <v>65</v>
      </c>
      <c r="J284" s="14" t="s">
        <v>149</v>
      </c>
      <c r="K284" s="14" t="s">
        <v>1129</v>
      </c>
    </row>
    <row r="285" spans="1:11" x14ac:dyDescent="0.35">
      <c r="A285" s="14" t="s">
        <v>1130</v>
      </c>
      <c r="B285" s="14" t="s">
        <v>1131</v>
      </c>
      <c r="C285" s="14" t="s">
        <v>333</v>
      </c>
      <c r="D285" s="14" t="s">
        <v>179</v>
      </c>
      <c r="E285" s="14" t="s">
        <v>126</v>
      </c>
      <c r="F285" s="14">
        <v>0</v>
      </c>
      <c r="G285" s="14">
        <v>54860</v>
      </c>
      <c r="H285" s="14">
        <v>0</v>
      </c>
      <c r="I285" s="14" t="s">
        <v>82</v>
      </c>
      <c r="J285" s="14" t="s">
        <v>115</v>
      </c>
      <c r="K285" s="14" t="s">
        <v>1132</v>
      </c>
    </row>
    <row r="286" spans="1:11" x14ac:dyDescent="0.35">
      <c r="A286" s="14" t="s">
        <v>1133</v>
      </c>
      <c r="B286" s="14" t="s">
        <v>1134</v>
      </c>
      <c r="C286" s="14" t="s">
        <v>661</v>
      </c>
      <c r="D286" s="14" t="s">
        <v>445</v>
      </c>
      <c r="E286" s="14" t="s">
        <v>80</v>
      </c>
      <c r="F286" s="14">
        <v>0</v>
      </c>
      <c r="G286" s="14" t="s">
        <v>1135</v>
      </c>
      <c r="H286" s="14">
        <v>-5</v>
      </c>
      <c r="I286" s="14" t="s">
        <v>82</v>
      </c>
      <c r="J286" s="14" t="s">
        <v>58</v>
      </c>
      <c r="K286" s="14" t="s">
        <v>1136</v>
      </c>
    </row>
    <row r="287" spans="1:11" x14ac:dyDescent="0.35">
      <c r="A287" s="14" t="s">
        <v>1137</v>
      </c>
      <c r="B287" s="14" t="s">
        <v>1138</v>
      </c>
      <c r="C287" s="14" t="s">
        <v>457</v>
      </c>
      <c r="D287" s="14" t="s">
        <v>154</v>
      </c>
      <c r="E287" s="14" t="s">
        <v>101</v>
      </c>
      <c r="F287" s="14">
        <v>1</v>
      </c>
      <c r="G287" s="14">
        <v>237400</v>
      </c>
      <c r="H287" s="14"/>
      <c r="I287" s="14" t="s">
        <v>95</v>
      </c>
      <c r="J287" s="14" t="s">
        <v>90</v>
      </c>
      <c r="K287" s="14" t="s">
        <v>1139</v>
      </c>
    </row>
    <row r="288" spans="1:11" x14ac:dyDescent="0.35">
      <c r="A288" s="14" t="s">
        <v>1140</v>
      </c>
      <c r="B288" s="14" t="s">
        <v>1141</v>
      </c>
      <c r="C288" s="14" t="s">
        <v>1142</v>
      </c>
      <c r="D288" s="14" t="s">
        <v>684</v>
      </c>
      <c r="E288" s="14" t="s">
        <v>113</v>
      </c>
      <c r="F288" s="14">
        <v>1</v>
      </c>
      <c r="G288" s="14">
        <v>51730</v>
      </c>
      <c r="H288" s="14">
        <v>-5</v>
      </c>
      <c r="I288" s="14" t="s">
        <v>250</v>
      </c>
      <c r="J288" s="14" t="s">
        <v>83</v>
      </c>
      <c r="K288" s="14"/>
    </row>
    <row r="289" spans="1:11" x14ac:dyDescent="0.35">
      <c r="A289" s="14" t="s">
        <v>1143</v>
      </c>
      <c r="B289" s="14" t="s">
        <v>1144</v>
      </c>
      <c r="C289" s="14" t="s">
        <v>203</v>
      </c>
      <c r="D289" s="14" t="s">
        <v>120</v>
      </c>
      <c r="E289" s="14" t="s">
        <v>80</v>
      </c>
      <c r="F289" s="14">
        <v>0</v>
      </c>
      <c r="G289" s="14">
        <v>115980</v>
      </c>
      <c r="H289" s="14">
        <v>-5</v>
      </c>
      <c r="I289" s="14" t="s">
        <v>95</v>
      </c>
      <c r="J289" s="14" t="s">
        <v>174</v>
      </c>
      <c r="K289" s="14" t="s">
        <v>1145</v>
      </c>
    </row>
    <row r="290" spans="1:11" x14ac:dyDescent="0.35">
      <c r="A290" s="14" t="s">
        <v>1146</v>
      </c>
      <c r="B290" s="14" t="s">
        <v>1147</v>
      </c>
      <c r="C290" s="14" t="s">
        <v>758</v>
      </c>
      <c r="D290" s="14" t="s">
        <v>445</v>
      </c>
      <c r="E290" s="14" t="s">
        <v>72</v>
      </c>
      <c r="F290" s="14">
        <v>2</v>
      </c>
      <c r="G290" s="14">
        <v>214770</v>
      </c>
      <c r="H290" s="14">
        <v>-5</v>
      </c>
      <c r="I290" s="14" t="s">
        <v>73</v>
      </c>
      <c r="J290" s="14" t="s">
        <v>115</v>
      </c>
      <c r="K290" s="14" t="s">
        <v>1148</v>
      </c>
    </row>
    <row r="291" spans="1:11" x14ac:dyDescent="0.35">
      <c r="A291" s="14" t="s">
        <v>1149</v>
      </c>
      <c r="B291" s="14" t="s">
        <v>1150</v>
      </c>
      <c r="C291" s="14" t="s">
        <v>768</v>
      </c>
      <c r="D291" s="14" t="s">
        <v>310</v>
      </c>
      <c r="E291" s="14" t="s">
        <v>101</v>
      </c>
      <c r="F291" s="14">
        <v>1</v>
      </c>
      <c r="G291" s="14">
        <v>101510</v>
      </c>
      <c r="H291" s="14">
        <v>-5</v>
      </c>
      <c r="I291" s="14" t="s">
        <v>95</v>
      </c>
      <c r="J291" s="14" t="s">
        <v>174</v>
      </c>
      <c r="K291" s="14" t="s">
        <v>1151</v>
      </c>
    </row>
    <row r="292" spans="1:11" x14ac:dyDescent="0.35">
      <c r="A292" s="14" t="s">
        <v>1152</v>
      </c>
      <c r="B292" s="14" t="s">
        <v>1153</v>
      </c>
      <c r="C292" s="14" t="s">
        <v>462</v>
      </c>
      <c r="D292" s="14" t="s">
        <v>88</v>
      </c>
      <c r="E292" s="14" t="s">
        <v>72</v>
      </c>
      <c r="F292" s="14">
        <v>3</v>
      </c>
      <c r="G292" s="14" t="s">
        <v>1154</v>
      </c>
      <c r="H292" s="14"/>
      <c r="I292" s="14" t="s">
        <v>378</v>
      </c>
      <c r="J292" s="14" t="s">
        <v>83</v>
      </c>
      <c r="K292" s="14"/>
    </row>
    <row r="293" spans="1:11" x14ac:dyDescent="0.35">
      <c r="A293" s="14" t="s">
        <v>1155</v>
      </c>
      <c r="B293" s="14" t="s">
        <v>1156</v>
      </c>
      <c r="C293" s="14" t="s">
        <v>859</v>
      </c>
      <c r="D293" s="14" t="s">
        <v>472</v>
      </c>
      <c r="E293" s="14" t="s">
        <v>56</v>
      </c>
      <c r="F293" s="14">
        <v>1</v>
      </c>
      <c r="G293" s="14">
        <v>226280</v>
      </c>
      <c r="H293" s="14">
        <v>0</v>
      </c>
      <c r="I293" s="14" t="s">
        <v>158</v>
      </c>
      <c r="J293" s="14" t="s">
        <v>58</v>
      </c>
      <c r="K293" s="14" t="s">
        <v>1157</v>
      </c>
    </row>
    <row r="294" spans="1:11" x14ac:dyDescent="0.35">
      <c r="A294" s="14" t="s">
        <v>1158</v>
      </c>
      <c r="B294" s="14" t="s">
        <v>1159</v>
      </c>
      <c r="C294" s="14"/>
      <c r="D294" s="14" t="s">
        <v>63</v>
      </c>
      <c r="E294" s="14" t="s">
        <v>72</v>
      </c>
      <c r="F294" s="14">
        <v>1</v>
      </c>
      <c r="G294" s="14">
        <v>89440</v>
      </c>
      <c r="H294" s="14">
        <v>-5</v>
      </c>
      <c r="I294" s="14" t="s">
        <v>95</v>
      </c>
      <c r="J294" s="14" t="s">
        <v>66</v>
      </c>
      <c r="K294" s="14" t="s">
        <v>1160</v>
      </c>
    </row>
    <row r="295" spans="1:11" x14ac:dyDescent="0.35">
      <c r="A295" s="14" t="s">
        <v>1161</v>
      </c>
      <c r="B295" s="14" t="s">
        <v>1162</v>
      </c>
      <c r="C295" s="14" t="s">
        <v>753</v>
      </c>
      <c r="D295" s="14" t="s">
        <v>736</v>
      </c>
      <c r="E295" s="14" t="s">
        <v>126</v>
      </c>
      <c r="F295" s="14">
        <v>2</v>
      </c>
      <c r="G295" s="14">
        <v>185450</v>
      </c>
      <c r="H295" s="14">
        <v>5</v>
      </c>
      <c r="I295" s="14" t="s">
        <v>121</v>
      </c>
      <c r="J295" s="14" t="s">
        <v>115</v>
      </c>
      <c r="K295" s="14" t="s">
        <v>1163</v>
      </c>
    </row>
    <row r="296" spans="1:11" x14ac:dyDescent="0.35">
      <c r="A296" s="14" t="s">
        <v>1164</v>
      </c>
      <c r="B296" s="14" t="s">
        <v>1165</v>
      </c>
      <c r="C296" s="14" t="s">
        <v>414</v>
      </c>
      <c r="D296" s="14" t="s">
        <v>418</v>
      </c>
      <c r="E296" s="14" t="s">
        <v>72</v>
      </c>
      <c r="F296" s="14">
        <v>1</v>
      </c>
      <c r="G296" s="14" t="s">
        <v>1166</v>
      </c>
      <c r="H296" s="14"/>
      <c r="I296" s="14" t="s">
        <v>378</v>
      </c>
      <c r="J296" s="14" t="s">
        <v>66</v>
      </c>
      <c r="K296" s="14" t="s">
        <v>1167</v>
      </c>
    </row>
    <row r="297" spans="1:11" x14ac:dyDescent="0.35">
      <c r="A297" s="14" t="s">
        <v>1168</v>
      </c>
      <c r="B297" s="14" t="s">
        <v>1169</v>
      </c>
      <c r="C297" s="14" t="s">
        <v>903</v>
      </c>
      <c r="D297" s="14" t="s">
        <v>196</v>
      </c>
      <c r="E297" s="14" t="s">
        <v>101</v>
      </c>
      <c r="F297" s="14">
        <v>1</v>
      </c>
      <c r="G297" s="14">
        <v>44550</v>
      </c>
      <c r="H297" s="14" t="s">
        <v>81</v>
      </c>
      <c r="I297" s="14" t="s">
        <v>424</v>
      </c>
      <c r="J297" s="14" t="s">
        <v>83</v>
      </c>
      <c r="K297" s="14"/>
    </row>
    <row r="298" spans="1:11" x14ac:dyDescent="0.35">
      <c r="A298" s="14" t="s">
        <v>1170</v>
      </c>
      <c r="B298" s="14" t="s">
        <v>1171</v>
      </c>
      <c r="C298" s="14"/>
      <c r="D298" s="14" t="s">
        <v>315</v>
      </c>
      <c r="E298" s="14" t="s">
        <v>101</v>
      </c>
      <c r="F298" s="14">
        <v>1</v>
      </c>
      <c r="G298" s="14">
        <v>67290</v>
      </c>
      <c r="H298" s="14">
        <v>-5</v>
      </c>
      <c r="I298" s="14" t="s">
        <v>114</v>
      </c>
      <c r="J298" s="14" t="s">
        <v>74</v>
      </c>
      <c r="K298" s="14" t="s">
        <v>1172</v>
      </c>
    </row>
    <row r="299" spans="1:11" x14ac:dyDescent="0.35">
      <c r="A299" s="14" t="s">
        <v>1173</v>
      </c>
      <c r="B299" s="14" t="s">
        <v>1174</v>
      </c>
      <c r="C299" s="14" t="s">
        <v>347</v>
      </c>
      <c r="D299" s="14" t="s">
        <v>684</v>
      </c>
      <c r="E299" s="14" t="s">
        <v>101</v>
      </c>
      <c r="F299" s="14">
        <v>-1</v>
      </c>
      <c r="G299" s="14" t="s">
        <v>1175</v>
      </c>
      <c r="H299" s="14">
        <v>-5</v>
      </c>
      <c r="I299" s="14" t="s">
        <v>73</v>
      </c>
      <c r="J299" s="14" t="s">
        <v>174</v>
      </c>
      <c r="K299" s="14" t="s">
        <v>1176</v>
      </c>
    </row>
    <row r="300" spans="1:11" x14ac:dyDescent="0.35">
      <c r="A300" s="14" t="s">
        <v>1177</v>
      </c>
      <c r="B300" s="14" t="s">
        <v>1178</v>
      </c>
      <c r="C300" s="14" t="s">
        <v>124</v>
      </c>
      <c r="D300" s="14" t="s">
        <v>482</v>
      </c>
      <c r="E300" s="14" t="s">
        <v>56</v>
      </c>
      <c r="F300" s="14">
        <v>1</v>
      </c>
      <c r="G300" s="14" t="s">
        <v>1179</v>
      </c>
      <c r="H300" s="14">
        <v>0</v>
      </c>
      <c r="I300" s="14" t="s">
        <v>378</v>
      </c>
      <c r="J300" s="14" t="s">
        <v>115</v>
      </c>
      <c r="K300" s="14"/>
    </row>
    <row r="301" spans="1:11" x14ac:dyDescent="0.35">
      <c r="A301" s="14" t="s">
        <v>1180</v>
      </c>
      <c r="B301" s="14" t="s">
        <v>1181</v>
      </c>
      <c r="C301" s="14" t="s">
        <v>294</v>
      </c>
      <c r="D301" s="14" t="s">
        <v>167</v>
      </c>
      <c r="E301" s="14" t="s">
        <v>113</v>
      </c>
      <c r="F301" s="14">
        <v>0</v>
      </c>
      <c r="G301" s="14" t="s">
        <v>1182</v>
      </c>
      <c r="H301" s="14"/>
      <c r="I301" s="14" t="s">
        <v>121</v>
      </c>
      <c r="J301" s="14" t="s">
        <v>74</v>
      </c>
      <c r="K301" s="14" t="s">
        <v>1183</v>
      </c>
    </row>
    <row r="302" spans="1:11" x14ac:dyDescent="0.35">
      <c r="A302" s="14" t="s">
        <v>1184</v>
      </c>
      <c r="B302" s="14" t="s">
        <v>1185</v>
      </c>
      <c r="C302" s="14" t="s">
        <v>674</v>
      </c>
      <c r="D302" s="14" t="s">
        <v>576</v>
      </c>
      <c r="E302" s="14" t="s">
        <v>80</v>
      </c>
      <c r="F302" s="14">
        <v>1</v>
      </c>
      <c r="G302" s="14">
        <v>181880</v>
      </c>
      <c r="H302" s="14" t="s">
        <v>81</v>
      </c>
      <c r="I302" s="14" t="s">
        <v>95</v>
      </c>
      <c r="J302" s="14" t="s">
        <v>83</v>
      </c>
      <c r="K302" s="14" t="s">
        <v>1186</v>
      </c>
    </row>
    <row r="303" spans="1:11" x14ac:dyDescent="0.35">
      <c r="A303" s="14" t="s">
        <v>1187</v>
      </c>
      <c r="B303" s="14" t="s">
        <v>1188</v>
      </c>
      <c r="C303" s="14" t="s">
        <v>347</v>
      </c>
      <c r="D303" s="14" t="s">
        <v>463</v>
      </c>
      <c r="E303" s="14" t="s">
        <v>56</v>
      </c>
      <c r="F303" s="14">
        <v>2</v>
      </c>
      <c r="G303" s="14">
        <v>188710</v>
      </c>
      <c r="H303" s="14">
        <v>-5</v>
      </c>
      <c r="I303" s="14" t="s">
        <v>268</v>
      </c>
      <c r="J303" s="14" t="s">
        <v>90</v>
      </c>
      <c r="K303" s="14" t="s">
        <v>1189</v>
      </c>
    </row>
    <row r="304" spans="1:11" x14ac:dyDescent="0.35">
      <c r="A304" s="14" t="s">
        <v>1190</v>
      </c>
      <c r="B304" s="14" t="s">
        <v>1191</v>
      </c>
      <c r="C304" s="14" t="s">
        <v>301</v>
      </c>
      <c r="D304" s="14" t="s">
        <v>529</v>
      </c>
      <c r="E304" s="14" t="s">
        <v>101</v>
      </c>
      <c r="F304" s="14">
        <v>1</v>
      </c>
      <c r="G304" s="14">
        <v>244900</v>
      </c>
      <c r="H304" s="14">
        <v>0</v>
      </c>
      <c r="I304" s="14" t="s">
        <v>73</v>
      </c>
      <c r="J304" s="14" t="s">
        <v>83</v>
      </c>
      <c r="K304" s="14" t="s">
        <v>1192</v>
      </c>
    </row>
    <row r="305" spans="1:11" x14ac:dyDescent="0.35">
      <c r="A305" s="14" t="s">
        <v>1193</v>
      </c>
      <c r="B305" s="14" t="s">
        <v>1194</v>
      </c>
      <c r="C305" s="14" t="s">
        <v>294</v>
      </c>
      <c r="D305" s="14" t="s">
        <v>144</v>
      </c>
      <c r="E305" s="14" t="s">
        <v>126</v>
      </c>
      <c r="F305" s="14">
        <v>0</v>
      </c>
      <c r="G305" s="14">
        <v>166330</v>
      </c>
      <c r="H305" s="14">
        <v>15</v>
      </c>
      <c r="I305" s="14" t="s">
        <v>250</v>
      </c>
      <c r="J305" s="14" t="s">
        <v>83</v>
      </c>
      <c r="K305" s="14"/>
    </row>
    <row r="306" spans="1:11" x14ac:dyDescent="0.35">
      <c r="A306" s="14" t="s">
        <v>1195</v>
      </c>
      <c r="B306" s="14" t="s">
        <v>1196</v>
      </c>
      <c r="C306" s="14" t="s">
        <v>124</v>
      </c>
      <c r="D306" s="14" t="s">
        <v>315</v>
      </c>
      <c r="E306" s="14" t="s">
        <v>113</v>
      </c>
      <c r="F306" s="14">
        <v>1</v>
      </c>
      <c r="G306" s="14">
        <v>57210</v>
      </c>
      <c r="H306" s="14">
        <v>10</v>
      </c>
      <c r="I306" s="14" t="s">
        <v>89</v>
      </c>
      <c r="J306" s="14" t="s">
        <v>149</v>
      </c>
      <c r="K306" s="14"/>
    </row>
    <row r="307" spans="1:11" x14ac:dyDescent="0.35">
      <c r="A307" s="14" t="s">
        <v>1197</v>
      </c>
      <c r="B307" s="14" t="s">
        <v>1198</v>
      </c>
      <c r="C307" s="14" t="s">
        <v>183</v>
      </c>
      <c r="D307" s="14" t="s">
        <v>432</v>
      </c>
      <c r="E307" s="14" t="s">
        <v>113</v>
      </c>
      <c r="F307" s="14">
        <v>1</v>
      </c>
      <c r="G307" s="14">
        <v>27270</v>
      </c>
      <c r="H307" s="14">
        <v>0</v>
      </c>
      <c r="I307" s="14" t="s">
        <v>89</v>
      </c>
      <c r="J307" s="14" t="s">
        <v>90</v>
      </c>
      <c r="K307" s="14"/>
    </row>
    <row r="308" spans="1:11" x14ac:dyDescent="0.35">
      <c r="A308" s="14" t="s">
        <v>1199</v>
      </c>
      <c r="B308" s="14" t="s">
        <v>1200</v>
      </c>
      <c r="C308" s="14" t="s">
        <v>558</v>
      </c>
      <c r="D308" s="14" t="s">
        <v>144</v>
      </c>
      <c r="E308" s="14" t="s">
        <v>80</v>
      </c>
      <c r="F308" s="14">
        <v>2</v>
      </c>
      <c r="G308" s="14" t="s">
        <v>1201</v>
      </c>
      <c r="H308" s="14">
        <v>10</v>
      </c>
      <c r="I308" s="14" t="s">
        <v>65</v>
      </c>
      <c r="J308" s="14" t="s">
        <v>115</v>
      </c>
      <c r="K308" s="14" t="s">
        <v>1202</v>
      </c>
    </row>
    <row r="309" spans="1:11" x14ac:dyDescent="0.35">
      <c r="A309" s="14" t="s">
        <v>1203</v>
      </c>
      <c r="B309" s="14" t="s">
        <v>1204</v>
      </c>
      <c r="C309" s="14" t="s">
        <v>162</v>
      </c>
      <c r="D309" s="14" t="s">
        <v>472</v>
      </c>
      <c r="E309" s="14" t="s">
        <v>80</v>
      </c>
      <c r="F309" s="14">
        <v>0</v>
      </c>
      <c r="G309" s="14" t="s">
        <v>1205</v>
      </c>
      <c r="H309" s="14">
        <v>0</v>
      </c>
      <c r="I309" s="14" t="s">
        <v>114</v>
      </c>
      <c r="J309" s="14" t="s">
        <v>90</v>
      </c>
      <c r="K309" s="14"/>
    </row>
    <row r="310" spans="1:11" x14ac:dyDescent="0.35">
      <c r="A310" s="14" t="s">
        <v>1206</v>
      </c>
      <c r="B310" s="14" t="s">
        <v>1207</v>
      </c>
      <c r="C310" s="14" t="s">
        <v>602</v>
      </c>
      <c r="D310" s="14" t="s">
        <v>107</v>
      </c>
      <c r="E310" s="14" t="s">
        <v>101</v>
      </c>
      <c r="F310" s="14">
        <v>-1</v>
      </c>
      <c r="G310" s="14">
        <v>249790</v>
      </c>
      <c r="H310" s="14" t="s">
        <v>81</v>
      </c>
      <c r="I310" s="14" t="s">
        <v>73</v>
      </c>
      <c r="J310" s="14" t="s">
        <v>58</v>
      </c>
      <c r="K310" s="14" t="s">
        <v>1208</v>
      </c>
    </row>
    <row r="311" spans="1:11" x14ac:dyDescent="0.35">
      <c r="A311" s="14" t="s">
        <v>1209</v>
      </c>
      <c r="B311" s="14" t="s">
        <v>1210</v>
      </c>
      <c r="C311" s="14"/>
      <c r="D311" s="14" t="s">
        <v>216</v>
      </c>
      <c r="E311" s="14" t="s">
        <v>80</v>
      </c>
      <c r="F311" s="14">
        <v>1</v>
      </c>
      <c r="G311" s="14" t="s">
        <v>1211</v>
      </c>
      <c r="H311" s="14">
        <v>-5</v>
      </c>
      <c r="I311" s="14" t="s">
        <v>121</v>
      </c>
      <c r="J311" s="14" t="s">
        <v>174</v>
      </c>
      <c r="K311" s="14" t="s">
        <v>1212</v>
      </c>
    </row>
    <row r="312" spans="1:11" x14ac:dyDescent="0.35">
      <c r="A312" s="14" t="s">
        <v>1213</v>
      </c>
      <c r="B312" s="14" t="s">
        <v>1214</v>
      </c>
      <c r="C312" s="14" t="s">
        <v>645</v>
      </c>
      <c r="D312" s="14" t="s">
        <v>112</v>
      </c>
      <c r="E312" s="14" t="s">
        <v>80</v>
      </c>
      <c r="F312" s="14">
        <v>2</v>
      </c>
      <c r="G312" s="14" t="s">
        <v>1215</v>
      </c>
      <c r="H312" s="14">
        <v>5</v>
      </c>
      <c r="I312" s="14" t="s">
        <v>95</v>
      </c>
      <c r="J312" s="14" t="s">
        <v>83</v>
      </c>
      <c r="K312" s="14"/>
    </row>
    <row r="313" spans="1:11" x14ac:dyDescent="0.35">
      <c r="A313" s="14" t="s">
        <v>1216</v>
      </c>
      <c r="B313" s="14" t="s">
        <v>1217</v>
      </c>
      <c r="C313" s="14" t="s">
        <v>1218</v>
      </c>
      <c r="D313" s="14" t="s">
        <v>576</v>
      </c>
      <c r="E313" s="14" t="s">
        <v>126</v>
      </c>
      <c r="F313" s="14">
        <v>0</v>
      </c>
      <c r="G313" s="14" t="s">
        <v>1219</v>
      </c>
      <c r="H313" s="14"/>
      <c r="I313" s="14" t="s">
        <v>121</v>
      </c>
      <c r="J313" s="14" t="s">
        <v>83</v>
      </c>
      <c r="K313" s="14"/>
    </row>
    <row r="314" spans="1:11" x14ac:dyDescent="0.35">
      <c r="A314" s="14" t="s">
        <v>1220</v>
      </c>
      <c r="B314" s="14" t="s">
        <v>889</v>
      </c>
      <c r="C314" s="14" t="s">
        <v>277</v>
      </c>
      <c r="D314" s="14" t="s">
        <v>463</v>
      </c>
      <c r="E314" s="14" t="s">
        <v>64</v>
      </c>
      <c r="F314" s="14">
        <v>2</v>
      </c>
      <c r="G314" s="14" t="s">
        <v>1221</v>
      </c>
      <c r="H314" s="14">
        <v>10</v>
      </c>
      <c r="I314" s="14" t="s">
        <v>121</v>
      </c>
      <c r="J314" s="14" t="s">
        <v>90</v>
      </c>
      <c r="K314" s="14"/>
    </row>
    <row r="315" spans="1:11" x14ac:dyDescent="0.35">
      <c r="A315" s="14" t="s">
        <v>1222</v>
      </c>
      <c r="B315" s="14" t="s">
        <v>1223</v>
      </c>
      <c r="C315" s="14" t="s">
        <v>1224</v>
      </c>
      <c r="D315" s="14" t="s">
        <v>278</v>
      </c>
      <c r="E315" s="14" t="s">
        <v>64</v>
      </c>
      <c r="F315" s="14">
        <v>2</v>
      </c>
      <c r="G315" s="14">
        <v>151630</v>
      </c>
      <c r="H315" s="14"/>
      <c r="I315" s="14" t="s">
        <v>82</v>
      </c>
      <c r="J315" s="14" t="s">
        <v>149</v>
      </c>
      <c r="K315" s="14"/>
    </row>
    <row r="316" spans="1:11" x14ac:dyDescent="0.35">
      <c r="A316" s="14" t="s">
        <v>1225</v>
      </c>
      <c r="B316" s="14" t="s">
        <v>1226</v>
      </c>
      <c r="C316" s="14" t="s">
        <v>396</v>
      </c>
      <c r="D316" s="14" t="s">
        <v>172</v>
      </c>
      <c r="E316" s="14" t="s">
        <v>108</v>
      </c>
      <c r="F316" s="14">
        <v>0</v>
      </c>
      <c r="G316" s="14">
        <v>235610</v>
      </c>
      <c r="H316" s="14">
        <v>0</v>
      </c>
      <c r="I316" s="14" t="s">
        <v>73</v>
      </c>
      <c r="J316" s="14" t="s">
        <v>174</v>
      </c>
      <c r="K316" s="14" t="s">
        <v>1227</v>
      </c>
    </row>
    <row r="317" spans="1:11" x14ac:dyDescent="0.35">
      <c r="A317" s="14" t="s">
        <v>1228</v>
      </c>
      <c r="B317" s="14" t="s">
        <v>1229</v>
      </c>
      <c r="C317" s="14" t="s">
        <v>1009</v>
      </c>
      <c r="D317" s="14" t="s">
        <v>79</v>
      </c>
      <c r="E317" s="14" t="s">
        <v>72</v>
      </c>
      <c r="F317" s="14">
        <v>2</v>
      </c>
      <c r="G317" s="14" t="s">
        <v>1230</v>
      </c>
      <c r="H317" s="14">
        <v>10</v>
      </c>
      <c r="I317" s="14" t="s">
        <v>378</v>
      </c>
      <c r="J317" s="14" t="s">
        <v>58</v>
      </c>
      <c r="K317" s="14" t="s">
        <v>1231</v>
      </c>
    </row>
    <row r="318" spans="1:11" x14ac:dyDescent="0.35">
      <c r="A318" s="14" t="s">
        <v>1232</v>
      </c>
      <c r="B318" s="14" t="s">
        <v>1233</v>
      </c>
      <c r="C318" s="14" t="s">
        <v>119</v>
      </c>
      <c r="D318" s="14" t="s">
        <v>79</v>
      </c>
      <c r="E318" s="14" t="s">
        <v>80</v>
      </c>
      <c r="F318" s="14">
        <v>3</v>
      </c>
      <c r="G318" s="14">
        <v>123230</v>
      </c>
      <c r="H318" s="14">
        <v>0</v>
      </c>
      <c r="I318" s="14" t="s">
        <v>121</v>
      </c>
      <c r="J318" s="14" t="s">
        <v>74</v>
      </c>
      <c r="K318" s="14" t="s">
        <v>1234</v>
      </c>
    </row>
    <row r="319" spans="1:11" x14ac:dyDescent="0.35">
      <c r="A319" s="14" t="s">
        <v>1235</v>
      </c>
      <c r="B319" s="14" t="s">
        <v>966</v>
      </c>
      <c r="C319" s="14" t="s">
        <v>183</v>
      </c>
      <c r="D319" s="14" t="s">
        <v>360</v>
      </c>
      <c r="E319" s="14" t="s">
        <v>56</v>
      </c>
      <c r="F319" s="14">
        <v>1</v>
      </c>
      <c r="G319" s="14">
        <v>52860</v>
      </c>
      <c r="H319" s="14">
        <v>-5</v>
      </c>
      <c r="I319" s="14" t="s">
        <v>57</v>
      </c>
      <c r="J319" s="14" t="s">
        <v>83</v>
      </c>
      <c r="K319" s="14"/>
    </row>
    <row r="320" spans="1:11" x14ac:dyDescent="0.35">
      <c r="A320" s="14" t="s">
        <v>1236</v>
      </c>
      <c r="B320" s="14" t="s">
        <v>1237</v>
      </c>
      <c r="C320" s="14" t="s">
        <v>70</v>
      </c>
      <c r="D320" s="14" t="s">
        <v>310</v>
      </c>
      <c r="E320" s="14" t="s">
        <v>64</v>
      </c>
      <c r="F320" s="14">
        <v>3</v>
      </c>
      <c r="G320" s="14">
        <v>175330</v>
      </c>
      <c r="H320" s="14"/>
      <c r="I320" s="14" t="s">
        <v>73</v>
      </c>
      <c r="J320" s="14" t="s">
        <v>83</v>
      </c>
      <c r="K320" s="14"/>
    </row>
    <row r="321" spans="1:11" x14ac:dyDescent="0.35">
      <c r="A321" s="14" t="s">
        <v>1238</v>
      </c>
      <c r="B321" s="14" t="s">
        <v>1239</v>
      </c>
      <c r="C321" s="14" t="s">
        <v>1240</v>
      </c>
      <c r="D321" s="14" t="s">
        <v>264</v>
      </c>
      <c r="E321" s="14" t="s">
        <v>56</v>
      </c>
      <c r="F321" s="14">
        <v>3</v>
      </c>
      <c r="G321" s="14">
        <v>39250</v>
      </c>
      <c r="H321" s="14">
        <v>5</v>
      </c>
      <c r="I321" s="14" t="s">
        <v>121</v>
      </c>
      <c r="J321" s="14" t="s">
        <v>66</v>
      </c>
      <c r="K321" s="14" t="s">
        <v>1241</v>
      </c>
    </row>
    <row r="322" spans="1:11" x14ac:dyDescent="0.35">
      <c r="A322" s="14" t="s">
        <v>1242</v>
      </c>
      <c r="B322" s="14" t="s">
        <v>1243</v>
      </c>
      <c r="C322" s="14" t="s">
        <v>1244</v>
      </c>
      <c r="D322" s="14" t="s">
        <v>916</v>
      </c>
      <c r="E322" s="14" t="s">
        <v>108</v>
      </c>
      <c r="F322" s="14">
        <v>1</v>
      </c>
      <c r="G322" s="14" t="s">
        <v>1245</v>
      </c>
      <c r="H322" s="14">
        <v>5</v>
      </c>
      <c r="I322" s="14" t="s">
        <v>121</v>
      </c>
      <c r="J322" s="14" t="s">
        <v>74</v>
      </c>
      <c r="K322" s="14" t="s">
        <v>1246</v>
      </c>
    </row>
    <row r="323" spans="1:11" x14ac:dyDescent="0.35">
      <c r="A323" s="14" t="s">
        <v>1247</v>
      </c>
      <c r="B323" s="14" t="s">
        <v>960</v>
      </c>
      <c r="C323" s="14" t="s">
        <v>119</v>
      </c>
      <c r="D323" s="14" t="s">
        <v>212</v>
      </c>
      <c r="E323" s="14" t="s">
        <v>108</v>
      </c>
      <c r="F323" s="14">
        <v>2</v>
      </c>
      <c r="G323" s="14">
        <v>97190</v>
      </c>
      <c r="H323" s="14">
        <v>5</v>
      </c>
      <c r="I323" s="14" t="s">
        <v>57</v>
      </c>
      <c r="J323" s="14" t="s">
        <v>115</v>
      </c>
      <c r="K323" s="14" t="s">
        <v>1248</v>
      </c>
    </row>
    <row r="324" spans="1:11" x14ac:dyDescent="0.35">
      <c r="A324" s="14" t="s">
        <v>1249</v>
      </c>
      <c r="B324" s="14" t="s">
        <v>1250</v>
      </c>
      <c r="C324" s="14" t="s">
        <v>78</v>
      </c>
      <c r="D324" s="14" t="s">
        <v>135</v>
      </c>
      <c r="E324" s="14" t="s">
        <v>126</v>
      </c>
      <c r="F324" s="14">
        <v>2</v>
      </c>
      <c r="G324" s="14">
        <v>121230</v>
      </c>
      <c r="H324" s="14">
        <v>-5</v>
      </c>
      <c r="I324" s="14" t="s">
        <v>73</v>
      </c>
      <c r="J324" s="14" t="s">
        <v>58</v>
      </c>
      <c r="K324" s="14" t="s">
        <v>1251</v>
      </c>
    </row>
    <row r="325" spans="1:11" x14ac:dyDescent="0.35">
      <c r="A325" s="14" t="s">
        <v>1252</v>
      </c>
      <c r="B325" s="14" t="s">
        <v>1253</v>
      </c>
      <c r="C325" s="14" t="s">
        <v>1254</v>
      </c>
      <c r="D325" s="14" t="s">
        <v>916</v>
      </c>
      <c r="E325" s="14" t="s">
        <v>113</v>
      </c>
      <c r="F325" s="14">
        <v>2</v>
      </c>
      <c r="G325" s="14" t="s">
        <v>1255</v>
      </c>
      <c r="H325" s="14">
        <v>5</v>
      </c>
      <c r="I325" s="14" t="s">
        <v>73</v>
      </c>
      <c r="J325" s="14" t="s">
        <v>74</v>
      </c>
      <c r="K325" s="14" t="s">
        <v>1256</v>
      </c>
    </row>
    <row r="326" spans="1:11" x14ac:dyDescent="0.35">
      <c r="A326" s="14" t="s">
        <v>1257</v>
      </c>
      <c r="B326" s="14" t="s">
        <v>1258</v>
      </c>
      <c r="C326" s="14" t="s">
        <v>967</v>
      </c>
      <c r="D326" s="14" t="s">
        <v>360</v>
      </c>
      <c r="E326" s="14" t="s">
        <v>80</v>
      </c>
      <c r="F326" s="14">
        <v>3</v>
      </c>
      <c r="G326" s="14">
        <v>229290</v>
      </c>
      <c r="H326" s="14">
        <v>0</v>
      </c>
      <c r="I326" s="14" t="s">
        <v>95</v>
      </c>
      <c r="J326" s="14" t="s">
        <v>90</v>
      </c>
      <c r="K326" s="14" t="s">
        <v>1259</v>
      </c>
    </row>
    <row r="327" spans="1:11" x14ac:dyDescent="0.35">
      <c r="A327" s="14" t="s">
        <v>1260</v>
      </c>
      <c r="B327" s="14" t="s">
        <v>1261</v>
      </c>
      <c r="C327" s="14" t="s">
        <v>799</v>
      </c>
      <c r="D327" s="14" t="s">
        <v>369</v>
      </c>
      <c r="E327" s="14" t="s">
        <v>80</v>
      </c>
      <c r="F327" s="14">
        <v>2</v>
      </c>
      <c r="G327" s="14">
        <v>181470</v>
      </c>
      <c r="H327" s="14" t="s">
        <v>81</v>
      </c>
      <c r="I327" s="14" t="s">
        <v>250</v>
      </c>
      <c r="J327" s="14" t="s">
        <v>174</v>
      </c>
      <c r="K327" s="14" t="s">
        <v>1262</v>
      </c>
    </row>
    <row r="328" spans="1:11" x14ac:dyDescent="0.35">
      <c r="A328" s="14" t="s">
        <v>1263</v>
      </c>
      <c r="B328" s="14" t="s">
        <v>1264</v>
      </c>
      <c r="C328" s="14" t="s">
        <v>831</v>
      </c>
      <c r="D328" s="14" t="s">
        <v>154</v>
      </c>
      <c r="E328" s="14" t="s">
        <v>126</v>
      </c>
      <c r="F328" s="14">
        <v>2</v>
      </c>
      <c r="G328" s="14">
        <v>66110</v>
      </c>
      <c r="H328" s="14">
        <v>15</v>
      </c>
      <c r="I328" s="14" t="s">
        <v>121</v>
      </c>
      <c r="J328" s="14" t="s">
        <v>83</v>
      </c>
      <c r="K328" s="14" t="s">
        <v>1265</v>
      </c>
    </row>
    <row r="329" spans="1:11" x14ac:dyDescent="0.35">
      <c r="A329" s="14" t="s">
        <v>1266</v>
      </c>
      <c r="B329" s="14" t="s">
        <v>1267</v>
      </c>
      <c r="C329" s="14" t="s">
        <v>294</v>
      </c>
      <c r="D329" s="14" t="s">
        <v>418</v>
      </c>
      <c r="E329" s="14" t="s">
        <v>64</v>
      </c>
      <c r="F329" s="14">
        <v>1</v>
      </c>
      <c r="G329" s="14">
        <v>237560</v>
      </c>
      <c r="H329" s="14">
        <v>0</v>
      </c>
      <c r="I329" s="14" t="s">
        <v>73</v>
      </c>
      <c r="J329" s="14" t="s">
        <v>174</v>
      </c>
      <c r="K329" s="14" t="s">
        <v>1268</v>
      </c>
    </row>
    <row r="330" spans="1:11" x14ac:dyDescent="0.35">
      <c r="A330" s="14" t="s">
        <v>1269</v>
      </c>
      <c r="B330" s="14" t="s">
        <v>1270</v>
      </c>
      <c r="C330" s="14" t="s">
        <v>124</v>
      </c>
      <c r="D330" s="14" t="s">
        <v>55</v>
      </c>
      <c r="E330" s="14" t="s">
        <v>126</v>
      </c>
      <c r="F330" s="14">
        <v>2</v>
      </c>
      <c r="G330" s="14">
        <v>103300</v>
      </c>
      <c r="H330" s="14">
        <v>15</v>
      </c>
      <c r="I330" s="14" t="s">
        <v>95</v>
      </c>
      <c r="J330" s="14" t="s">
        <v>115</v>
      </c>
      <c r="K330" s="14"/>
    </row>
    <row r="331" spans="1:11" x14ac:dyDescent="0.35">
      <c r="A331" s="14" t="s">
        <v>1271</v>
      </c>
      <c r="B331" s="14" t="s">
        <v>1272</v>
      </c>
      <c r="C331" s="14" t="s">
        <v>444</v>
      </c>
      <c r="D331" s="14" t="s">
        <v>120</v>
      </c>
      <c r="E331" s="14" t="s">
        <v>80</v>
      </c>
      <c r="F331" s="14">
        <v>1</v>
      </c>
      <c r="G331" s="14">
        <v>245030</v>
      </c>
      <c r="H331" s="14">
        <v>15</v>
      </c>
      <c r="I331" s="14" t="s">
        <v>121</v>
      </c>
      <c r="J331" s="14" t="s">
        <v>74</v>
      </c>
      <c r="K331" s="14" t="s">
        <v>1273</v>
      </c>
    </row>
    <row r="332" spans="1:11" x14ac:dyDescent="0.35">
      <c r="A332" s="14" t="s">
        <v>1274</v>
      </c>
      <c r="B332" s="14" t="s">
        <v>1275</v>
      </c>
      <c r="C332" s="14" t="s">
        <v>234</v>
      </c>
      <c r="D332" s="14" t="s">
        <v>216</v>
      </c>
      <c r="E332" s="14" t="s">
        <v>108</v>
      </c>
      <c r="F332" s="14">
        <v>1</v>
      </c>
      <c r="G332" s="14">
        <v>121540</v>
      </c>
      <c r="H332" s="14">
        <v>10</v>
      </c>
      <c r="I332" s="14" t="s">
        <v>121</v>
      </c>
      <c r="J332" s="14" t="s">
        <v>149</v>
      </c>
      <c r="K332" s="14"/>
    </row>
    <row r="333" spans="1:11" x14ac:dyDescent="0.35">
      <c r="A333" s="14" t="s">
        <v>1276</v>
      </c>
      <c r="B333" s="14" t="s">
        <v>1277</v>
      </c>
      <c r="C333" s="14" t="s">
        <v>491</v>
      </c>
      <c r="D333" s="14" t="s">
        <v>71</v>
      </c>
      <c r="E333" s="14" t="s">
        <v>72</v>
      </c>
      <c r="F333" s="14">
        <v>2</v>
      </c>
      <c r="G333" s="14">
        <v>155930</v>
      </c>
      <c r="H333" s="14">
        <v>5</v>
      </c>
      <c r="I333" s="14" t="s">
        <v>121</v>
      </c>
      <c r="J333" s="14" t="s">
        <v>90</v>
      </c>
      <c r="K333" s="14" t="s">
        <v>1278</v>
      </c>
    </row>
    <row r="334" spans="1:11" x14ac:dyDescent="0.35">
      <c r="A334" s="14" t="s">
        <v>1279</v>
      </c>
      <c r="B334" s="14" t="s">
        <v>1280</v>
      </c>
      <c r="C334" s="14" t="s">
        <v>753</v>
      </c>
      <c r="D334" s="14" t="s">
        <v>342</v>
      </c>
      <c r="E334" s="14" t="s">
        <v>126</v>
      </c>
      <c r="F334" s="14">
        <v>1</v>
      </c>
      <c r="G334" s="14">
        <v>116610</v>
      </c>
      <c r="H334" s="14">
        <v>10</v>
      </c>
      <c r="I334" s="14" t="s">
        <v>121</v>
      </c>
      <c r="J334" s="14" t="s">
        <v>90</v>
      </c>
      <c r="K334" s="14"/>
    </row>
    <row r="335" spans="1:11" x14ac:dyDescent="0.35">
      <c r="A335" s="14" t="s">
        <v>1281</v>
      </c>
      <c r="B335" s="14" t="s">
        <v>1282</v>
      </c>
      <c r="C335" s="14" t="s">
        <v>157</v>
      </c>
      <c r="D335" s="14" t="s">
        <v>240</v>
      </c>
      <c r="E335" s="14" t="s">
        <v>64</v>
      </c>
      <c r="F335" s="14">
        <v>1</v>
      </c>
      <c r="G335" s="14" t="s">
        <v>1283</v>
      </c>
      <c r="H335" s="14">
        <v>5</v>
      </c>
      <c r="I335" s="14" t="s">
        <v>89</v>
      </c>
      <c r="J335" s="14" t="s">
        <v>66</v>
      </c>
      <c r="K335" s="14" t="s">
        <v>1284</v>
      </c>
    </row>
    <row r="336" spans="1:11" x14ac:dyDescent="0.35">
      <c r="A336" s="14" t="s">
        <v>1285</v>
      </c>
      <c r="B336" s="14" t="s">
        <v>1286</v>
      </c>
      <c r="C336" s="14" t="s">
        <v>703</v>
      </c>
      <c r="D336" s="14" t="s">
        <v>445</v>
      </c>
      <c r="E336" s="14" t="s">
        <v>126</v>
      </c>
      <c r="F336" s="14">
        <v>1</v>
      </c>
      <c r="G336" s="14">
        <v>196850</v>
      </c>
      <c r="H336" s="14">
        <v>10</v>
      </c>
      <c r="I336" s="14" t="s">
        <v>95</v>
      </c>
      <c r="J336" s="14" t="s">
        <v>90</v>
      </c>
      <c r="K336" s="14"/>
    </row>
    <row r="337" spans="1:11" x14ac:dyDescent="0.35">
      <c r="A337" s="14" t="s">
        <v>1287</v>
      </c>
      <c r="B337" s="14" t="s">
        <v>1288</v>
      </c>
      <c r="C337" s="14" t="s">
        <v>1289</v>
      </c>
      <c r="D337" s="14" t="s">
        <v>79</v>
      </c>
      <c r="E337" s="14" t="s">
        <v>101</v>
      </c>
      <c r="F337" s="14">
        <v>2</v>
      </c>
      <c r="G337" s="14">
        <v>123670</v>
      </c>
      <c r="H337" s="14">
        <v>0</v>
      </c>
      <c r="I337" s="14" t="s">
        <v>57</v>
      </c>
      <c r="J337" s="14" t="s">
        <v>149</v>
      </c>
      <c r="K337" s="14"/>
    </row>
    <row r="338" spans="1:11" x14ac:dyDescent="0.35">
      <c r="A338" s="14" t="s">
        <v>1290</v>
      </c>
      <c r="B338" s="14" t="s">
        <v>1291</v>
      </c>
      <c r="C338" s="14" t="s">
        <v>407</v>
      </c>
      <c r="D338" s="14" t="s">
        <v>226</v>
      </c>
      <c r="E338" s="14" t="s">
        <v>80</v>
      </c>
      <c r="F338" s="14">
        <v>2</v>
      </c>
      <c r="G338" s="14">
        <v>126900</v>
      </c>
      <c r="H338" s="14">
        <v>0</v>
      </c>
      <c r="I338" s="14" t="s">
        <v>114</v>
      </c>
      <c r="J338" s="14" t="s">
        <v>83</v>
      </c>
      <c r="K338" s="14" t="s">
        <v>1292</v>
      </c>
    </row>
    <row r="339" spans="1:11" x14ac:dyDescent="0.35">
      <c r="A339" s="14" t="s">
        <v>1293</v>
      </c>
      <c r="B339" s="14" t="s">
        <v>1294</v>
      </c>
      <c r="C339" s="14" t="s">
        <v>1224</v>
      </c>
      <c r="D339" s="14" t="s">
        <v>212</v>
      </c>
      <c r="E339" s="14" t="s">
        <v>72</v>
      </c>
      <c r="F339" s="14">
        <v>1</v>
      </c>
      <c r="G339" s="14">
        <v>92150</v>
      </c>
      <c r="H339" s="14">
        <v>-5</v>
      </c>
      <c r="I339" s="14" t="s">
        <v>73</v>
      </c>
      <c r="J339" s="14" t="s">
        <v>90</v>
      </c>
      <c r="K339" s="14" t="s">
        <v>1295</v>
      </c>
    </row>
    <row r="340" spans="1:11" x14ac:dyDescent="0.35">
      <c r="A340" s="14" t="s">
        <v>1296</v>
      </c>
      <c r="B340" s="14" t="s">
        <v>1297</v>
      </c>
      <c r="C340" s="14" t="s">
        <v>314</v>
      </c>
      <c r="D340" s="14" t="s">
        <v>120</v>
      </c>
      <c r="E340" s="14" t="s">
        <v>56</v>
      </c>
      <c r="F340" s="14">
        <v>0</v>
      </c>
      <c r="G340" s="14">
        <v>34550</v>
      </c>
      <c r="H340" s="14">
        <v>15</v>
      </c>
      <c r="I340" s="14" t="s">
        <v>250</v>
      </c>
      <c r="J340" s="14" t="s">
        <v>174</v>
      </c>
      <c r="K340" s="14" t="s">
        <v>1298</v>
      </c>
    </row>
    <row r="341" spans="1:11" x14ac:dyDescent="0.35">
      <c r="A341" s="14" t="s">
        <v>1299</v>
      </c>
      <c r="B341" s="14" t="s">
        <v>1300</v>
      </c>
      <c r="C341" s="14" t="s">
        <v>1301</v>
      </c>
      <c r="D341" s="14" t="s">
        <v>196</v>
      </c>
      <c r="E341" s="14" t="s">
        <v>72</v>
      </c>
      <c r="F341" s="14">
        <v>0</v>
      </c>
      <c r="G341" s="14">
        <v>217700</v>
      </c>
      <c r="H341" s="14">
        <v>5</v>
      </c>
      <c r="I341" s="14" t="s">
        <v>121</v>
      </c>
      <c r="J341" s="14" t="s">
        <v>74</v>
      </c>
      <c r="K341" s="14" t="s">
        <v>1302</v>
      </c>
    </row>
    <row r="342" spans="1:11" x14ac:dyDescent="0.35">
      <c r="A342" s="14" t="s">
        <v>1303</v>
      </c>
      <c r="B342" s="14" t="s">
        <v>1304</v>
      </c>
      <c r="C342" s="14" t="s">
        <v>1305</v>
      </c>
      <c r="D342" s="14" t="s">
        <v>989</v>
      </c>
      <c r="E342" s="14" t="s">
        <v>56</v>
      </c>
      <c r="F342" s="14">
        <v>2</v>
      </c>
      <c r="G342" s="14">
        <v>128840</v>
      </c>
      <c r="H342" s="14"/>
      <c r="I342" s="14" t="s">
        <v>89</v>
      </c>
      <c r="J342" s="14" t="s">
        <v>58</v>
      </c>
      <c r="K342" s="14" t="s">
        <v>1306</v>
      </c>
    </row>
    <row r="343" spans="1:11" x14ac:dyDescent="0.35">
      <c r="A343" s="14" t="s">
        <v>1307</v>
      </c>
      <c r="B343" s="14" t="s">
        <v>1308</v>
      </c>
      <c r="C343" s="14" t="s">
        <v>309</v>
      </c>
      <c r="D343" s="14" t="s">
        <v>1309</v>
      </c>
      <c r="E343" s="14" t="s">
        <v>80</v>
      </c>
      <c r="F343" s="14">
        <v>1</v>
      </c>
      <c r="G343" s="14">
        <v>239740</v>
      </c>
      <c r="H343" s="14">
        <v>0</v>
      </c>
      <c r="I343" s="14" t="s">
        <v>121</v>
      </c>
      <c r="J343" s="14" t="s">
        <v>58</v>
      </c>
      <c r="K343" s="14" t="s">
        <v>1310</v>
      </c>
    </row>
    <row r="344" spans="1:11" x14ac:dyDescent="0.35">
      <c r="A344" s="14" t="s">
        <v>1311</v>
      </c>
      <c r="B344" s="14" t="s">
        <v>1312</v>
      </c>
      <c r="C344" s="14" t="s">
        <v>804</v>
      </c>
      <c r="D344" s="14" t="s">
        <v>167</v>
      </c>
      <c r="E344" s="14" t="s">
        <v>113</v>
      </c>
      <c r="F344" s="14">
        <v>2</v>
      </c>
      <c r="G344" s="14">
        <v>171420</v>
      </c>
      <c r="H344" s="14">
        <v>10</v>
      </c>
      <c r="I344" s="14" t="s">
        <v>89</v>
      </c>
      <c r="J344" s="14" t="s">
        <v>149</v>
      </c>
      <c r="K344" s="14" t="s">
        <v>1313</v>
      </c>
    </row>
    <row r="345" spans="1:11" x14ac:dyDescent="0.35">
      <c r="A345" s="14" t="s">
        <v>1314</v>
      </c>
      <c r="B345" s="14" t="s">
        <v>1315</v>
      </c>
      <c r="C345" s="14" t="s">
        <v>859</v>
      </c>
      <c r="D345" s="14" t="s">
        <v>120</v>
      </c>
      <c r="E345" s="14" t="s">
        <v>126</v>
      </c>
      <c r="F345" s="14">
        <v>0</v>
      </c>
      <c r="G345" s="14">
        <v>177490</v>
      </c>
      <c r="H345" s="14">
        <v>10</v>
      </c>
      <c r="I345" s="14" t="s">
        <v>57</v>
      </c>
      <c r="J345" s="14" t="s">
        <v>58</v>
      </c>
      <c r="K345" s="14" t="s">
        <v>1316</v>
      </c>
    </row>
    <row r="346" spans="1:11" x14ac:dyDescent="0.35">
      <c r="A346" s="14" t="s">
        <v>1317</v>
      </c>
      <c r="B346" s="14" t="s">
        <v>1318</v>
      </c>
      <c r="C346" s="14" t="s">
        <v>187</v>
      </c>
      <c r="D346" s="14" t="s">
        <v>192</v>
      </c>
      <c r="E346" s="14" t="s">
        <v>72</v>
      </c>
      <c r="F346" s="14">
        <v>1</v>
      </c>
      <c r="G346" s="14">
        <v>115780</v>
      </c>
      <c r="H346" s="14">
        <v>-5</v>
      </c>
      <c r="I346" s="14" t="s">
        <v>158</v>
      </c>
      <c r="J346" s="14" t="s">
        <v>149</v>
      </c>
      <c r="K346" s="14"/>
    </row>
    <row r="347" spans="1:11" x14ac:dyDescent="0.35">
      <c r="A347" s="14" t="s">
        <v>1319</v>
      </c>
      <c r="B347" s="14" t="s">
        <v>1320</v>
      </c>
      <c r="C347" s="14" t="s">
        <v>1321</v>
      </c>
      <c r="D347" s="14" t="s">
        <v>55</v>
      </c>
      <c r="E347" s="14" t="s">
        <v>101</v>
      </c>
      <c r="F347" s="14">
        <v>1</v>
      </c>
      <c r="G347" s="14">
        <v>20130</v>
      </c>
      <c r="H347" s="14">
        <v>15</v>
      </c>
      <c r="I347" s="14" t="s">
        <v>82</v>
      </c>
      <c r="J347" s="14" t="s">
        <v>174</v>
      </c>
      <c r="K347" s="14" t="s">
        <v>1322</v>
      </c>
    </row>
    <row r="348" spans="1:11" x14ac:dyDescent="0.35">
      <c r="A348" s="14" t="s">
        <v>1323</v>
      </c>
      <c r="B348" s="14" t="s">
        <v>1324</v>
      </c>
      <c r="C348" s="14" t="s">
        <v>637</v>
      </c>
      <c r="D348" s="14" t="s">
        <v>88</v>
      </c>
      <c r="E348" s="14" t="s">
        <v>56</v>
      </c>
      <c r="F348" s="14">
        <v>2</v>
      </c>
      <c r="G348" s="14">
        <v>88180</v>
      </c>
      <c r="H348" s="14">
        <v>15</v>
      </c>
      <c r="I348" s="14" t="s">
        <v>268</v>
      </c>
      <c r="J348" s="14" t="s">
        <v>174</v>
      </c>
      <c r="K348" s="14" t="s">
        <v>1325</v>
      </c>
    </row>
    <row r="349" spans="1:11" x14ac:dyDescent="0.35">
      <c r="A349" s="14" t="s">
        <v>1326</v>
      </c>
      <c r="B349" s="14" t="s">
        <v>1327</v>
      </c>
      <c r="C349" s="14" t="s">
        <v>62</v>
      </c>
      <c r="D349" s="14" t="s">
        <v>231</v>
      </c>
      <c r="E349" s="14" t="s">
        <v>126</v>
      </c>
      <c r="F349" s="14">
        <v>2</v>
      </c>
      <c r="G349" s="14" t="s">
        <v>1328</v>
      </c>
      <c r="H349" s="14">
        <v>5</v>
      </c>
      <c r="I349" s="14" t="s">
        <v>250</v>
      </c>
      <c r="J349" s="14" t="s">
        <v>90</v>
      </c>
      <c r="K349" s="14" t="s">
        <v>1329</v>
      </c>
    </row>
    <row r="350" spans="1:11" x14ac:dyDescent="0.35">
      <c r="A350" s="14" t="s">
        <v>1330</v>
      </c>
      <c r="B350" s="14" t="s">
        <v>1331</v>
      </c>
      <c r="C350" s="14" t="s">
        <v>1332</v>
      </c>
      <c r="D350" s="14" t="s">
        <v>259</v>
      </c>
      <c r="E350" s="14" t="s">
        <v>72</v>
      </c>
      <c r="F350" s="14">
        <v>2</v>
      </c>
      <c r="G350" s="14" t="s">
        <v>1333</v>
      </c>
      <c r="H350" s="14">
        <v>10</v>
      </c>
      <c r="I350" s="14" t="s">
        <v>65</v>
      </c>
      <c r="J350" s="14" t="s">
        <v>66</v>
      </c>
      <c r="K350" s="14" t="s">
        <v>1334</v>
      </c>
    </row>
    <row r="351" spans="1:11" x14ac:dyDescent="0.35">
      <c r="A351" s="14" t="s">
        <v>1335</v>
      </c>
      <c r="B351" s="14" t="s">
        <v>1074</v>
      </c>
      <c r="C351" s="14" t="s">
        <v>1336</v>
      </c>
      <c r="D351" s="14" t="s">
        <v>310</v>
      </c>
      <c r="E351" s="14" t="s">
        <v>108</v>
      </c>
      <c r="F351" s="14">
        <v>-1</v>
      </c>
      <c r="G351" s="14">
        <v>114980</v>
      </c>
      <c r="H351" s="14" t="s">
        <v>81</v>
      </c>
      <c r="I351" s="14" t="s">
        <v>158</v>
      </c>
      <c r="J351" s="14" t="s">
        <v>66</v>
      </c>
      <c r="K351" s="14" t="s">
        <v>1337</v>
      </c>
    </row>
    <row r="352" spans="1:11" x14ac:dyDescent="0.35">
      <c r="A352" s="14" t="s">
        <v>1338</v>
      </c>
      <c r="B352" s="14" t="s">
        <v>1339</v>
      </c>
      <c r="C352" s="14" t="s">
        <v>319</v>
      </c>
      <c r="D352" s="14" t="s">
        <v>249</v>
      </c>
      <c r="E352" s="14" t="s">
        <v>56</v>
      </c>
      <c r="F352" s="14">
        <v>2</v>
      </c>
      <c r="G352" s="14">
        <v>46630</v>
      </c>
      <c r="H352" s="14" t="s">
        <v>81</v>
      </c>
      <c r="I352" s="14" t="s">
        <v>95</v>
      </c>
      <c r="J352" s="14" t="s">
        <v>90</v>
      </c>
      <c r="K352" s="14"/>
    </row>
    <row r="353" spans="1:11" x14ac:dyDescent="0.35">
      <c r="A353" s="14" t="s">
        <v>1340</v>
      </c>
      <c r="B353" s="14" t="s">
        <v>1341</v>
      </c>
      <c r="C353" s="14" t="s">
        <v>498</v>
      </c>
      <c r="D353" s="14" t="s">
        <v>329</v>
      </c>
      <c r="E353" s="14" t="s">
        <v>108</v>
      </c>
      <c r="F353" s="14">
        <v>1</v>
      </c>
      <c r="G353" s="14" t="s">
        <v>1342</v>
      </c>
      <c r="H353" s="14">
        <v>0</v>
      </c>
      <c r="I353" s="14" t="s">
        <v>121</v>
      </c>
      <c r="J353" s="14" t="s">
        <v>66</v>
      </c>
      <c r="K353" s="14" t="s">
        <v>1343</v>
      </c>
    </row>
    <row r="354" spans="1:11" x14ac:dyDescent="0.35">
      <c r="A354" s="14" t="s">
        <v>1344</v>
      </c>
      <c r="B354" s="14" t="s">
        <v>1345</v>
      </c>
      <c r="C354" s="14" t="s">
        <v>549</v>
      </c>
      <c r="D354" s="14" t="s">
        <v>1309</v>
      </c>
      <c r="E354" s="14" t="s">
        <v>101</v>
      </c>
      <c r="F354" s="14">
        <v>2</v>
      </c>
      <c r="G354" s="14" t="s">
        <v>1346</v>
      </c>
      <c r="H354" s="14" t="s">
        <v>81</v>
      </c>
      <c r="I354" s="14" t="s">
        <v>65</v>
      </c>
      <c r="J354" s="14" t="s">
        <v>115</v>
      </c>
      <c r="K354" s="14"/>
    </row>
    <row r="355" spans="1:11" x14ac:dyDescent="0.35">
      <c r="A355" s="14" t="s">
        <v>1347</v>
      </c>
      <c r="B355" s="14" t="s">
        <v>1348</v>
      </c>
      <c r="C355" s="14"/>
      <c r="D355" s="14" t="s">
        <v>310</v>
      </c>
      <c r="E355" s="14" t="s">
        <v>126</v>
      </c>
      <c r="F355" s="14">
        <v>3</v>
      </c>
      <c r="G355" s="14" t="s">
        <v>1349</v>
      </c>
      <c r="H355" s="14">
        <v>10</v>
      </c>
      <c r="I355" s="14" t="s">
        <v>95</v>
      </c>
      <c r="J355" s="14" t="s">
        <v>58</v>
      </c>
      <c r="K355" s="14" t="s">
        <v>1350</v>
      </c>
    </row>
    <row r="356" spans="1:11" x14ac:dyDescent="0.35">
      <c r="A356" s="14" t="s">
        <v>1351</v>
      </c>
      <c r="B356" s="14" t="s">
        <v>1352</v>
      </c>
      <c r="C356" s="14" t="s">
        <v>579</v>
      </c>
      <c r="D356" s="14" t="s">
        <v>216</v>
      </c>
      <c r="E356" s="14" t="s">
        <v>80</v>
      </c>
      <c r="F356" s="14">
        <v>0</v>
      </c>
      <c r="G356" s="14">
        <v>48230</v>
      </c>
      <c r="H356" s="14">
        <v>15</v>
      </c>
      <c r="I356" s="14" t="s">
        <v>114</v>
      </c>
      <c r="J356" s="14" t="s">
        <v>149</v>
      </c>
      <c r="K356" s="14" t="s">
        <v>1353</v>
      </c>
    </row>
    <row r="357" spans="1:11" x14ac:dyDescent="0.35">
      <c r="A357" s="14" t="s">
        <v>1354</v>
      </c>
      <c r="B357" s="14" t="s">
        <v>1355</v>
      </c>
      <c r="C357" s="14" t="s">
        <v>93</v>
      </c>
      <c r="D357" s="14" t="s">
        <v>463</v>
      </c>
      <c r="E357" s="14" t="s">
        <v>64</v>
      </c>
      <c r="F357" s="14">
        <v>3</v>
      </c>
      <c r="G357" s="14" t="s">
        <v>1356</v>
      </c>
      <c r="H357" s="14">
        <v>-5</v>
      </c>
      <c r="I357" s="14" t="s">
        <v>73</v>
      </c>
      <c r="J357" s="14" t="s">
        <v>66</v>
      </c>
      <c r="K357" s="14" t="s">
        <v>1357</v>
      </c>
    </row>
    <row r="358" spans="1:11" x14ac:dyDescent="0.35">
      <c r="A358" s="14" t="s">
        <v>1358</v>
      </c>
      <c r="B358" s="14" t="s">
        <v>1359</v>
      </c>
      <c r="C358" s="14" t="s">
        <v>333</v>
      </c>
      <c r="D358" s="14" t="s">
        <v>315</v>
      </c>
      <c r="E358" s="14" t="s">
        <v>101</v>
      </c>
      <c r="F358" s="14">
        <v>3</v>
      </c>
      <c r="G358" s="14" t="s">
        <v>1360</v>
      </c>
      <c r="H358" s="14">
        <v>0</v>
      </c>
      <c r="I358" s="14" t="s">
        <v>73</v>
      </c>
      <c r="J358" s="14" t="s">
        <v>74</v>
      </c>
      <c r="K358" s="14" t="s">
        <v>1361</v>
      </c>
    </row>
    <row r="359" spans="1:11" x14ac:dyDescent="0.35">
      <c r="A359" s="14" t="s">
        <v>1362</v>
      </c>
      <c r="B359" s="14" t="s">
        <v>533</v>
      </c>
      <c r="C359" s="14" t="s">
        <v>477</v>
      </c>
      <c r="D359" s="14" t="s">
        <v>249</v>
      </c>
      <c r="E359" s="14" t="s">
        <v>126</v>
      </c>
      <c r="F359" s="14">
        <v>2</v>
      </c>
      <c r="G359" s="14">
        <v>153580</v>
      </c>
      <c r="H359" s="14" t="s">
        <v>81</v>
      </c>
      <c r="I359" s="14" t="s">
        <v>121</v>
      </c>
      <c r="J359" s="14" t="s">
        <v>115</v>
      </c>
      <c r="K359" s="14" t="s">
        <v>1363</v>
      </c>
    </row>
    <row r="360" spans="1:11" x14ac:dyDescent="0.35">
      <c r="A360" s="14" t="s">
        <v>1364</v>
      </c>
      <c r="B360" s="14" t="s">
        <v>960</v>
      </c>
      <c r="C360" s="14" t="s">
        <v>171</v>
      </c>
      <c r="D360" s="14" t="s">
        <v>310</v>
      </c>
      <c r="E360" s="14" t="s">
        <v>113</v>
      </c>
      <c r="F360" s="14">
        <v>2</v>
      </c>
      <c r="G360" s="14">
        <v>9220</v>
      </c>
      <c r="H360" s="14">
        <v>0</v>
      </c>
      <c r="I360" s="14" t="s">
        <v>378</v>
      </c>
      <c r="J360" s="14" t="s">
        <v>174</v>
      </c>
      <c r="K360" s="14" t="s">
        <v>1365</v>
      </c>
    </row>
    <row r="361" spans="1:11" x14ac:dyDescent="0.35">
      <c r="A361" s="14" t="s">
        <v>1366</v>
      </c>
      <c r="B361" s="14" t="s">
        <v>1367</v>
      </c>
      <c r="C361" s="14" t="s">
        <v>504</v>
      </c>
      <c r="D361" s="14" t="s">
        <v>329</v>
      </c>
      <c r="E361" s="14" t="s">
        <v>72</v>
      </c>
      <c r="F361" s="14">
        <v>2</v>
      </c>
      <c r="G361" s="14" t="s">
        <v>1368</v>
      </c>
      <c r="H361" s="14">
        <v>0</v>
      </c>
      <c r="I361" s="14" t="s">
        <v>121</v>
      </c>
      <c r="J361" s="14" t="s">
        <v>66</v>
      </c>
      <c r="K361" s="14" t="s">
        <v>1369</v>
      </c>
    </row>
    <row r="362" spans="1:11" x14ac:dyDescent="0.35">
      <c r="A362" s="14" t="s">
        <v>1370</v>
      </c>
      <c r="B362" s="14" t="s">
        <v>1371</v>
      </c>
      <c r="C362" s="14" t="s">
        <v>689</v>
      </c>
      <c r="D362" s="14" t="s">
        <v>948</v>
      </c>
      <c r="E362" s="14" t="s">
        <v>113</v>
      </c>
      <c r="F362" s="14">
        <v>2</v>
      </c>
      <c r="G362" s="14">
        <v>220150</v>
      </c>
      <c r="H362" s="14">
        <v>0</v>
      </c>
      <c r="I362" s="14" t="s">
        <v>95</v>
      </c>
      <c r="J362" s="14" t="s">
        <v>149</v>
      </c>
      <c r="K362" s="14"/>
    </row>
    <row r="363" spans="1:11" x14ac:dyDescent="0.35">
      <c r="A363" s="14" t="s">
        <v>1372</v>
      </c>
      <c r="B363" s="14" t="s">
        <v>1373</v>
      </c>
      <c r="C363" s="14" t="s">
        <v>804</v>
      </c>
      <c r="D363" s="14" t="s">
        <v>482</v>
      </c>
      <c r="E363" s="14" t="s">
        <v>126</v>
      </c>
      <c r="F363" s="14">
        <v>0</v>
      </c>
      <c r="G363" s="14" t="s">
        <v>1374</v>
      </c>
      <c r="H363" s="14">
        <v>0</v>
      </c>
      <c r="I363" s="14" t="s">
        <v>378</v>
      </c>
      <c r="J363" s="14" t="s">
        <v>83</v>
      </c>
      <c r="K363" s="14" t="s">
        <v>1375</v>
      </c>
    </row>
    <row r="364" spans="1:11" x14ac:dyDescent="0.35">
      <c r="A364" s="14" t="s">
        <v>1376</v>
      </c>
      <c r="B364" s="14" t="s">
        <v>1377</v>
      </c>
      <c r="C364" s="14" t="s">
        <v>1378</v>
      </c>
      <c r="D364" s="14" t="s">
        <v>135</v>
      </c>
      <c r="E364" s="14" t="s">
        <v>72</v>
      </c>
      <c r="F364" s="14">
        <v>-1</v>
      </c>
      <c r="G364" s="14" t="s">
        <v>1379</v>
      </c>
      <c r="H364" s="14" t="s">
        <v>81</v>
      </c>
      <c r="I364" s="14" t="s">
        <v>121</v>
      </c>
      <c r="J364" s="14" t="s">
        <v>83</v>
      </c>
      <c r="K364" s="14" t="s">
        <v>1380</v>
      </c>
    </row>
    <row r="365" spans="1:11" x14ac:dyDescent="0.35">
      <c r="A365" s="14" t="s">
        <v>1381</v>
      </c>
      <c r="B365" s="14" t="s">
        <v>1382</v>
      </c>
      <c r="C365" s="14" t="s">
        <v>1006</v>
      </c>
      <c r="D365" s="14" t="s">
        <v>432</v>
      </c>
      <c r="E365" s="14" t="s">
        <v>72</v>
      </c>
      <c r="F365" s="14">
        <v>-1</v>
      </c>
      <c r="G365" s="14">
        <v>44550</v>
      </c>
      <c r="H365" s="14"/>
      <c r="I365" s="14" t="s">
        <v>121</v>
      </c>
      <c r="J365" s="14" t="s">
        <v>115</v>
      </c>
      <c r="K365" s="14"/>
    </row>
    <row r="366" spans="1:11" x14ac:dyDescent="0.35">
      <c r="A366" s="14" t="s">
        <v>1383</v>
      </c>
      <c r="B366" s="14" t="s">
        <v>1384</v>
      </c>
      <c r="C366" s="14"/>
      <c r="D366" s="14" t="s">
        <v>88</v>
      </c>
      <c r="E366" s="14" t="s">
        <v>72</v>
      </c>
      <c r="F366" s="14">
        <v>1</v>
      </c>
      <c r="G366" s="14">
        <v>210430</v>
      </c>
      <c r="H366" s="14">
        <v>0</v>
      </c>
      <c r="I366" s="14" t="s">
        <v>82</v>
      </c>
      <c r="J366" s="14" t="s">
        <v>174</v>
      </c>
      <c r="K366" s="14" t="s">
        <v>1385</v>
      </c>
    </row>
    <row r="367" spans="1:11" x14ac:dyDescent="0.35">
      <c r="A367" s="14" t="s">
        <v>1386</v>
      </c>
      <c r="B367" s="14" t="s">
        <v>1387</v>
      </c>
      <c r="C367" s="14" t="s">
        <v>674</v>
      </c>
      <c r="D367" s="14" t="s">
        <v>576</v>
      </c>
      <c r="E367" s="14" t="s">
        <v>101</v>
      </c>
      <c r="F367" s="14">
        <v>2</v>
      </c>
      <c r="G367" s="14" t="s">
        <v>1388</v>
      </c>
      <c r="H367" s="14" t="s">
        <v>81</v>
      </c>
      <c r="I367" s="14" t="s">
        <v>268</v>
      </c>
      <c r="J367" s="14" t="s">
        <v>90</v>
      </c>
      <c r="K367" s="14"/>
    </row>
    <row r="368" spans="1:11" x14ac:dyDescent="0.35">
      <c r="A368" s="14" t="s">
        <v>1389</v>
      </c>
      <c r="B368" s="14" t="s">
        <v>1390</v>
      </c>
      <c r="C368" s="14" t="s">
        <v>187</v>
      </c>
      <c r="D368" s="14" t="s">
        <v>684</v>
      </c>
      <c r="E368" s="14" t="s">
        <v>64</v>
      </c>
      <c r="F368" s="14">
        <v>2</v>
      </c>
      <c r="G368" s="14">
        <v>176320</v>
      </c>
      <c r="H368" s="14" t="s">
        <v>81</v>
      </c>
      <c r="I368" s="14" t="s">
        <v>268</v>
      </c>
      <c r="J368" s="14" t="s">
        <v>115</v>
      </c>
      <c r="K368" s="14"/>
    </row>
    <row r="369" spans="1:11" x14ac:dyDescent="0.35">
      <c r="A369" s="14" t="s">
        <v>1391</v>
      </c>
      <c r="B369" s="14" t="s">
        <v>1392</v>
      </c>
      <c r="C369" s="14" t="s">
        <v>1305</v>
      </c>
      <c r="D369" s="14" t="s">
        <v>550</v>
      </c>
      <c r="E369" s="14" t="s">
        <v>126</v>
      </c>
      <c r="F369" s="14">
        <v>-1</v>
      </c>
      <c r="G369" s="14" t="s">
        <v>1393</v>
      </c>
      <c r="H369" s="14" t="s">
        <v>81</v>
      </c>
      <c r="I369" s="14" t="s">
        <v>82</v>
      </c>
      <c r="J369" s="14" t="s">
        <v>90</v>
      </c>
      <c r="K369" s="14"/>
    </row>
    <row r="370" spans="1:11" x14ac:dyDescent="0.35">
      <c r="A370" s="14" t="s">
        <v>1394</v>
      </c>
      <c r="B370" s="14" t="s">
        <v>1395</v>
      </c>
      <c r="C370" s="14" t="s">
        <v>898</v>
      </c>
      <c r="D370" s="14" t="s">
        <v>192</v>
      </c>
      <c r="E370" s="14" t="s">
        <v>108</v>
      </c>
      <c r="F370" s="14">
        <v>1</v>
      </c>
      <c r="G370" s="14" t="s">
        <v>1396</v>
      </c>
      <c r="H370" s="14">
        <v>0</v>
      </c>
      <c r="I370" s="14" t="s">
        <v>121</v>
      </c>
      <c r="J370" s="14" t="s">
        <v>174</v>
      </c>
      <c r="K370" s="14" t="s">
        <v>1397</v>
      </c>
    </row>
    <row r="371" spans="1:11" x14ac:dyDescent="0.35">
      <c r="A371" s="14" t="s">
        <v>1398</v>
      </c>
      <c r="B371" s="14" t="s">
        <v>1399</v>
      </c>
      <c r="C371" s="14" t="s">
        <v>139</v>
      </c>
      <c r="D371" s="14" t="s">
        <v>259</v>
      </c>
      <c r="E371" s="14" t="s">
        <v>108</v>
      </c>
      <c r="F371" s="14">
        <v>-1</v>
      </c>
      <c r="G371" s="14" t="s">
        <v>1400</v>
      </c>
      <c r="H371" s="14">
        <v>-5</v>
      </c>
      <c r="I371" s="14" t="s">
        <v>121</v>
      </c>
      <c r="J371" s="14" t="s">
        <v>149</v>
      </c>
      <c r="K371" s="14"/>
    </row>
    <row r="372" spans="1:11" x14ac:dyDescent="0.35">
      <c r="A372" s="14" t="s">
        <v>1401</v>
      </c>
      <c r="B372" s="14" t="s">
        <v>1402</v>
      </c>
      <c r="C372" s="14" t="s">
        <v>1336</v>
      </c>
      <c r="D372" s="14" t="s">
        <v>167</v>
      </c>
      <c r="E372" s="14" t="s">
        <v>126</v>
      </c>
      <c r="F372" s="14">
        <v>1</v>
      </c>
      <c r="G372" s="14" t="s">
        <v>1403</v>
      </c>
      <c r="H372" s="14">
        <v>15</v>
      </c>
      <c r="I372" s="14" t="s">
        <v>268</v>
      </c>
      <c r="J372" s="14" t="s">
        <v>58</v>
      </c>
      <c r="K372" s="14" t="s">
        <v>1404</v>
      </c>
    </row>
    <row r="373" spans="1:11" x14ac:dyDescent="0.35">
      <c r="A373" s="14" t="s">
        <v>1405</v>
      </c>
      <c r="B373" s="14" t="s">
        <v>1406</v>
      </c>
      <c r="C373" s="14" t="s">
        <v>87</v>
      </c>
      <c r="D373" s="14" t="s">
        <v>435</v>
      </c>
      <c r="E373" s="14" t="s">
        <v>101</v>
      </c>
      <c r="F373" s="14">
        <v>2</v>
      </c>
      <c r="G373" s="14" t="s">
        <v>1407</v>
      </c>
      <c r="H373" s="14">
        <v>15</v>
      </c>
      <c r="I373" s="14" t="s">
        <v>424</v>
      </c>
      <c r="J373" s="14" t="s">
        <v>90</v>
      </c>
      <c r="K373" s="14"/>
    </row>
    <row r="374" spans="1:11" x14ac:dyDescent="0.35">
      <c r="A374" s="14" t="s">
        <v>1408</v>
      </c>
      <c r="B374" s="14" t="s">
        <v>1409</v>
      </c>
      <c r="C374" s="14" t="s">
        <v>973</v>
      </c>
      <c r="D374" s="14" t="s">
        <v>71</v>
      </c>
      <c r="E374" s="14" t="s">
        <v>101</v>
      </c>
      <c r="F374" s="14">
        <v>0</v>
      </c>
      <c r="G374" s="14">
        <v>197160</v>
      </c>
      <c r="H374" s="14">
        <v>5</v>
      </c>
      <c r="I374" s="14" t="s">
        <v>95</v>
      </c>
      <c r="J374" s="14" t="s">
        <v>66</v>
      </c>
      <c r="K374" s="14" t="s">
        <v>1410</v>
      </c>
    </row>
    <row r="375" spans="1:11" x14ac:dyDescent="0.35">
      <c r="A375" s="14" t="s">
        <v>1411</v>
      </c>
      <c r="B375" s="14" t="s">
        <v>1412</v>
      </c>
      <c r="C375" s="14" t="s">
        <v>220</v>
      </c>
      <c r="D375" s="14" t="s">
        <v>445</v>
      </c>
      <c r="E375" s="14" t="s">
        <v>64</v>
      </c>
      <c r="F375" s="14">
        <v>3</v>
      </c>
      <c r="G375" s="14">
        <v>197690</v>
      </c>
      <c r="H375" s="14">
        <v>15</v>
      </c>
      <c r="I375" s="14" t="s">
        <v>95</v>
      </c>
      <c r="J375" s="14" t="s">
        <v>149</v>
      </c>
      <c r="K375" s="14" t="s">
        <v>1413</v>
      </c>
    </row>
    <row r="376" spans="1:11" x14ac:dyDescent="0.35">
      <c r="A376" s="14" t="s">
        <v>1414</v>
      </c>
      <c r="B376" s="14" t="s">
        <v>1415</v>
      </c>
      <c r="C376" s="14" t="s">
        <v>1301</v>
      </c>
      <c r="D376" s="14" t="s">
        <v>342</v>
      </c>
      <c r="E376" s="14" t="s">
        <v>80</v>
      </c>
      <c r="F376" s="14">
        <v>2</v>
      </c>
      <c r="G376" s="14">
        <v>135060</v>
      </c>
      <c r="H376" s="14"/>
      <c r="I376" s="14" t="s">
        <v>121</v>
      </c>
      <c r="J376" s="14" t="s">
        <v>83</v>
      </c>
      <c r="K376" s="14"/>
    </row>
    <row r="377" spans="1:11" x14ac:dyDescent="0.35">
      <c r="A377" s="14" t="s">
        <v>1416</v>
      </c>
      <c r="B377" s="14" t="s">
        <v>1417</v>
      </c>
      <c r="C377" s="14" t="s">
        <v>1418</v>
      </c>
      <c r="D377" s="14" t="s">
        <v>684</v>
      </c>
      <c r="E377" s="14" t="s">
        <v>80</v>
      </c>
      <c r="F377" s="14">
        <v>0</v>
      </c>
      <c r="G377" s="14" t="s">
        <v>1419</v>
      </c>
      <c r="H377" s="14">
        <v>0</v>
      </c>
      <c r="I377" s="14" t="s">
        <v>89</v>
      </c>
      <c r="J377" s="14" t="s">
        <v>74</v>
      </c>
      <c r="K377" s="14" t="s">
        <v>1420</v>
      </c>
    </row>
    <row r="378" spans="1:11" x14ac:dyDescent="0.35">
      <c r="A378" s="14" t="s">
        <v>1421</v>
      </c>
      <c r="B378" s="14" t="s">
        <v>1422</v>
      </c>
      <c r="C378" s="14" t="s">
        <v>157</v>
      </c>
      <c r="D378" s="14" t="s">
        <v>342</v>
      </c>
      <c r="E378" s="14" t="s">
        <v>126</v>
      </c>
      <c r="F378" s="14">
        <v>0</v>
      </c>
      <c r="G378" s="14" t="s">
        <v>1423</v>
      </c>
      <c r="H378" s="14" t="s">
        <v>81</v>
      </c>
      <c r="I378" s="14" t="s">
        <v>89</v>
      </c>
      <c r="J378" s="14" t="s">
        <v>115</v>
      </c>
      <c r="K378" s="14" t="s">
        <v>1424</v>
      </c>
    </row>
    <row r="379" spans="1:11" x14ac:dyDescent="0.35">
      <c r="A379" s="14" t="s">
        <v>1425</v>
      </c>
      <c r="B379" s="14" t="s">
        <v>1426</v>
      </c>
      <c r="C379" s="14" t="s">
        <v>491</v>
      </c>
      <c r="D379" s="14" t="s">
        <v>445</v>
      </c>
      <c r="E379" s="14" t="s">
        <v>72</v>
      </c>
      <c r="F379" s="14">
        <v>2</v>
      </c>
      <c r="G379" s="14">
        <v>50500</v>
      </c>
      <c r="H379" s="14">
        <v>0</v>
      </c>
      <c r="I379" s="14" t="s">
        <v>95</v>
      </c>
      <c r="J379" s="14" t="s">
        <v>83</v>
      </c>
      <c r="K379" s="14" t="s">
        <v>1427</v>
      </c>
    </row>
    <row r="380" spans="1:11" x14ac:dyDescent="0.35">
      <c r="A380" s="14" t="s">
        <v>1428</v>
      </c>
      <c r="B380" s="14" t="s">
        <v>1429</v>
      </c>
      <c r="C380" s="14" t="s">
        <v>854</v>
      </c>
      <c r="D380" s="14" t="s">
        <v>278</v>
      </c>
      <c r="E380" s="14" t="s">
        <v>101</v>
      </c>
      <c r="F380" s="14">
        <v>1</v>
      </c>
      <c r="G380" s="14" t="s">
        <v>1430</v>
      </c>
      <c r="H380" s="14" t="s">
        <v>81</v>
      </c>
      <c r="I380" s="14" t="s">
        <v>121</v>
      </c>
      <c r="J380" s="14" t="s">
        <v>174</v>
      </c>
      <c r="K380" s="14" t="s">
        <v>1431</v>
      </c>
    </row>
    <row r="381" spans="1:11" x14ac:dyDescent="0.35">
      <c r="A381" s="14" t="s">
        <v>1432</v>
      </c>
      <c r="B381" s="14" t="s">
        <v>1433</v>
      </c>
      <c r="C381" s="14" t="s">
        <v>689</v>
      </c>
      <c r="D381" s="14" t="s">
        <v>576</v>
      </c>
      <c r="E381" s="14" t="s">
        <v>101</v>
      </c>
      <c r="F381" s="14">
        <v>1</v>
      </c>
      <c r="G381" s="14">
        <v>134660</v>
      </c>
      <c r="H381" s="14">
        <v>15</v>
      </c>
      <c r="I381" s="14" t="s">
        <v>95</v>
      </c>
      <c r="J381" s="14" t="s">
        <v>74</v>
      </c>
      <c r="K381" s="14" t="s">
        <v>1434</v>
      </c>
    </row>
    <row r="382" spans="1:11" x14ac:dyDescent="0.35">
      <c r="A382" s="14" t="s">
        <v>1435</v>
      </c>
      <c r="B382" s="14" t="s">
        <v>1436</v>
      </c>
      <c r="C382" s="14" t="s">
        <v>1301</v>
      </c>
      <c r="D382" s="14" t="s">
        <v>638</v>
      </c>
      <c r="E382" s="14" t="s">
        <v>72</v>
      </c>
      <c r="F382" s="14">
        <v>1</v>
      </c>
      <c r="G382" s="14">
        <v>218990</v>
      </c>
      <c r="H382" s="14">
        <v>10</v>
      </c>
      <c r="I382" s="14" t="s">
        <v>95</v>
      </c>
      <c r="J382" s="14" t="s">
        <v>174</v>
      </c>
      <c r="K382" s="14" t="s">
        <v>1437</v>
      </c>
    </row>
    <row r="383" spans="1:11" x14ac:dyDescent="0.35">
      <c r="A383" s="14" t="s">
        <v>1438</v>
      </c>
      <c r="B383" s="14" t="s">
        <v>1439</v>
      </c>
      <c r="C383" s="14" t="s">
        <v>211</v>
      </c>
      <c r="D383" s="14" t="s">
        <v>329</v>
      </c>
      <c r="E383" s="14" t="s">
        <v>72</v>
      </c>
      <c r="F383" s="14">
        <v>1</v>
      </c>
      <c r="G383" s="14">
        <v>49250</v>
      </c>
      <c r="H383" s="14">
        <v>0</v>
      </c>
      <c r="I383" s="14" t="s">
        <v>250</v>
      </c>
      <c r="J383" s="14" t="s">
        <v>90</v>
      </c>
      <c r="K383" s="14" t="s">
        <v>1440</v>
      </c>
    </row>
    <row r="384" spans="1:11" x14ac:dyDescent="0.35">
      <c r="A384" s="14" t="s">
        <v>1441</v>
      </c>
      <c r="B384" s="14" t="s">
        <v>1442</v>
      </c>
      <c r="C384" s="14" t="s">
        <v>119</v>
      </c>
      <c r="D384" s="14" t="s">
        <v>55</v>
      </c>
      <c r="E384" s="14" t="s">
        <v>64</v>
      </c>
      <c r="F384" s="14">
        <v>1</v>
      </c>
      <c r="G384" s="14" t="s">
        <v>1443</v>
      </c>
      <c r="H384" s="14">
        <v>5</v>
      </c>
      <c r="I384" s="14" t="s">
        <v>121</v>
      </c>
      <c r="J384" s="14" t="s">
        <v>66</v>
      </c>
      <c r="K384" s="14" t="s">
        <v>1444</v>
      </c>
    </row>
    <row r="385" spans="1:11" x14ac:dyDescent="0.35">
      <c r="A385" s="14" t="s">
        <v>1445</v>
      </c>
      <c r="B385" s="14" t="s">
        <v>1446</v>
      </c>
      <c r="C385" s="14" t="s">
        <v>285</v>
      </c>
      <c r="D385" s="14" t="s">
        <v>390</v>
      </c>
      <c r="E385" s="14" t="s">
        <v>56</v>
      </c>
      <c r="F385" s="14">
        <v>1</v>
      </c>
      <c r="G385" s="14">
        <v>175650</v>
      </c>
      <c r="H385" s="14" t="s">
        <v>81</v>
      </c>
      <c r="I385" s="14" t="s">
        <v>95</v>
      </c>
      <c r="J385" s="14" t="s">
        <v>115</v>
      </c>
      <c r="K385" s="14"/>
    </row>
    <row r="386" spans="1:11" x14ac:dyDescent="0.35">
      <c r="A386" s="14" t="s">
        <v>1447</v>
      </c>
      <c r="B386" s="14" t="s">
        <v>1448</v>
      </c>
      <c r="C386" s="14" t="s">
        <v>396</v>
      </c>
      <c r="D386" s="14" t="s">
        <v>458</v>
      </c>
      <c r="E386" s="14" t="s">
        <v>64</v>
      </c>
      <c r="F386" s="14">
        <v>3</v>
      </c>
      <c r="G386" s="14" t="s">
        <v>1449</v>
      </c>
      <c r="H386" s="14">
        <v>15</v>
      </c>
      <c r="I386" s="14" t="s">
        <v>65</v>
      </c>
      <c r="J386" s="14" t="s">
        <v>58</v>
      </c>
      <c r="K386" s="14" t="s">
        <v>1450</v>
      </c>
    </row>
    <row r="387" spans="1:11" x14ac:dyDescent="0.35">
      <c r="A387" s="14" t="s">
        <v>1451</v>
      </c>
      <c r="B387" s="14" t="s">
        <v>1452</v>
      </c>
      <c r="C387" s="14" t="s">
        <v>661</v>
      </c>
      <c r="D387" s="14" t="s">
        <v>916</v>
      </c>
      <c r="E387" s="14" t="s">
        <v>126</v>
      </c>
      <c r="F387" s="14">
        <v>0</v>
      </c>
      <c r="G387" s="14">
        <v>181740</v>
      </c>
      <c r="H387" s="14">
        <v>0</v>
      </c>
      <c r="I387" s="14" t="s">
        <v>378</v>
      </c>
      <c r="J387" s="14" t="s">
        <v>66</v>
      </c>
      <c r="K387" s="14" t="s">
        <v>1453</v>
      </c>
    </row>
    <row r="388" spans="1:11" x14ac:dyDescent="0.35">
      <c r="A388" s="14" t="s">
        <v>1454</v>
      </c>
      <c r="B388" s="14" t="s">
        <v>1455</v>
      </c>
      <c r="C388" s="14" t="s">
        <v>740</v>
      </c>
      <c r="D388" s="14" t="s">
        <v>736</v>
      </c>
      <c r="E388" s="14" t="s">
        <v>101</v>
      </c>
      <c r="F388" s="14">
        <v>1</v>
      </c>
      <c r="G388" s="14">
        <v>98350</v>
      </c>
      <c r="H388" s="14">
        <v>5</v>
      </c>
      <c r="I388" s="14" t="s">
        <v>424</v>
      </c>
      <c r="J388" s="14" t="s">
        <v>58</v>
      </c>
      <c r="K388" s="14" t="s">
        <v>1456</v>
      </c>
    </row>
    <row r="389" spans="1:11" x14ac:dyDescent="0.35">
      <c r="A389" s="14" t="s">
        <v>1457</v>
      </c>
      <c r="B389" s="14" t="s">
        <v>1458</v>
      </c>
      <c r="C389" s="14" t="s">
        <v>234</v>
      </c>
      <c r="D389" s="14" t="s">
        <v>154</v>
      </c>
      <c r="E389" s="14" t="s">
        <v>113</v>
      </c>
      <c r="F389" s="14">
        <v>1</v>
      </c>
      <c r="G389" s="14" t="s">
        <v>1459</v>
      </c>
      <c r="H389" s="14">
        <v>-5</v>
      </c>
      <c r="I389" s="14" t="s">
        <v>73</v>
      </c>
      <c r="J389" s="14" t="s">
        <v>115</v>
      </c>
      <c r="K389" s="14"/>
    </row>
    <row r="390" spans="1:11" x14ac:dyDescent="0.35">
      <c r="A390" s="14" t="s">
        <v>1460</v>
      </c>
      <c r="B390" s="14" t="s">
        <v>1461</v>
      </c>
      <c r="C390" s="14" t="s">
        <v>674</v>
      </c>
      <c r="D390" s="14" t="s">
        <v>125</v>
      </c>
      <c r="E390" s="14" t="s">
        <v>113</v>
      </c>
      <c r="F390" s="14">
        <v>1</v>
      </c>
      <c r="G390" s="14">
        <v>54070</v>
      </c>
      <c r="H390" s="14">
        <v>0</v>
      </c>
      <c r="I390" s="14" t="s">
        <v>114</v>
      </c>
      <c r="J390" s="14" t="s">
        <v>90</v>
      </c>
      <c r="K390" s="14"/>
    </row>
    <row r="391" spans="1:11" x14ac:dyDescent="0.35">
      <c r="A391" s="14" t="s">
        <v>1462</v>
      </c>
      <c r="B391" s="14" t="s">
        <v>1463</v>
      </c>
      <c r="C391" s="14" t="s">
        <v>1378</v>
      </c>
      <c r="D391" s="14" t="s">
        <v>550</v>
      </c>
      <c r="E391" s="14" t="s">
        <v>101</v>
      </c>
      <c r="F391" s="14">
        <v>1</v>
      </c>
      <c r="G391" s="14">
        <v>84120</v>
      </c>
      <c r="H391" s="14">
        <v>-5</v>
      </c>
      <c r="I391" s="14" t="s">
        <v>73</v>
      </c>
      <c r="J391" s="14" t="s">
        <v>174</v>
      </c>
      <c r="K391" s="14" t="s">
        <v>1464</v>
      </c>
    </row>
    <row r="392" spans="1:11" x14ac:dyDescent="0.35">
      <c r="A392" s="14" t="s">
        <v>1465</v>
      </c>
      <c r="B392" s="14" t="s">
        <v>1466</v>
      </c>
      <c r="C392" s="14" t="s">
        <v>444</v>
      </c>
      <c r="D392" s="14" t="s">
        <v>259</v>
      </c>
      <c r="E392" s="14" t="s">
        <v>56</v>
      </c>
      <c r="F392" s="14">
        <v>-1</v>
      </c>
      <c r="G392" s="14">
        <v>17300</v>
      </c>
      <c r="H392" s="14">
        <v>5</v>
      </c>
      <c r="I392" s="14" t="s">
        <v>121</v>
      </c>
      <c r="J392" s="14" t="s">
        <v>66</v>
      </c>
      <c r="K392" s="14" t="s">
        <v>1467</v>
      </c>
    </row>
    <row r="393" spans="1:11" x14ac:dyDescent="0.35">
      <c r="A393" s="14" t="s">
        <v>1468</v>
      </c>
      <c r="B393" s="14" t="s">
        <v>1469</v>
      </c>
      <c r="C393" s="14" t="s">
        <v>1470</v>
      </c>
      <c r="D393" s="14" t="s">
        <v>529</v>
      </c>
      <c r="E393" s="14" t="s">
        <v>113</v>
      </c>
      <c r="F393" s="14">
        <v>2</v>
      </c>
      <c r="G393" s="14">
        <v>193060</v>
      </c>
      <c r="H393" s="14">
        <v>0</v>
      </c>
      <c r="I393" s="14" t="s">
        <v>95</v>
      </c>
      <c r="J393" s="14" t="s">
        <v>90</v>
      </c>
      <c r="K393" s="14" t="s">
        <v>1471</v>
      </c>
    </row>
    <row r="394" spans="1:11" x14ac:dyDescent="0.35">
      <c r="A394" s="14" t="s">
        <v>1472</v>
      </c>
      <c r="B394" s="14" t="s">
        <v>1473</v>
      </c>
      <c r="C394" s="14" t="s">
        <v>153</v>
      </c>
      <c r="D394" s="14" t="s">
        <v>989</v>
      </c>
      <c r="E394" s="14" t="s">
        <v>101</v>
      </c>
      <c r="F394" s="14">
        <v>1</v>
      </c>
      <c r="G394" s="14">
        <v>194490</v>
      </c>
      <c r="H394" s="14" t="s">
        <v>81</v>
      </c>
      <c r="I394" s="14" t="s">
        <v>89</v>
      </c>
      <c r="J394" s="14" t="s">
        <v>74</v>
      </c>
      <c r="K394" s="14" t="s">
        <v>1474</v>
      </c>
    </row>
    <row r="395" spans="1:11" x14ac:dyDescent="0.35">
      <c r="A395" s="14" t="s">
        <v>1475</v>
      </c>
      <c r="B395" s="14" t="s">
        <v>1476</v>
      </c>
      <c r="C395" s="14" t="s">
        <v>753</v>
      </c>
      <c r="D395" s="14" t="s">
        <v>144</v>
      </c>
      <c r="E395" s="14" t="s">
        <v>108</v>
      </c>
      <c r="F395" s="14">
        <v>-1</v>
      </c>
      <c r="G395" s="14">
        <v>94870</v>
      </c>
      <c r="H395" s="14">
        <v>15</v>
      </c>
      <c r="I395" s="14" t="s">
        <v>158</v>
      </c>
      <c r="J395" s="14" t="s">
        <v>174</v>
      </c>
      <c r="K395" s="14" t="s">
        <v>1477</v>
      </c>
    </row>
    <row r="396" spans="1:11" x14ac:dyDescent="0.35">
      <c r="A396" s="14" t="s">
        <v>1478</v>
      </c>
      <c r="B396" s="14" t="s">
        <v>1479</v>
      </c>
      <c r="C396" s="14" t="s">
        <v>859</v>
      </c>
      <c r="D396" s="14" t="s">
        <v>163</v>
      </c>
      <c r="E396" s="14" t="s">
        <v>126</v>
      </c>
      <c r="F396" s="14">
        <v>1</v>
      </c>
      <c r="G396" s="14">
        <v>195860</v>
      </c>
      <c r="H396" s="14">
        <v>5</v>
      </c>
      <c r="I396" s="14" t="s">
        <v>268</v>
      </c>
      <c r="J396" s="14" t="s">
        <v>66</v>
      </c>
      <c r="K396" s="14" t="s">
        <v>1480</v>
      </c>
    </row>
    <row r="397" spans="1:11" x14ac:dyDescent="0.35">
      <c r="A397" s="14" t="s">
        <v>1481</v>
      </c>
      <c r="B397" s="14" t="s">
        <v>1482</v>
      </c>
      <c r="C397" s="14" t="s">
        <v>674</v>
      </c>
      <c r="D397" s="14" t="s">
        <v>163</v>
      </c>
      <c r="E397" s="14" t="s">
        <v>126</v>
      </c>
      <c r="F397" s="14">
        <v>1</v>
      </c>
      <c r="G397" s="14">
        <v>110840</v>
      </c>
      <c r="H397" s="14">
        <v>10</v>
      </c>
      <c r="I397" s="14" t="s">
        <v>73</v>
      </c>
      <c r="J397" s="14" t="s">
        <v>83</v>
      </c>
      <c r="K397" s="14" t="s">
        <v>1483</v>
      </c>
    </row>
    <row r="398" spans="1:11" x14ac:dyDescent="0.35">
      <c r="A398" s="14" t="s">
        <v>1484</v>
      </c>
      <c r="B398" s="14" t="s">
        <v>1485</v>
      </c>
      <c r="C398" s="14" t="s">
        <v>1486</v>
      </c>
      <c r="D398" s="14" t="s">
        <v>88</v>
      </c>
      <c r="E398" s="14" t="s">
        <v>101</v>
      </c>
      <c r="F398" s="14">
        <v>-1</v>
      </c>
      <c r="G398" s="14" t="s">
        <v>1487</v>
      </c>
      <c r="H398" s="14">
        <v>15</v>
      </c>
      <c r="I398" s="14" t="s">
        <v>89</v>
      </c>
      <c r="J398" s="14" t="s">
        <v>74</v>
      </c>
      <c r="K398" s="14" t="s">
        <v>1488</v>
      </c>
    </row>
    <row r="399" spans="1:11" x14ac:dyDescent="0.35">
      <c r="A399" s="14" t="s">
        <v>1489</v>
      </c>
      <c r="B399" s="14" t="s">
        <v>1490</v>
      </c>
      <c r="C399" s="14" t="s">
        <v>781</v>
      </c>
      <c r="D399" s="14" t="s">
        <v>63</v>
      </c>
      <c r="E399" s="14" t="s">
        <v>80</v>
      </c>
      <c r="F399" s="14">
        <v>3</v>
      </c>
      <c r="G399" s="14">
        <v>161480</v>
      </c>
      <c r="H399" s="14" t="s">
        <v>81</v>
      </c>
      <c r="I399" s="14" t="s">
        <v>378</v>
      </c>
      <c r="J399" s="14" t="s">
        <v>90</v>
      </c>
      <c r="K399" s="14"/>
    </row>
    <row r="400" spans="1:11" x14ac:dyDescent="0.35">
      <c r="A400" s="14" t="s">
        <v>1491</v>
      </c>
      <c r="B400" s="14" t="s">
        <v>1492</v>
      </c>
      <c r="C400" s="14" t="s">
        <v>206</v>
      </c>
      <c r="D400" s="14" t="s">
        <v>463</v>
      </c>
      <c r="E400" s="14" t="s">
        <v>113</v>
      </c>
      <c r="F400" s="14">
        <v>1</v>
      </c>
      <c r="G400" s="14">
        <v>84390</v>
      </c>
      <c r="H400" s="14"/>
      <c r="I400" s="14" t="s">
        <v>121</v>
      </c>
      <c r="J400" s="14" t="s">
        <v>83</v>
      </c>
      <c r="K400" s="14"/>
    </row>
    <row r="401" spans="1:11" x14ac:dyDescent="0.35">
      <c r="A401" s="14" t="s">
        <v>1493</v>
      </c>
      <c r="B401" s="14" t="s">
        <v>790</v>
      </c>
      <c r="C401" s="14" t="s">
        <v>758</v>
      </c>
      <c r="D401" s="14" t="s">
        <v>463</v>
      </c>
      <c r="E401" s="14" t="s">
        <v>80</v>
      </c>
      <c r="F401" s="14">
        <v>1</v>
      </c>
      <c r="G401" s="14">
        <v>108810</v>
      </c>
      <c r="H401" s="14">
        <v>15</v>
      </c>
      <c r="I401" s="14" t="s">
        <v>95</v>
      </c>
      <c r="J401" s="14" t="s">
        <v>58</v>
      </c>
      <c r="K401" s="14" t="s">
        <v>1494</v>
      </c>
    </row>
    <row r="402" spans="1:11" x14ac:dyDescent="0.35">
      <c r="A402" s="14" t="s">
        <v>1495</v>
      </c>
      <c r="B402" s="14" t="s">
        <v>1496</v>
      </c>
      <c r="C402" s="14" t="s">
        <v>689</v>
      </c>
      <c r="D402" s="14" t="s">
        <v>458</v>
      </c>
      <c r="E402" s="14" t="s">
        <v>108</v>
      </c>
      <c r="F402" s="14">
        <v>1</v>
      </c>
      <c r="G402" s="14" t="s">
        <v>1497</v>
      </c>
      <c r="H402" s="14">
        <v>-5</v>
      </c>
      <c r="I402" s="14" t="s">
        <v>158</v>
      </c>
      <c r="J402" s="14" t="s">
        <v>58</v>
      </c>
      <c r="K402" s="14" t="s">
        <v>1498</v>
      </c>
    </row>
    <row r="403" spans="1:11" x14ac:dyDescent="0.35">
      <c r="A403" s="14" t="s">
        <v>1499</v>
      </c>
      <c r="B403" s="14" t="s">
        <v>1500</v>
      </c>
      <c r="C403" s="14" t="s">
        <v>347</v>
      </c>
      <c r="D403" s="14" t="s">
        <v>310</v>
      </c>
      <c r="E403" s="14" t="s">
        <v>101</v>
      </c>
      <c r="F403" s="14">
        <v>-1</v>
      </c>
      <c r="G403" s="14">
        <v>34470</v>
      </c>
      <c r="H403" s="14">
        <v>5</v>
      </c>
      <c r="I403" s="14" t="s">
        <v>73</v>
      </c>
      <c r="J403" s="14" t="s">
        <v>83</v>
      </c>
      <c r="K403" s="14"/>
    </row>
    <row r="404" spans="1:11" x14ac:dyDescent="0.35">
      <c r="A404" s="14" t="s">
        <v>1501</v>
      </c>
      <c r="B404" s="14" t="s">
        <v>1100</v>
      </c>
      <c r="C404" s="14" t="s">
        <v>1502</v>
      </c>
      <c r="D404" s="14" t="s">
        <v>231</v>
      </c>
      <c r="E404" s="14" t="s">
        <v>72</v>
      </c>
      <c r="F404" s="14">
        <v>1</v>
      </c>
      <c r="G404" s="14" t="s">
        <v>1503</v>
      </c>
      <c r="H404" s="14">
        <v>-5</v>
      </c>
      <c r="I404" s="14" t="s">
        <v>95</v>
      </c>
      <c r="J404" s="14" t="s">
        <v>174</v>
      </c>
      <c r="K404" s="14" t="s">
        <v>1504</v>
      </c>
    </row>
    <row r="405" spans="1:11" x14ac:dyDescent="0.35">
      <c r="A405" s="14" t="s">
        <v>1505</v>
      </c>
      <c r="B405" s="14" t="s">
        <v>1506</v>
      </c>
      <c r="C405" s="14" t="s">
        <v>411</v>
      </c>
      <c r="D405" s="14" t="s">
        <v>71</v>
      </c>
      <c r="E405" s="14" t="s">
        <v>80</v>
      </c>
      <c r="F405" s="14">
        <v>1</v>
      </c>
      <c r="G405" s="14">
        <v>160500</v>
      </c>
      <c r="H405" s="14" t="s">
        <v>81</v>
      </c>
      <c r="I405" s="14" t="s">
        <v>121</v>
      </c>
      <c r="J405" s="14" t="s">
        <v>83</v>
      </c>
      <c r="K405" s="14" t="s">
        <v>1507</v>
      </c>
    </row>
    <row r="406" spans="1:11" x14ac:dyDescent="0.35">
      <c r="A406" s="14" t="s">
        <v>1508</v>
      </c>
      <c r="B406" s="14" t="s">
        <v>1509</v>
      </c>
      <c r="C406" s="14" t="s">
        <v>325</v>
      </c>
      <c r="D406" s="14" t="s">
        <v>916</v>
      </c>
      <c r="E406" s="14" t="s">
        <v>113</v>
      </c>
      <c r="F406" s="14">
        <v>1</v>
      </c>
      <c r="G406" s="14">
        <v>26920</v>
      </c>
      <c r="H406" s="14">
        <v>0</v>
      </c>
      <c r="I406" s="14" t="s">
        <v>73</v>
      </c>
      <c r="J406" s="14" t="s">
        <v>58</v>
      </c>
      <c r="K406" s="14" t="s">
        <v>1510</v>
      </c>
    </row>
    <row r="407" spans="1:11" x14ac:dyDescent="0.35">
      <c r="A407" s="14" t="s">
        <v>1511</v>
      </c>
      <c r="B407" s="14" t="s">
        <v>1512</v>
      </c>
      <c r="C407" s="14" t="s">
        <v>854</v>
      </c>
      <c r="D407" s="14" t="s">
        <v>348</v>
      </c>
      <c r="E407" s="14" t="s">
        <v>56</v>
      </c>
      <c r="F407" s="14">
        <v>1</v>
      </c>
      <c r="G407" s="14">
        <v>173010</v>
      </c>
      <c r="H407" s="14">
        <v>0</v>
      </c>
      <c r="I407" s="14" t="s">
        <v>114</v>
      </c>
      <c r="J407" s="14" t="s">
        <v>115</v>
      </c>
      <c r="K407" s="14" t="s">
        <v>1513</v>
      </c>
    </row>
    <row r="408" spans="1:11" x14ac:dyDescent="0.35">
      <c r="A408" s="14" t="s">
        <v>1514</v>
      </c>
      <c r="B408" s="14" t="s">
        <v>1515</v>
      </c>
      <c r="C408" s="14" t="s">
        <v>462</v>
      </c>
      <c r="D408" s="14" t="s">
        <v>196</v>
      </c>
      <c r="E408" s="14" t="s">
        <v>101</v>
      </c>
      <c r="F408" s="14">
        <v>0</v>
      </c>
      <c r="G408" s="14">
        <v>131850</v>
      </c>
      <c r="H408" s="14">
        <v>-5</v>
      </c>
      <c r="I408" s="14" t="s">
        <v>121</v>
      </c>
      <c r="J408" s="14" t="s">
        <v>174</v>
      </c>
      <c r="K408" s="14" t="s">
        <v>1516</v>
      </c>
    </row>
    <row r="409" spans="1:11" x14ac:dyDescent="0.35">
      <c r="A409" s="14" t="s">
        <v>1517</v>
      </c>
      <c r="B409" s="14" t="s">
        <v>161</v>
      </c>
      <c r="C409" s="14" t="s">
        <v>248</v>
      </c>
      <c r="D409" s="14" t="s">
        <v>329</v>
      </c>
      <c r="E409" s="14" t="s">
        <v>108</v>
      </c>
      <c r="F409" s="14">
        <v>0</v>
      </c>
      <c r="G409" s="14">
        <v>248680</v>
      </c>
      <c r="H409" s="14">
        <v>-5</v>
      </c>
      <c r="I409" s="14" t="s">
        <v>82</v>
      </c>
      <c r="J409" s="14" t="s">
        <v>74</v>
      </c>
      <c r="K409" s="14" t="s">
        <v>1518</v>
      </c>
    </row>
    <row r="410" spans="1:11" x14ac:dyDescent="0.35">
      <c r="A410" s="14" t="s">
        <v>1519</v>
      </c>
      <c r="B410" s="14" t="s">
        <v>1520</v>
      </c>
      <c r="C410" s="14" t="s">
        <v>267</v>
      </c>
      <c r="D410" s="14" t="s">
        <v>458</v>
      </c>
      <c r="E410" s="14" t="s">
        <v>56</v>
      </c>
      <c r="F410" s="14">
        <v>1</v>
      </c>
      <c r="G410" s="14" t="s">
        <v>1521</v>
      </c>
      <c r="H410" s="14">
        <v>0</v>
      </c>
      <c r="I410" s="14" t="s">
        <v>82</v>
      </c>
      <c r="J410" s="14" t="s">
        <v>149</v>
      </c>
      <c r="K410" s="14"/>
    </row>
    <row r="411" spans="1:11" x14ac:dyDescent="0.35">
      <c r="A411" s="14" t="s">
        <v>1522</v>
      </c>
      <c r="B411" s="14" t="s">
        <v>1523</v>
      </c>
      <c r="C411" s="14" t="s">
        <v>263</v>
      </c>
      <c r="D411" s="14" t="s">
        <v>240</v>
      </c>
      <c r="E411" s="14" t="s">
        <v>72</v>
      </c>
      <c r="F411" s="14">
        <v>1</v>
      </c>
      <c r="G411" s="14">
        <v>160280</v>
      </c>
      <c r="H411" s="14">
        <v>0</v>
      </c>
      <c r="I411" s="14" t="s">
        <v>114</v>
      </c>
      <c r="J411" s="14" t="s">
        <v>74</v>
      </c>
      <c r="K411" s="14" t="s">
        <v>1524</v>
      </c>
    </row>
    <row r="412" spans="1:11" x14ac:dyDescent="0.35">
      <c r="A412" s="14" t="s">
        <v>1525</v>
      </c>
      <c r="B412" s="14" t="s">
        <v>1526</v>
      </c>
      <c r="C412" s="14" t="s">
        <v>1502</v>
      </c>
      <c r="D412" s="14" t="s">
        <v>435</v>
      </c>
      <c r="E412" s="14" t="s">
        <v>64</v>
      </c>
      <c r="F412" s="14">
        <v>1</v>
      </c>
      <c r="G412" s="14" t="s">
        <v>1527</v>
      </c>
      <c r="H412" s="14">
        <v>15</v>
      </c>
      <c r="I412" s="14" t="s">
        <v>89</v>
      </c>
      <c r="J412" s="14" t="s">
        <v>66</v>
      </c>
      <c r="K412" s="14" t="s">
        <v>1528</v>
      </c>
    </row>
    <row r="413" spans="1:11" x14ac:dyDescent="0.35">
      <c r="A413" s="14" t="s">
        <v>1529</v>
      </c>
      <c r="B413" s="14" t="s">
        <v>1530</v>
      </c>
      <c r="C413" s="14" t="s">
        <v>689</v>
      </c>
      <c r="D413" s="14" t="s">
        <v>135</v>
      </c>
      <c r="E413" s="14" t="s">
        <v>126</v>
      </c>
      <c r="F413" s="14">
        <v>1</v>
      </c>
      <c r="G413" s="14">
        <v>199970</v>
      </c>
      <c r="H413" s="14">
        <v>-5</v>
      </c>
      <c r="I413" s="14" t="s">
        <v>250</v>
      </c>
      <c r="J413" s="14" t="s">
        <v>115</v>
      </c>
      <c r="K413" s="14"/>
    </row>
    <row r="414" spans="1:11" x14ac:dyDescent="0.35">
      <c r="A414" s="14" t="s">
        <v>1531</v>
      </c>
      <c r="B414" s="14" t="s">
        <v>1532</v>
      </c>
      <c r="C414" s="14" t="s">
        <v>831</v>
      </c>
      <c r="D414" s="14" t="s">
        <v>231</v>
      </c>
      <c r="E414" s="14" t="s">
        <v>72</v>
      </c>
      <c r="F414" s="14">
        <v>1</v>
      </c>
      <c r="G414" s="14">
        <v>152010</v>
      </c>
      <c r="H414" s="14">
        <v>0</v>
      </c>
      <c r="I414" s="14" t="s">
        <v>95</v>
      </c>
      <c r="J414" s="14" t="s">
        <v>149</v>
      </c>
      <c r="K414" s="14"/>
    </row>
    <row r="415" spans="1:11" x14ac:dyDescent="0.35">
      <c r="A415" s="14" t="s">
        <v>1533</v>
      </c>
      <c r="B415" s="14" t="s">
        <v>1534</v>
      </c>
      <c r="C415" s="14" t="s">
        <v>637</v>
      </c>
      <c r="D415" s="14" t="s">
        <v>107</v>
      </c>
      <c r="E415" s="14" t="s">
        <v>56</v>
      </c>
      <c r="F415" s="14">
        <v>1</v>
      </c>
      <c r="G415" s="14">
        <v>248860</v>
      </c>
      <c r="H415" s="14">
        <v>0</v>
      </c>
      <c r="I415" s="14" t="s">
        <v>424</v>
      </c>
      <c r="J415" s="14" t="s">
        <v>74</v>
      </c>
      <c r="K415" s="14" t="s">
        <v>1535</v>
      </c>
    </row>
    <row r="416" spans="1:11" x14ac:dyDescent="0.35">
      <c r="A416" s="14" t="s">
        <v>1536</v>
      </c>
      <c r="B416" s="14" t="s">
        <v>247</v>
      </c>
      <c r="C416" s="14"/>
      <c r="D416" s="14" t="s">
        <v>55</v>
      </c>
      <c r="E416" s="14" t="s">
        <v>126</v>
      </c>
      <c r="F416" s="14">
        <v>0</v>
      </c>
      <c r="G416" s="14">
        <v>32120</v>
      </c>
      <c r="H416" s="14">
        <v>5</v>
      </c>
      <c r="I416" s="14" t="s">
        <v>250</v>
      </c>
      <c r="J416" s="14" t="s">
        <v>90</v>
      </c>
      <c r="K416" s="14" t="s">
        <v>1537</v>
      </c>
    </row>
    <row r="417" spans="1:11" x14ac:dyDescent="0.35">
      <c r="A417" s="14" t="s">
        <v>1538</v>
      </c>
      <c r="B417" s="14" t="s">
        <v>1539</v>
      </c>
      <c r="C417" s="14" t="s">
        <v>106</v>
      </c>
      <c r="D417" s="14" t="s">
        <v>472</v>
      </c>
      <c r="E417" s="14" t="s">
        <v>64</v>
      </c>
      <c r="F417" s="14">
        <v>3</v>
      </c>
      <c r="G417" s="14" t="s">
        <v>1540</v>
      </c>
      <c r="H417" s="14">
        <v>10</v>
      </c>
      <c r="I417" s="14" t="s">
        <v>424</v>
      </c>
      <c r="J417" s="14" t="s">
        <v>115</v>
      </c>
      <c r="K417" s="14" t="s">
        <v>1541</v>
      </c>
    </row>
    <row r="418" spans="1:11" x14ac:dyDescent="0.35">
      <c r="A418" s="14" t="s">
        <v>1542</v>
      </c>
      <c r="B418" s="14" t="s">
        <v>1543</v>
      </c>
      <c r="C418" s="14" t="s">
        <v>1305</v>
      </c>
      <c r="D418" s="14" t="s">
        <v>1544</v>
      </c>
      <c r="E418" s="14" t="s">
        <v>80</v>
      </c>
      <c r="F418" s="14">
        <v>1</v>
      </c>
      <c r="G418" s="14">
        <v>59870</v>
      </c>
      <c r="H418" s="14">
        <v>0</v>
      </c>
      <c r="I418" s="14" t="s">
        <v>268</v>
      </c>
      <c r="J418" s="14" t="s">
        <v>115</v>
      </c>
      <c r="K418" s="14"/>
    </row>
    <row r="419" spans="1:11" x14ac:dyDescent="0.35">
      <c r="A419" s="14" t="s">
        <v>1545</v>
      </c>
      <c r="B419" s="14" t="s">
        <v>1546</v>
      </c>
      <c r="C419" s="14" t="s">
        <v>645</v>
      </c>
      <c r="D419" s="14" t="s">
        <v>315</v>
      </c>
      <c r="E419" s="14" t="s">
        <v>64</v>
      </c>
      <c r="F419" s="14">
        <v>2</v>
      </c>
      <c r="G419" s="14">
        <v>98620</v>
      </c>
      <c r="H419" s="14"/>
      <c r="I419" s="14" t="s">
        <v>95</v>
      </c>
      <c r="J419" s="14" t="s">
        <v>149</v>
      </c>
      <c r="K419" s="14"/>
    </row>
    <row r="420" spans="1:11" x14ac:dyDescent="0.35">
      <c r="A420" s="14" t="s">
        <v>1547</v>
      </c>
      <c r="B420" s="14" t="s">
        <v>1548</v>
      </c>
      <c r="C420" s="14"/>
      <c r="D420" s="14" t="s">
        <v>79</v>
      </c>
      <c r="E420" s="14" t="s">
        <v>113</v>
      </c>
      <c r="F420" s="14">
        <v>1</v>
      </c>
      <c r="G420" s="14">
        <v>66400</v>
      </c>
      <c r="H420" s="14">
        <v>15</v>
      </c>
      <c r="I420" s="14" t="s">
        <v>57</v>
      </c>
      <c r="J420" s="14" t="s">
        <v>174</v>
      </c>
      <c r="K420" s="14" t="s">
        <v>1549</v>
      </c>
    </row>
    <row r="421" spans="1:11" x14ac:dyDescent="0.35">
      <c r="A421" s="14" t="s">
        <v>1550</v>
      </c>
      <c r="B421" s="14" t="s">
        <v>1551</v>
      </c>
      <c r="C421" s="14" t="s">
        <v>689</v>
      </c>
      <c r="D421" s="14" t="s">
        <v>249</v>
      </c>
      <c r="E421" s="14" t="s">
        <v>101</v>
      </c>
      <c r="F421" s="14">
        <v>1</v>
      </c>
      <c r="G421" s="14">
        <v>13280</v>
      </c>
      <c r="H421" s="14">
        <v>5</v>
      </c>
      <c r="I421" s="14" t="s">
        <v>114</v>
      </c>
      <c r="J421" s="14" t="s">
        <v>149</v>
      </c>
      <c r="K421" s="14"/>
    </row>
    <row r="422" spans="1:11" x14ac:dyDescent="0.35">
      <c r="A422" s="14" t="s">
        <v>1552</v>
      </c>
      <c r="B422" s="14" t="s">
        <v>1553</v>
      </c>
      <c r="C422" s="14" t="s">
        <v>859</v>
      </c>
      <c r="D422" s="14" t="s">
        <v>520</v>
      </c>
      <c r="E422" s="14" t="s">
        <v>80</v>
      </c>
      <c r="F422" s="14">
        <v>1</v>
      </c>
      <c r="G422" s="14">
        <v>179070</v>
      </c>
      <c r="H422" s="14"/>
      <c r="I422" s="14" t="s">
        <v>378</v>
      </c>
      <c r="J422" s="14" t="s">
        <v>58</v>
      </c>
      <c r="K422" s="14" t="s">
        <v>1554</v>
      </c>
    </row>
    <row r="423" spans="1:11" x14ac:dyDescent="0.35">
      <c r="A423" s="14" t="s">
        <v>1555</v>
      </c>
      <c r="B423" s="14" t="s">
        <v>1556</v>
      </c>
      <c r="C423" s="14" t="s">
        <v>791</v>
      </c>
      <c r="D423" s="14" t="s">
        <v>684</v>
      </c>
      <c r="E423" s="14" t="s">
        <v>64</v>
      </c>
      <c r="F423" s="14">
        <v>0</v>
      </c>
      <c r="G423" s="14" t="s">
        <v>1557</v>
      </c>
      <c r="H423" s="14">
        <v>5</v>
      </c>
      <c r="I423" s="14" t="s">
        <v>82</v>
      </c>
      <c r="J423" s="14" t="s">
        <v>90</v>
      </c>
      <c r="K423" s="14"/>
    </row>
    <row r="424" spans="1:11" x14ac:dyDescent="0.35">
      <c r="A424" s="14" t="s">
        <v>1558</v>
      </c>
      <c r="B424" s="14" t="s">
        <v>1559</v>
      </c>
      <c r="C424" s="14" t="s">
        <v>740</v>
      </c>
      <c r="D424" s="14" t="s">
        <v>240</v>
      </c>
      <c r="E424" s="14" t="s">
        <v>56</v>
      </c>
      <c r="F424" s="14">
        <v>-1</v>
      </c>
      <c r="G424" s="14">
        <v>154800</v>
      </c>
      <c r="H424" s="14">
        <v>5</v>
      </c>
      <c r="I424" s="14" t="s">
        <v>250</v>
      </c>
      <c r="J424" s="14" t="s">
        <v>83</v>
      </c>
      <c r="K424" s="14"/>
    </row>
    <row r="425" spans="1:11" x14ac:dyDescent="0.35">
      <c r="A425" s="14" t="s">
        <v>1560</v>
      </c>
      <c r="B425" s="14" t="s">
        <v>1331</v>
      </c>
      <c r="C425" s="14" t="s">
        <v>1486</v>
      </c>
      <c r="D425" s="14" t="s">
        <v>163</v>
      </c>
      <c r="E425" s="14" t="s">
        <v>72</v>
      </c>
      <c r="F425" s="14">
        <v>3</v>
      </c>
      <c r="G425" s="14">
        <v>155010</v>
      </c>
      <c r="H425" s="14"/>
      <c r="I425" s="14" t="s">
        <v>424</v>
      </c>
      <c r="J425" s="14" t="s">
        <v>66</v>
      </c>
      <c r="K425" s="14" t="s">
        <v>1561</v>
      </c>
    </row>
    <row r="426" spans="1:11" x14ac:dyDescent="0.35">
      <c r="A426" s="14" t="s">
        <v>1562</v>
      </c>
      <c r="B426" s="14" t="s">
        <v>1563</v>
      </c>
      <c r="C426" s="14" t="s">
        <v>462</v>
      </c>
      <c r="D426" s="14" t="s">
        <v>278</v>
      </c>
      <c r="E426" s="14" t="s">
        <v>108</v>
      </c>
      <c r="F426" s="14">
        <v>0</v>
      </c>
      <c r="G426" s="14">
        <v>198990</v>
      </c>
      <c r="H426" s="14">
        <v>0</v>
      </c>
      <c r="I426" s="14" t="s">
        <v>95</v>
      </c>
      <c r="J426" s="14" t="s">
        <v>174</v>
      </c>
      <c r="K426" s="14" t="s">
        <v>1564</v>
      </c>
    </row>
    <row r="427" spans="1:11" x14ac:dyDescent="0.35">
      <c r="A427" s="14" t="s">
        <v>1565</v>
      </c>
      <c r="B427" s="14" t="s">
        <v>1566</v>
      </c>
      <c r="C427" s="14" t="s">
        <v>1240</v>
      </c>
      <c r="D427" s="14" t="s">
        <v>342</v>
      </c>
      <c r="E427" s="14" t="s">
        <v>101</v>
      </c>
      <c r="F427" s="14">
        <v>2</v>
      </c>
      <c r="G427" s="14">
        <v>239340</v>
      </c>
      <c r="H427" s="14" t="s">
        <v>81</v>
      </c>
      <c r="I427" s="14" t="s">
        <v>95</v>
      </c>
      <c r="J427" s="14" t="s">
        <v>115</v>
      </c>
      <c r="K427" s="14"/>
    </row>
    <row r="428" spans="1:11" x14ac:dyDescent="0.35">
      <c r="A428" s="14" t="s">
        <v>1567</v>
      </c>
      <c r="B428" s="14" t="s">
        <v>1568</v>
      </c>
      <c r="C428" s="14" t="s">
        <v>277</v>
      </c>
      <c r="D428" s="14" t="s">
        <v>125</v>
      </c>
      <c r="E428" s="14" t="s">
        <v>113</v>
      </c>
      <c r="F428" s="14">
        <v>2</v>
      </c>
      <c r="G428" s="14">
        <v>43660</v>
      </c>
      <c r="H428" s="14">
        <v>0</v>
      </c>
      <c r="I428" s="14" t="s">
        <v>73</v>
      </c>
      <c r="J428" s="14" t="s">
        <v>149</v>
      </c>
      <c r="K428" s="14" t="s">
        <v>1569</v>
      </c>
    </row>
    <row r="429" spans="1:11" x14ac:dyDescent="0.35">
      <c r="A429" s="14" t="s">
        <v>1570</v>
      </c>
      <c r="B429" s="14" t="s">
        <v>1571</v>
      </c>
      <c r="C429" s="14" t="s">
        <v>171</v>
      </c>
      <c r="D429" s="14" t="s">
        <v>196</v>
      </c>
      <c r="E429" s="14" t="s">
        <v>126</v>
      </c>
      <c r="F429" s="14">
        <v>3</v>
      </c>
      <c r="G429" s="14">
        <v>10710</v>
      </c>
      <c r="H429" s="14">
        <v>-5</v>
      </c>
      <c r="I429" s="14" t="s">
        <v>82</v>
      </c>
      <c r="J429" s="14" t="s">
        <v>83</v>
      </c>
      <c r="K429" s="14" t="s">
        <v>1572</v>
      </c>
    </row>
    <row r="430" spans="1:11" x14ac:dyDescent="0.35">
      <c r="A430" s="14" t="s">
        <v>1573</v>
      </c>
      <c r="B430" s="14" t="s">
        <v>1574</v>
      </c>
      <c r="C430" s="14" t="s">
        <v>799</v>
      </c>
      <c r="D430" s="14" t="s">
        <v>550</v>
      </c>
      <c r="E430" s="14" t="s">
        <v>108</v>
      </c>
      <c r="F430" s="14">
        <v>3</v>
      </c>
      <c r="G430" s="14">
        <v>24540</v>
      </c>
      <c r="H430" s="14">
        <v>-5</v>
      </c>
      <c r="I430" s="14" t="s">
        <v>65</v>
      </c>
      <c r="J430" s="14" t="s">
        <v>115</v>
      </c>
      <c r="K430" s="14" t="s">
        <v>1575</v>
      </c>
    </row>
    <row r="431" spans="1:11" x14ac:dyDescent="0.35">
      <c r="A431" s="14" t="s">
        <v>1576</v>
      </c>
      <c r="B431" s="14" t="s">
        <v>1577</v>
      </c>
      <c r="C431" s="14" t="s">
        <v>1578</v>
      </c>
      <c r="D431" s="14" t="s">
        <v>107</v>
      </c>
      <c r="E431" s="14" t="s">
        <v>108</v>
      </c>
      <c r="F431" s="14">
        <v>1</v>
      </c>
      <c r="G431" s="14">
        <v>159910</v>
      </c>
      <c r="H431" s="14" t="s">
        <v>81</v>
      </c>
      <c r="I431" s="14" t="s">
        <v>73</v>
      </c>
      <c r="J431" s="14" t="s">
        <v>83</v>
      </c>
      <c r="K431" s="14"/>
    </row>
    <row r="432" spans="1:11" x14ac:dyDescent="0.35">
      <c r="A432" s="14" t="s">
        <v>1579</v>
      </c>
      <c r="B432" s="14" t="s">
        <v>1580</v>
      </c>
      <c r="C432" s="14" t="s">
        <v>285</v>
      </c>
      <c r="D432" s="14" t="s">
        <v>112</v>
      </c>
      <c r="E432" s="14" t="s">
        <v>64</v>
      </c>
      <c r="F432" s="14">
        <v>3</v>
      </c>
      <c r="G432" s="14">
        <v>64430</v>
      </c>
      <c r="H432" s="14">
        <v>15</v>
      </c>
      <c r="I432" s="14" t="s">
        <v>95</v>
      </c>
      <c r="J432" s="14" t="s">
        <v>174</v>
      </c>
      <c r="K432" s="14" t="s">
        <v>1581</v>
      </c>
    </row>
    <row r="433" spans="1:11" x14ac:dyDescent="0.35">
      <c r="A433" s="14" t="s">
        <v>1582</v>
      </c>
      <c r="B433" s="14" t="s">
        <v>1583</v>
      </c>
      <c r="C433" s="14" t="s">
        <v>1584</v>
      </c>
      <c r="D433" s="14" t="s">
        <v>196</v>
      </c>
      <c r="E433" s="14" t="s">
        <v>108</v>
      </c>
      <c r="F433" s="14">
        <v>2</v>
      </c>
      <c r="G433" s="14">
        <v>41320</v>
      </c>
      <c r="H433" s="14" t="s">
        <v>81</v>
      </c>
      <c r="I433" s="14" t="s">
        <v>121</v>
      </c>
      <c r="J433" s="14" t="s">
        <v>174</v>
      </c>
      <c r="K433" s="14" t="s">
        <v>1585</v>
      </c>
    </row>
    <row r="434" spans="1:11" x14ac:dyDescent="0.35">
      <c r="A434" s="14" t="s">
        <v>1586</v>
      </c>
      <c r="B434" s="14" t="s">
        <v>1587</v>
      </c>
      <c r="C434" s="14" t="s">
        <v>1244</v>
      </c>
      <c r="D434" s="14" t="s">
        <v>216</v>
      </c>
      <c r="E434" s="14" t="s">
        <v>80</v>
      </c>
      <c r="F434" s="14">
        <v>0</v>
      </c>
      <c r="G434" s="14" t="s">
        <v>1588</v>
      </c>
      <c r="H434" s="14"/>
      <c r="I434" s="14" t="s">
        <v>250</v>
      </c>
      <c r="J434" s="14" t="s">
        <v>115</v>
      </c>
      <c r="K434" s="14" t="s">
        <v>1589</v>
      </c>
    </row>
    <row r="435" spans="1:11" x14ac:dyDescent="0.35">
      <c r="A435" s="14" t="s">
        <v>1590</v>
      </c>
      <c r="B435" s="14" t="s">
        <v>1591</v>
      </c>
      <c r="C435" s="14" t="s">
        <v>225</v>
      </c>
      <c r="D435" s="14" t="s">
        <v>684</v>
      </c>
      <c r="E435" s="14" t="s">
        <v>64</v>
      </c>
      <c r="F435" s="14">
        <v>2</v>
      </c>
      <c r="G435" s="14">
        <v>18500</v>
      </c>
      <c r="H435" s="14"/>
      <c r="I435" s="14" t="s">
        <v>65</v>
      </c>
      <c r="J435" s="14" t="s">
        <v>174</v>
      </c>
      <c r="K435" s="14" t="s">
        <v>1592</v>
      </c>
    </row>
    <row r="436" spans="1:11" x14ac:dyDescent="0.35">
      <c r="A436" s="14" t="s">
        <v>1593</v>
      </c>
      <c r="B436" s="14" t="s">
        <v>1594</v>
      </c>
      <c r="C436" s="14" t="s">
        <v>211</v>
      </c>
      <c r="D436" s="14" t="s">
        <v>79</v>
      </c>
      <c r="E436" s="14" t="s">
        <v>108</v>
      </c>
      <c r="F436" s="14">
        <v>0</v>
      </c>
      <c r="G436" s="14">
        <v>31740</v>
      </c>
      <c r="H436" s="14">
        <v>0</v>
      </c>
      <c r="I436" s="14" t="s">
        <v>121</v>
      </c>
      <c r="J436" s="14" t="s">
        <v>149</v>
      </c>
      <c r="K436" s="14"/>
    </row>
    <row r="437" spans="1:11" x14ac:dyDescent="0.35">
      <c r="A437" s="14" t="s">
        <v>1595</v>
      </c>
      <c r="B437" s="14" t="s">
        <v>1596</v>
      </c>
      <c r="C437" s="14" t="s">
        <v>385</v>
      </c>
      <c r="D437" s="14" t="s">
        <v>259</v>
      </c>
      <c r="E437" s="14" t="s">
        <v>80</v>
      </c>
      <c r="F437" s="14">
        <v>1</v>
      </c>
      <c r="G437" s="14">
        <v>66660</v>
      </c>
      <c r="H437" s="14">
        <v>5</v>
      </c>
      <c r="I437" s="14" t="s">
        <v>73</v>
      </c>
      <c r="J437" s="14" t="s">
        <v>66</v>
      </c>
      <c r="K437" s="14" t="s">
        <v>1597</v>
      </c>
    </row>
    <row r="438" spans="1:11" x14ac:dyDescent="0.35">
      <c r="A438" s="14" t="s">
        <v>1598</v>
      </c>
      <c r="B438" s="14" t="s">
        <v>1599</v>
      </c>
      <c r="C438" s="14" t="s">
        <v>1502</v>
      </c>
      <c r="D438" s="14" t="s">
        <v>207</v>
      </c>
      <c r="E438" s="14" t="s">
        <v>64</v>
      </c>
      <c r="F438" s="14">
        <v>1</v>
      </c>
      <c r="G438" s="14" t="s">
        <v>1600</v>
      </c>
      <c r="H438" s="14" t="s">
        <v>81</v>
      </c>
      <c r="I438" s="14" t="s">
        <v>378</v>
      </c>
      <c r="J438" s="14" t="s">
        <v>90</v>
      </c>
      <c r="K438" s="14"/>
    </row>
    <row r="439" spans="1:11" x14ac:dyDescent="0.35">
      <c r="A439" s="14" t="s">
        <v>1601</v>
      </c>
      <c r="B439" s="14" t="s">
        <v>1602</v>
      </c>
      <c r="C439" s="14" t="s">
        <v>758</v>
      </c>
      <c r="D439" s="14" t="s">
        <v>445</v>
      </c>
      <c r="E439" s="14" t="s">
        <v>101</v>
      </c>
      <c r="F439" s="14">
        <v>1</v>
      </c>
      <c r="G439" s="14">
        <v>138840</v>
      </c>
      <c r="H439" s="14">
        <v>-5</v>
      </c>
      <c r="I439" s="14" t="s">
        <v>378</v>
      </c>
      <c r="J439" s="14" t="s">
        <v>115</v>
      </c>
      <c r="K439" s="14" t="s">
        <v>1603</v>
      </c>
    </row>
    <row r="440" spans="1:11" x14ac:dyDescent="0.35">
      <c r="A440" s="14" t="s">
        <v>1604</v>
      </c>
      <c r="B440" s="14" t="s">
        <v>1605</v>
      </c>
      <c r="C440" s="14" t="s">
        <v>1301</v>
      </c>
      <c r="D440" s="14" t="s">
        <v>192</v>
      </c>
      <c r="E440" s="14" t="s">
        <v>56</v>
      </c>
      <c r="F440" s="14">
        <v>-1</v>
      </c>
      <c r="G440" s="14">
        <v>150850</v>
      </c>
      <c r="H440" s="14" t="s">
        <v>81</v>
      </c>
      <c r="I440" s="14" t="s">
        <v>57</v>
      </c>
      <c r="J440" s="14" t="s">
        <v>149</v>
      </c>
      <c r="K440" s="14" t="s">
        <v>1606</v>
      </c>
    </row>
    <row r="441" spans="1:11" x14ac:dyDescent="0.35">
      <c r="A441" s="14" t="s">
        <v>1607</v>
      </c>
      <c r="B441" s="14" t="s">
        <v>1608</v>
      </c>
      <c r="C441" s="14"/>
      <c r="D441" s="14" t="s">
        <v>435</v>
      </c>
      <c r="E441" s="14" t="s">
        <v>101</v>
      </c>
      <c r="F441" s="14">
        <v>3</v>
      </c>
      <c r="G441" s="14">
        <v>89820</v>
      </c>
      <c r="H441" s="14">
        <v>0</v>
      </c>
      <c r="I441" s="14" t="s">
        <v>73</v>
      </c>
      <c r="J441" s="14" t="s">
        <v>74</v>
      </c>
      <c r="K441" s="14" t="s">
        <v>1609</v>
      </c>
    </row>
    <row r="442" spans="1:11" x14ac:dyDescent="0.35">
      <c r="A442" s="14" t="s">
        <v>1610</v>
      </c>
      <c r="B442" s="14" t="s">
        <v>1611</v>
      </c>
      <c r="C442" s="14" t="s">
        <v>558</v>
      </c>
      <c r="D442" s="14" t="s">
        <v>432</v>
      </c>
      <c r="E442" s="14" t="s">
        <v>56</v>
      </c>
      <c r="F442" s="14">
        <v>3</v>
      </c>
      <c r="G442" s="14">
        <v>39370</v>
      </c>
      <c r="H442" s="14">
        <v>0</v>
      </c>
      <c r="I442" s="14" t="s">
        <v>268</v>
      </c>
      <c r="J442" s="14" t="s">
        <v>83</v>
      </c>
      <c r="K442" s="14" t="s">
        <v>1612</v>
      </c>
    </row>
    <row r="443" spans="1:11" x14ac:dyDescent="0.35">
      <c r="A443" s="14" t="s">
        <v>1613</v>
      </c>
      <c r="B443" s="14" t="s">
        <v>1614</v>
      </c>
      <c r="C443" s="14" t="s">
        <v>457</v>
      </c>
      <c r="D443" s="14" t="s">
        <v>989</v>
      </c>
      <c r="E443" s="14" t="s">
        <v>108</v>
      </c>
      <c r="F443" s="14">
        <v>2</v>
      </c>
      <c r="G443" s="14" t="s">
        <v>1615</v>
      </c>
      <c r="H443" s="14">
        <v>5</v>
      </c>
      <c r="I443" s="14" t="s">
        <v>250</v>
      </c>
      <c r="J443" s="14" t="s">
        <v>115</v>
      </c>
      <c r="K443" s="14"/>
    </row>
    <row r="444" spans="1:11" x14ac:dyDescent="0.35">
      <c r="A444" s="14" t="s">
        <v>1616</v>
      </c>
      <c r="B444" s="14" t="s">
        <v>1617</v>
      </c>
      <c r="C444" s="14" t="s">
        <v>758</v>
      </c>
      <c r="D444" s="14" t="s">
        <v>163</v>
      </c>
      <c r="E444" s="14" t="s">
        <v>126</v>
      </c>
      <c r="F444" s="14">
        <v>1</v>
      </c>
      <c r="G444" s="14" t="s">
        <v>1618</v>
      </c>
      <c r="H444" s="14">
        <v>0</v>
      </c>
      <c r="I444" s="14" t="s">
        <v>82</v>
      </c>
      <c r="J444" s="14" t="s">
        <v>174</v>
      </c>
      <c r="K444" s="14" t="s">
        <v>1619</v>
      </c>
    </row>
    <row r="445" spans="1:11" x14ac:dyDescent="0.35">
      <c r="A445" s="14" t="s">
        <v>1620</v>
      </c>
      <c r="B445" s="14" t="s">
        <v>1621</v>
      </c>
      <c r="C445" s="14" t="s">
        <v>277</v>
      </c>
      <c r="D445" s="14" t="s">
        <v>167</v>
      </c>
      <c r="E445" s="14" t="s">
        <v>56</v>
      </c>
      <c r="F445" s="14">
        <v>2</v>
      </c>
      <c r="G445" s="14">
        <v>45880</v>
      </c>
      <c r="H445" s="14">
        <v>5</v>
      </c>
      <c r="I445" s="14" t="s">
        <v>121</v>
      </c>
      <c r="J445" s="14" t="s">
        <v>174</v>
      </c>
      <c r="K445" s="14" t="s">
        <v>1622</v>
      </c>
    </row>
    <row r="446" spans="1:11" x14ac:dyDescent="0.35">
      <c r="A446" s="14" t="s">
        <v>1623</v>
      </c>
      <c r="B446" s="14" t="s">
        <v>1624</v>
      </c>
      <c r="C446" s="14" t="s">
        <v>1332</v>
      </c>
      <c r="D446" s="14" t="s">
        <v>576</v>
      </c>
      <c r="E446" s="14" t="s">
        <v>80</v>
      </c>
      <c r="F446" s="14">
        <v>1</v>
      </c>
      <c r="G446" s="14">
        <v>111690</v>
      </c>
      <c r="H446" s="14"/>
      <c r="I446" s="14" t="s">
        <v>57</v>
      </c>
      <c r="J446" s="14" t="s">
        <v>174</v>
      </c>
      <c r="K446" s="14" t="s">
        <v>1625</v>
      </c>
    </row>
    <row r="447" spans="1:11" x14ac:dyDescent="0.35">
      <c r="A447" s="14" t="s">
        <v>1626</v>
      </c>
      <c r="B447" s="14" t="s">
        <v>1627</v>
      </c>
      <c r="C447" s="14" t="s">
        <v>1289</v>
      </c>
      <c r="D447" s="14" t="s">
        <v>216</v>
      </c>
      <c r="E447" s="14" t="s">
        <v>64</v>
      </c>
      <c r="F447" s="14">
        <v>2</v>
      </c>
      <c r="G447" s="14" t="s">
        <v>1628</v>
      </c>
      <c r="H447" s="14">
        <v>15</v>
      </c>
      <c r="I447" s="14" t="s">
        <v>65</v>
      </c>
      <c r="J447" s="14" t="s">
        <v>149</v>
      </c>
      <c r="K447" s="14"/>
    </row>
    <row r="448" spans="1:11" x14ac:dyDescent="0.35">
      <c r="A448" s="14" t="s">
        <v>1629</v>
      </c>
      <c r="B448" s="14" t="s">
        <v>1630</v>
      </c>
      <c r="C448" s="14" t="s">
        <v>791</v>
      </c>
      <c r="D448" s="14" t="s">
        <v>360</v>
      </c>
      <c r="E448" s="14" t="s">
        <v>56</v>
      </c>
      <c r="F448" s="14">
        <v>3</v>
      </c>
      <c r="G448" s="14" t="s">
        <v>1631</v>
      </c>
      <c r="H448" s="14">
        <v>5</v>
      </c>
      <c r="I448" s="14" t="s">
        <v>158</v>
      </c>
      <c r="J448" s="14" t="s">
        <v>115</v>
      </c>
      <c r="K448" s="14"/>
    </row>
    <row r="449" spans="1:11" x14ac:dyDescent="0.35">
      <c r="A449" s="14" t="s">
        <v>1632</v>
      </c>
      <c r="B449" s="14" t="s">
        <v>1074</v>
      </c>
      <c r="C449" s="14" t="s">
        <v>915</v>
      </c>
      <c r="D449" s="14" t="s">
        <v>576</v>
      </c>
      <c r="E449" s="14" t="s">
        <v>126</v>
      </c>
      <c r="F449" s="14">
        <v>0</v>
      </c>
      <c r="G449" s="14">
        <v>30910</v>
      </c>
      <c r="H449" s="14">
        <v>15</v>
      </c>
      <c r="I449" s="14" t="s">
        <v>121</v>
      </c>
      <c r="J449" s="14" t="s">
        <v>115</v>
      </c>
      <c r="K449" s="14"/>
    </row>
    <row r="450" spans="1:11" x14ac:dyDescent="0.35">
      <c r="A450" s="14" t="s">
        <v>1633</v>
      </c>
      <c r="B450" s="14" t="s">
        <v>1634</v>
      </c>
      <c r="C450" s="14" t="s">
        <v>524</v>
      </c>
      <c r="D450" s="14" t="s">
        <v>736</v>
      </c>
      <c r="E450" s="14" t="s">
        <v>80</v>
      </c>
      <c r="F450" s="14">
        <v>0</v>
      </c>
      <c r="G450" s="14">
        <v>19700</v>
      </c>
      <c r="H450" s="14" t="s">
        <v>81</v>
      </c>
      <c r="I450" s="14" t="s">
        <v>114</v>
      </c>
      <c r="J450" s="14" t="s">
        <v>174</v>
      </c>
      <c r="K450" s="14" t="s">
        <v>1635</v>
      </c>
    </row>
    <row r="451" spans="1:11" x14ac:dyDescent="0.35">
      <c r="A451" s="14" t="s">
        <v>1636</v>
      </c>
      <c r="B451" s="14" t="s">
        <v>1637</v>
      </c>
      <c r="C451" s="14" t="s">
        <v>1085</v>
      </c>
      <c r="D451" s="14" t="s">
        <v>207</v>
      </c>
      <c r="E451" s="14" t="s">
        <v>64</v>
      </c>
      <c r="F451" s="14">
        <v>1</v>
      </c>
      <c r="G451" s="14">
        <v>168260</v>
      </c>
      <c r="H451" s="14">
        <v>10</v>
      </c>
      <c r="I451" s="14" t="s">
        <v>121</v>
      </c>
      <c r="J451" s="14" t="s">
        <v>74</v>
      </c>
      <c r="K451" s="14" t="s">
        <v>1638</v>
      </c>
    </row>
    <row r="452" spans="1:11" x14ac:dyDescent="0.35">
      <c r="A452" s="14" t="s">
        <v>1639</v>
      </c>
      <c r="B452" s="14" t="s">
        <v>1640</v>
      </c>
      <c r="C452" s="14" t="s">
        <v>368</v>
      </c>
      <c r="D452" s="14" t="s">
        <v>315</v>
      </c>
      <c r="E452" s="14" t="s">
        <v>72</v>
      </c>
      <c r="F452" s="14">
        <v>3</v>
      </c>
      <c r="G452" s="14">
        <v>82220</v>
      </c>
      <c r="H452" s="14">
        <v>10</v>
      </c>
      <c r="I452" s="14" t="s">
        <v>268</v>
      </c>
      <c r="J452" s="14" t="s">
        <v>174</v>
      </c>
      <c r="K452" s="14" t="s">
        <v>1641</v>
      </c>
    </row>
    <row r="453" spans="1:11" x14ac:dyDescent="0.35">
      <c r="A453" s="14" t="s">
        <v>1642</v>
      </c>
      <c r="B453" s="14" t="s">
        <v>1643</v>
      </c>
      <c r="C453" s="14" t="s">
        <v>267</v>
      </c>
      <c r="D453" s="14" t="s">
        <v>369</v>
      </c>
      <c r="E453" s="14" t="s">
        <v>56</v>
      </c>
      <c r="F453" s="14">
        <v>0</v>
      </c>
      <c r="G453" s="14">
        <v>11090</v>
      </c>
      <c r="H453" s="14"/>
      <c r="I453" s="14" t="s">
        <v>121</v>
      </c>
      <c r="J453" s="14" t="s">
        <v>115</v>
      </c>
      <c r="K453" s="14"/>
    </row>
    <row r="454" spans="1:11" x14ac:dyDescent="0.35">
      <c r="A454" s="14" t="s">
        <v>1644</v>
      </c>
      <c r="B454" s="14" t="s">
        <v>1645</v>
      </c>
      <c r="C454" s="14" t="s">
        <v>621</v>
      </c>
      <c r="D454" s="14" t="s">
        <v>63</v>
      </c>
      <c r="E454" s="14" t="s">
        <v>56</v>
      </c>
      <c r="F454" s="14">
        <v>3</v>
      </c>
      <c r="G454" s="14">
        <v>179120</v>
      </c>
      <c r="H454" s="14">
        <v>10</v>
      </c>
      <c r="I454" s="14" t="s">
        <v>121</v>
      </c>
      <c r="J454" s="14" t="s">
        <v>58</v>
      </c>
      <c r="K454" s="14" t="s">
        <v>1646</v>
      </c>
    </row>
    <row r="455" spans="1:11" x14ac:dyDescent="0.35">
      <c r="A455" s="14" t="s">
        <v>1647</v>
      </c>
      <c r="B455" s="14" t="s">
        <v>1648</v>
      </c>
      <c r="C455" s="14" t="s">
        <v>1470</v>
      </c>
      <c r="D455" s="14" t="s">
        <v>249</v>
      </c>
      <c r="E455" s="14" t="s">
        <v>126</v>
      </c>
      <c r="F455" s="14">
        <v>0</v>
      </c>
      <c r="G455" s="14" t="s">
        <v>1649</v>
      </c>
      <c r="H455" s="14">
        <v>0</v>
      </c>
      <c r="I455" s="14" t="s">
        <v>57</v>
      </c>
      <c r="J455" s="14" t="s">
        <v>174</v>
      </c>
      <c r="K455" s="14" t="s">
        <v>1650</v>
      </c>
    </row>
    <row r="456" spans="1:11" x14ac:dyDescent="0.35">
      <c r="A456" s="14" t="s">
        <v>1651</v>
      </c>
      <c r="B456" s="14" t="s">
        <v>1652</v>
      </c>
      <c r="C456" s="14" t="s">
        <v>1332</v>
      </c>
      <c r="D456" s="14" t="s">
        <v>348</v>
      </c>
      <c r="E456" s="14" t="s">
        <v>80</v>
      </c>
      <c r="F456" s="14">
        <v>2</v>
      </c>
      <c r="G456" s="14">
        <v>168900</v>
      </c>
      <c r="H456" s="14"/>
      <c r="I456" s="14" t="s">
        <v>268</v>
      </c>
      <c r="J456" s="14" t="s">
        <v>74</v>
      </c>
      <c r="K456" s="14" t="s">
        <v>1653</v>
      </c>
    </row>
    <row r="457" spans="1:11" x14ac:dyDescent="0.35">
      <c r="A457" s="14" t="s">
        <v>1654</v>
      </c>
      <c r="B457" s="14" t="s">
        <v>1655</v>
      </c>
      <c r="C457" s="14" t="s">
        <v>890</v>
      </c>
      <c r="D457" s="14" t="s">
        <v>94</v>
      </c>
      <c r="E457" s="14" t="s">
        <v>126</v>
      </c>
      <c r="F457" s="14">
        <v>3</v>
      </c>
      <c r="G457" s="14">
        <v>203130</v>
      </c>
      <c r="H457" s="14"/>
      <c r="I457" s="14" t="s">
        <v>73</v>
      </c>
      <c r="J457" s="14" t="s">
        <v>149</v>
      </c>
      <c r="K457" s="14" t="s">
        <v>1656</v>
      </c>
    </row>
    <row r="458" spans="1:11" x14ac:dyDescent="0.35">
      <c r="A458" s="14" t="s">
        <v>1657</v>
      </c>
      <c r="B458" s="14" t="s">
        <v>1658</v>
      </c>
      <c r="C458" s="14" t="s">
        <v>178</v>
      </c>
      <c r="D458" s="14" t="s">
        <v>390</v>
      </c>
      <c r="E458" s="14" t="s">
        <v>64</v>
      </c>
      <c r="F458" s="14">
        <v>0</v>
      </c>
      <c r="G458" s="14" t="s">
        <v>1659</v>
      </c>
      <c r="H458" s="14">
        <v>-5</v>
      </c>
      <c r="I458" s="14" t="s">
        <v>121</v>
      </c>
      <c r="J458" s="14" t="s">
        <v>58</v>
      </c>
      <c r="K458" s="14" t="s">
        <v>1660</v>
      </c>
    </row>
    <row r="459" spans="1:11" x14ac:dyDescent="0.35">
      <c r="A459" s="14" t="s">
        <v>1661</v>
      </c>
      <c r="B459" s="14" t="s">
        <v>1662</v>
      </c>
      <c r="C459" s="14" t="s">
        <v>414</v>
      </c>
      <c r="D459" s="14" t="s">
        <v>63</v>
      </c>
      <c r="E459" s="14" t="s">
        <v>108</v>
      </c>
      <c r="F459" s="14">
        <v>1</v>
      </c>
      <c r="G459" s="14" t="s">
        <v>1663</v>
      </c>
      <c r="H459" s="14">
        <v>15</v>
      </c>
      <c r="I459" s="14" t="s">
        <v>95</v>
      </c>
      <c r="J459" s="14" t="s">
        <v>90</v>
      </c>
      <c r="K459" s="14"/>
    </row>
    <row r="460" spans="1:11" x14ac:dyDescent="0.35">
      <c r="A460" s="14" t="s">
        <v>1664</v>
      </c>
      <c r="B460" s="14" t="s">
        <v>1665</v>
      </c>
      <c r="C460" s="14" t="s">
        <v>368</v>
      </c>
      <c r="D460" s="14" t="s">
        <v>120</v>
      </c>
      <c r="E460" s="14" t="s">
        <v>72</v>
      </c>
      <c r="F460" s="14">
        <v>0</v>
      </c>
      <c r="G460" s="14">
        <v>158200</v>
      </c>
      <c r="H460" s="14">
        <v>5</v>
      </c>
      <c r="I460" s="14" t="s">
        <v>89</v>
      </c>
      <c r="J460" s="14" t="s">
        <v>83</v>
      </c>
      <c r="K460" s="14"/>
    </row>
    <row r="461" spans="1:11" x14ac:dyDescent="0.35">
      <c r="A461" s="14" t="s">
        <v>1666</v>
      </c>
      <c r="B461" s="14" t="s">
        <v>1667</v>
      </c>
      <c r="C461" s="14" t="s">
        <v>400</v>
      </c>
      <c r="D461" s="14" t="s">
        <v>390</v>
      </c>
      <c r="E461" s="14" t="s">
        <v>108</v>
      </c>
      <c r="F461" s="14">
        <v>2</v>
      </c>
      <c r="G461" s="14">
        <v>79440</v>
      </c>
      <c r="H461" s="14">
        <v>15</v>
      </c>
      <c r="I461" s="14" t="s">
        <v>57</v>
      </c>
      <c r="J461" s="14" t="s">
        <v>58</v>
      </c>
      <c r="K461" s="14" t="s">
        <v>1668</v>
      </c>
    </row>
    <row r="462" spans="1:11" x14ac:dyDescent="0.35">
      <c r="A462" s="14" t="s">
        <v>1669</v>
      </c>
      <c r="B462" s="14" t="s">
        <v>1670</v>
      </c>
      <c r="C462" s="14" t="s">
        <v>129</v>
      </c>
      <c r="D462" s="14" t="s">
        <v>179</v>
      </c>
      <c r="E462" s="14" t="s">
        <v>113</v>
      </c>
      <c r="F462" s="14">
        <v>0</v>
      </c>
      <c r="G462" s="14" t="s">
        <v>1671</v>
      </c>
      <c r="H462" s="14">
        <v>0</v>
      </c>
      <c r="I462" s="14" t="s">
        <v>424</v>
      </c>
      <c r="J462" s="14" t="s">
        <v>74</v>
      </c>
      <c r="K462" s="14" t="s">
        <v>1672</v>
      </c>
    </row>
    <row r="463" spans="1:11" x14ac:dyDescent="0.35">
      <c r="A463" s="14" t="s">
        <v>1673</v>
      </c>
      <c r="B463" s="14" t="s">
        <v>1674</v>
      </c>
      <c r="C463" s="14" t="s">
        <v>157</v>
      </c>
      <c r="D463" s="14" t="s">
        <v>315</v>
      </c>
      <c r="E463" s="14" t="s">
        <v>108</v>
      </c>
      <c r="F463" s="14">
        <v>2</v>
      </c>
      <c r="G463" s="14">
        <v>115170</v>
      </c>
      <c r="H463" s="14">
        <v>0</v>
      </c>
      <c r="I463" s="14" t="s">
        <v>268</v>
      </c>
      <c r="J463" s="14" t="s">
        <v>74</v>
      </c>
      <c r="K463" s="14" t="s">
        <v>1675</v>
      </c>
    </row>
    <row r="464" spans="1:11" x14ac:dyDescent="0.35">
      <c r="A464" s="14" t="s">
        <v>1676</v>
      </c>
      <c r="B464" s="14" t="s">
        <v>1677</v>
      </c>
      <c r="C464" s="14" t="s">
        <v>1224</v>
      </c>
      <c r="D464" s="14" t="s">
        <v>520</v>
      </c>
      <c r="E464" s="14" t="s">
        <v>64</v>
      </c>
      <c r="F464" s="14">
        <v>1</v>
      </c>
      <c r="G464" s="14">
        <v>22420</v>
      </c>
      <c r="H464" s="14" t="s">
        <v>81</v>
      </c>
      <c r="I464" s="14" t="s">
        <v>65</v>
      </c>
      <c r="J464" s="14" t="s">
        <v>174</v>
      </c>
      <c r="K464" s="14" t="s">
        <v>1678</v>
      </c>
    </row>
    <row r="465" spans="1:11" x14ac:dyDescent="0.35">
      <c r="A465" s="14" t="s">
        <v>1679</v>
      </c>
      <c r="B465" s="14" t="s">
        <v>1680</v>
      </c>
      <c r="C465" s="14" t="s">
        <v>1009</v>
      </c>
      <c r="D465" s="14" t="s">
        <v>576</v>
      </c>
      <c r="E465" s="14" t="s">
        <v>101</v>
      </c>
      <c r="F465" s="14">
        <v>3</v>
      </c>
      <c r="G465" s="14">
        <v>145200</v>
      </c>
      <c r="H465" s="14">
        <v>5</v>
      </c>
      <c r="I465" s="14" t="s">
        <v>95</v>
      </c>
      <c r="J465" s="14" t="s">
        <v>74</v>
      </c>
      <c r="K465" s="14" t="s">
        <v>1681</v>
      </c>
    </row>
    <row r="466" spans="1:11" x14ac:dyDescent="0.35">
      <c r="A466" s="14" t="s">
        <v>1682</v>
      </c>
      <c r="B466" s="14" t="s">
        <v>1683</v>
      </c>
      <c r="C466" s="14" t="s">
        <v>894</v>
      </c>
      <c r="D466" s="14" t="s">
        <v>418</v>
      </c>
      <c r="E466" s="14" t="s">
        <v>126</v>
      </c>
      <c r="F466" s="14">
        <v>0</v>
      </c>
      <c r="G466" s="14">
        <v>99720</v>
      </c>
      <c r="H466" s="14" t="s">
        <v>81</v>
      </c>
      <c r="I466" s="14" t="s">
        <v>121</v>
      </c>
      <c r="J466" s="14" t="s">
        <v>90</v>
      </c>
      <c r="K466" s="14"/>
    </row>
    <row r="467" spans="1:11" x14ac:dyDescent="0.35">
      <c r="A467" s="14" t="s">
        <v>1684</v>
      </c>
      <c r="B467" s="14" t="s">
        <v>1352</v>
      </c>
      <c r="C467" s="14" t="s">
        <v>54</v>
      </c>
      <c r="D467" s="14" t="s">
        <v>226</v>
      </c>
      <c r="E467" s="14" t="s">
        <v>101</v>
      </c>
      <c r="F467" s="14">
        <v>0</v>
      </c>
      <c r="G467" s="14">
        <v>112580</v>
      </c>
      <c r="H467" s="14"/>
      <c r="I467" s="14" t="s">
        <v>121</v>
      </c>
      <c r="J467" s="14" t="s">
        <v>83</v>
      </c>
      <c r="K467" s="14"/>
    </row>
    <row r="468" spans="1:11" x14ac:dyDescent="0.35">
      <c r="A468" s="14" t="s">
        <v>1685</v>
      </c>
      <c r="B468" s="14" t="s">
        <v>1686</v>
      </c>
      <c r="C468" s="14" t="s">
        <v>1418</v>
      </c>
      <c r="D468" s="14" t="s">
        <v>94</v>
      </c>
      <c r="E468" s="14" t="s">
        <v>126</v>
      </c>
      <c r="F468" s="14">
        <v>3</v>
      </c>
      <c r="G468" s="14">
        <v>30510</v>
      </c>
      <c r="H468" s="14">
        <v>0</v>
      </c>
      <c r="I468" s="14" t="s">
        <v>158</v>
      </c>
      <c r="J468" s="14" t="s">
        <v>83</v>
      </c>
      <c r="K468" s="14"/>
    </row>
    <row r="469" spans="1:11" x14ac:dyDescent="0.35">
      <c r="A469" s="14" t="s">
        <v>1687</v>
      </c>
      <c r="B469" s="14" t="s">
        <v>1688</v>
      </c>
      <c r="C469" s="14" t="s">
        <v>385</v>
      </c>
      <c r="D469" s="14" t="s">
        <v>112</v>
      </c>
      <c r="E469" s="14" t="s">
        <v>113</v>
      </c>
      <c r="F469" s="14">
        <v>1</v>
      </c>
      <c r="G469" s="14">
        <v>126180</v>
      </c>
      <c r="H469" s="14">
        <v>5</v>
      </c>
      <c r="I469" s="14" t="s">
        <v>121</v>
      </c>
      <c r="J469" s="14" t="s">
        <v>149</v>
      </c>
      <c r="K469" s="14"/>
    </row>
    <row r="470" spans="1:11" x14ac:dyDescent="0.35">
      <c r="A470" s="14" t="s">
        <v>1689</v>
      </c>
      <c r="B470" s="14" t="s">
        <v>712</v>
      </c>
      <c r="C470" s="14" t="s">
        <v>786</v>
      </c>
      <c r="D470" s="14" t="s">
        <v>163</v>
      </c>
      <c r="E470" s="14" t="s">
        <v>72</v>
      </c>
      <c r="F470" s="14">
        <v>-1</v>
      </c>
      <c r="G470" s="14">
        <v>139810</v>
      </c>
      <c r="H470" s="14">
        <v>-5</v>
      </c>
      <c r="I470" s="14" t="s">
        <v>82</v>
      </c>
      <c r="J470" s="14" t="s">
        <v>83</v>
      </c>
      <c r="K470" s="14"/>
    </row>
    <row r="471" spans="1:11" x14ac:dyDescent="0.35">
      <c r="A471" s="14" t="s">
        <v>1690</v>
      </c>
      <c r="B471" s="14" t="s">
        <v>1691</v>
      </c>
      <c r="C471" s="14" t="s">
        <v>319</v>
      </c>
      <c r="D471" s="14" t="s">
        <v>172</v>
      </c>
      <c r="E471" s="14" t="s">
        <v>113</v>
      </c>
      <c r="F471" s="14">
        <v>1</v>
      </c>
      <c r="G471" s="14">
        <v>82640</v>
      </c>
      <c r="H471" s="14">
        <v>5</v>
      </c>
      <c r="I471" s="14" t="s">
        <v>378</v>
      </c>
      <c r="J471" s="14" t="s">
        <v>90</v>
      </c>
      <c r="K471" s="14"/>
    </row>
    <row r="472" spans="1:11" x14ac:dyDescent="0.35">
      <c r="A472" s="14" t="s">
        <v>1692</v>
      </c>
      <c r="B472" s="14" t="s">
        <v>1693</v>
      </c>
      <c r="C472" s="14" t="s">
        <v>621</v>
      </c>
      <c r="D472" s="14" t="s">
        <v>216</v>
      </c>
      <c r="E472" s="14" t="s">
        <v>126</v>
      </c>
      <c r="F472" s="14">
        <v>0</v>
      </c>
      <c r="G472" s="14" t="s">
        <v>1694</v>
      </c>
      <c r="H472" s="14">
        <v>-5</v>
      </c>
      <c r="I472" s="14" t="s">
        <v>158</v>
      </c>
      <c r="J472" s="14" t="s">
        <v>115</v>
      </c>
      <c r="K472" s="14"/>
    </row>
    <row r="473" spans="1:11" x14ac:dyDescent="0.35">
      <c r="A473" s="14" t="s">
        <v>1695</v>
      </c>
      <c r="B473" s="14" t="s">
        <v>1696</v>
      </c>
      <c r="C473" s="14" t="s">
        <v>62</v>
      </c>
      <c r="D473" s="14" t="s">
        <v>315</v>
      </c>
      <c r="E473" s="14" t="s">
        <v>56</v>
      </c>
      <c r="F473" s="14">
        <v>0</v>
      </c>
      <c r="G473" s="14">
        <v>157270</v>
      </c>
      <c r="H473" s="14">
        <v>0</v>
      </c>
      <c r="I473" s="14" t="s">
        <v>57</v>
      </c>
      <c r="J473" s="14" t="s">
        <v>90</v>
      </c>
      <c r="K473" s="14"/>
    </row>
    <row r="474" spans="1:11" x14ac:dyDescent="0.35">
      <c r="A474" s="14" t="s">
        <v>1697</v>
      </c>
      <c r="B474" s="14" t="s">
        <v>1698</v>
      </c>
      <c r="C474" s="14" t="s">
        <v>573</v>
      </c>
      <c r="D474" s="14" t="s">
        <v>329</v>
      </c>
      <c r="E474" s="14" t="s">
        <v>72</v>
      </c>
      <c r="F474" s="14">
        <v>2</v>
      </c>
      <c r="G474" s="14" t="s">
        <v>1699</v>
      </c>
      <c r="H474" s="14">
        <v>10</v>
      </c>
      <c r="I474" s="14" t="s">
        <v>65</v>
      </c>
      <c r="J474" s="14" t="s">
        <v>90</v>
      </c>
      <c r="K474" s="14"/>
    </row>
    <row r="475" spans="1:11" x14ac:dyDescent="0.35">
      <c r="A475" s="14" t="s">
        <v>1700</v>
      </c>
      <c r="B475" s="14" t="s">
        <v>1701</v>
      </c>
      <c r="C475" s="14" t="s">
        <v>753</v>
      </c>
      <c r="D475" s="14" t="s">
        <v>71</v>
      </c>
      <c r="E475" s="14" t="s">
        <v>108</v>
      </c>
      <c r="F475" s="14">
        <v>0</v>
      </c>
      <c r="G475" s="14" t="s">
        <v>1702</v>
      </c>
      <c r="H475" s="14" t="s">
        <v>81</v>
      </c>
      <c r="I475" s="14" t="s">
        <v>95</v>
      </c>
      <c r="J475" s="14" t="s">
        <v>66</v>
      </c>
      <c r="K475" s="14" t="s">
        <v>1703</v>
      </c>
    </row>
    <row r="476" spans="1:11" x14ac:dyDescent="0.35">
      <c r="A476" s="14" t="s">
        <v>1704</v>
      </c>
      <c r="B476" s="14" t="s">
        <v>1705</v>
      </c>
      <c r="C476" s="14" t="s">
        <v>1085</v>
      </c>
      <c r="D476" s="14" t="s">
        <v>1309</v>
      </c>
      <c r="E476" s="14" t="s">
        <v>126</v>
      </c>
      <c r="F476" s="14">
        <v>1</v>
      </c>
      <c r="G476" s="14">
        <v>85840</v>
      </c>
      <c r="H476" s="14" t="s">
        <v>81</v>
      </c>
      <c r="I476" s="14" t="s">
        <v>73</v>
      </c>
      <c r="J476" s="14" t="s">
        <v>74</v>
      </c>
      <c r="K476" s="14" t="s">
        <v>1706</v>
      </c>
    </row>
    <row r="477" spans="1:11" x14ac:dyDescent="0.35">
      <c r="A477" s="14" t="s">
        <v>1707</v>
      </c>
      <c r="B477" s="14" t="s">
        <v>1708</v>
      </c>
      <c r="C477" s="14"/>
      <c r="D477" s="14" t="s">
        <v>154</v>
      </c>
      <c r="E477" s="14" t="s">
        <v>108</v>
      </c>
      <c r="F477" s="14">
        <v>1</v>
      </c>
      <c r="G477" s="14">
        <v>208690</v>
      </c>
      <c r="H477" s="14">
        <v>-5</v>
      </c>
      <c r="I477" s="14" t="s">
        <v>158</v>
      </c>
      <c r="J477" s="14" t="s">
        <v>58</v>
      </c>
      <c r="K477" s="14" t="s">
        <v>1709</v>
      </c>
    </row>
    <row r="478" spans="1:11" x14ac:dyDescent="0.35">
      <c r="A478" s="14" t="s">
        <v>1710</v>
      </c>
      <c r="B478" s="14" t="s">
        <v>1711</v>
      </c>
      <c r="C478" s="14" t="s">
        <v>87</v>
      </c>
      <c r="D478" s="14" t="s">
        <v>295</v>
      </c>
      <c r="E478" s="14" t="s">
        <v>108</v>
      </c>
      <c r="F478" s="14">
        <v>1</v>
      </c>
      <c r="G478" s="14" t="s">
        <v>1712</v>
      </c>
      <c r="H478" s="14">
        <v>0</v>
      </c>
      <c r="I478" s="14" t="s">
        <v>57</v>
      </c>
      <c r="J478" s="14" t="s">
        <v>66</v>
      </c>
      <c r="K478" s="14" t="s">
        <v>1713</v>
      </c>
    </row>
    <row r="479" spans="1:11" x14ac:dyDescent="0.35">
      <c r="A479" s="14" t="s">
        <v>1714</v>
      </c>
      <c r="B479" s="14" t="s">
        <v>1715</v>
      </c>
      <c r="C479" s="14" t="s">
        <v>621</v>
      </c>
      <c r="D479" s="14" t="s">
        <v>163</v>
      </c>
      <c r="E479" s="14" t="s">
        <v>72</v>
      </c>
      <c r="F479" s="14">
        <v>2</v>
      </c>
      <c r="G479" s="14">
        <v>106660</v>
      </c>
      <c r="H479" s="14"/>
      <c r="I479" s="14" t="s">
        <v>65</v>
      </c>
      <c r="J479" s="14" t="s">
        <v>66</v>
      </c>
      <c r="K479" s="14" t="s">
        <v>1716</v>
      </c>
    </row>
    <row r="480" spans="1:11" x14ac:dyDescent="0.35">
      <c r="A480" s="14" t="s">
        <v>1717</v>
      </c>
      <c r="B480" s="14" t="s">
        <v>1718</v>
      </c>
      <c r="C480" s="14" t="s">
        <v>230</v>
      </c>
      <c r="D480" s="14" t="s">
        <v>550</v>
      </c>
      <c r="E480" s="14" t="s">
        <v>113</v>
      </c>
      <c r="F480" s="14">
        <v>3</v>
      </c>
      <c r="G480" s="14">
        <v>38180</v>
      </c>
      <c r="H480" s="14">
        <v>15</v>
      </c>
      <c r="I480" s="14" t="s">
        <v>73</v>
      </c>
      <c r="J480" s="14" t="s">
        <v>58</v>
      </c>
      <c r="K480" s="14" t="s">
        <v>1719</v>
      </c>
    </row>
    <row r="481" spans="1:11" x14ac:dyDescent="0.35">
      <c r="A481" s="14" t="s">
        <v>1720</v>
      </c>
      <c r="B481" s="14" t="s">
        <v>1721</v>
      </c>
      <c r="C481" s="14" t="s">
        <v>341</v>
      </c>
      <c r="D481" s="14" t="s">
        <v>916</v>
      </c>
      <c r="E481" s="14" t="s">
        <v>56</v>
      </c>
      <c r="F481" s="14">
        <v>1</v>
      </c>
      <c r="G481" s="14" t="s">
        <v>1722</v>
      </c>
      <c r="H481" s="14">
        <v>5</v>
      </c>
      <c r="I481" s="14" t="s">
        <v>95</v>
      </c>
      <c r="J481" s="14" t="s">
        <v>149</v>
      </c>
      <c r="K481" s="14" t="s">
        <v>1723</v>
      </c>
    </row>
    <row r="482" spans="1:11" x14ac:dyDescent="0.35">
      <c r="A482" s="14" t="s">
        <v>1724</v>
      </c>
      <c r="B482" s="14" t="s">
        <v>1725</v>
      </c>
      <c r="C482" s="14"/>
      <c r="D482" s="14" t="s">
        <v>55</v>
      </c>
      <c r="E482" s="14" t="s">
        <v>108</v>
      </c>
      <c r="F482" s="14">
        <v>2</v>
      </c>
      <c r="G482" s="14">
        <v>100230</v>
      </c>
      <c r="H482" s="14">
        <v>0</v>
      </c>
      <c r="I482" s="14" t="s">
        <v>158</v>
      </c>
      <c r="J482" s="14" t="s">
        <v>174</v>
      </c>
      <c r="K482" s="14" t="s">
        <v>1726</v>
      </c>
    </row>
    <row r="483" spans="1:11" x14ac:dyDescent="0.35">
      <c r="A483" s="14" t="s">
        <v>1727</v>
      </c>
      <c r="B483" s="14" t="s">
        <v>1728</v>
      </c>
      <c r="C483" s="14" t="s">
        <v>365</v>
      </c>
      <c r="D483" s="14" t="s">
        <v>418</v>
      </c>
      <c r="E483" s="14" t="s">
        <v>80</v>
      </c>
      <c r="F483" s="14">
        <v>2</v>
      </c>
      <c r="G483" s="14">
        <v>178640</v>
      </c>
      <c r="H483" s="14">
        <v>10</v>
      </c>
      <c r="I483" s="14" t="s">
        <v>378</v>
      </c>
      <c r="J483" s="14" t="s">
        <v>174</v>
      </c>
      <c r="K483" s="14" t="s">
        <v>1729</v>
      </c>
    </row>
    <row r="484" spans="1:11" x14ac:dyDescent="0.35">
      <c r="A484" s="14" t="s">
        <v>1730</v>
      </c>
      <c r="B484" s="14" t="s">
        <v>1731</v>
      </c>
      <c r="C484" s="14" t="s">
        <v>457</v>
      </c>
      <c r="D484" s="14" t="s">
        <v>100</v>
      </c>
      <c r="E484" s="14" t="s">
        <v>113</v>
      </c>
      <c r="F484" s="14">
        <v>3</v>
      </c>
      <c r="G484" s="14" t="s">
        <v>1732</v>
      </c>
      <c r="H484" s="14">
        <v>10</v>
      </c>
      <c r="I484" s="14" t="s">
        <v>73</v>
      </c>
      <c r="J484" s="14" t="s">
        <v>90</v>
      </c>
      <c r="K484" s="14" t="s">
        <v>1733</v>
      </c>
    </row>
    <row r="485" spans="1:11" x14ac:dyDescent="0.35">
      <c r="A485" s="14" t="s">
        <v>1734</v>
      </c>
      <c r="B485" s="14" t="s">
        <v>1735</v>
      </c>
      <c r="C485" s="14" t="s">
        <v>99</v>
      </c>
      <c r="D485" s="14" t="s">
        <v>212</v>
      </c>
      <c r="E485" s="14" t="s">
        <v>113</v>
      </c>
      <c r="F485" s="14">
        <v>1</v>
      </c>
      <c r="G485" s="14">
        <v>151390</v>
      </c>
      <c r="H485" s="14">
        <v>5</v>
      </c>
      <c r="I485" s="14" t="s">
        <v>378</v>
      </c>
      <c r="J485" s="14" t="s">
        <v>149</v>
      </c>
      <c r="K485" s="14" t="s">
        <v>1736</v>
      </c>
    </row>
    <row r="486" spans="1:11" x14ac:dyDescent="0.35">
      <c r="A486" s="14" t="s">
        <v>1737</v>
      </c>
      <c r="B486" s="14" t="s">
        <v>1738</v>
      </c>
      <c r="C486" s="14" t="s">
        <v>621</v>
      </c>
      <c r="D486" s="14" t="s">
        <v>71</v>
      </c>
      <c r="E486" s="14" t="s">
        <v>80</v>
      </c>
      <c r="F486" s="14">
        <v>-1</v>
      </c>
      <c r="G486" s="14">
        <v>90480</v>
      </c>
      <c r="H486" s="14">
        <v>5</v>
      </c>
      <c r="I486" s="14" t="s">
        <v>121</v>
      </c>
      <c r="J486" s="14" t="s">
        <v>149</v>
      </c>
      <c r="K486" s="14" t="s">
        <v>1739</v>
      </c>
    </row>
    <row r="487" spans="1:11" x14ac:dyDescent="0.35">
      <c r="A487" s="14" t="s">
        <v>1740</v>
      </c>
      <c r="B487" s="14" t="s">
        <v>1741</v>
      </c>
      <c r="C487" s="14" t="s">
        <v>99</v>
      </c>
      <c r="D487" s="14" t="s">
        <v>216</v>
      </c>
      <c r="E487" s="14" t="s">
        <v>72</v>
      </c>
      <c r="F487" s="14">
        <v>2</v>
      </c>
      <c r="G487" s="14" t="s">
        <v>1742</v>
      </c>
      <c r="H487" s="14">
        <v>10</v>
      </c>
      <c r="I487" s="14" t="s">
        <v>89</v>
      </c>
      <c r="J487" s="14" t="s">
        <v>83</v>
      </c>
      <c r="K487" s="14" t="s">
        <v>1743</v>
      </c>
    </row>
    <row r="488" spans="1:11" x14ac:dyDescent="0.35">
      <c r="A488" s="14" t="s">
        <v>1744</v>
      </c>
      <c r="B488" s="14" t="s">
        <v>1745</v>
      </c>
      <c r="C488" s="14" t="s">
        <v>1075</v>
      </c>
      <c r="D488" s="14" t="s">
        <v>638</v>
      </c>
      <c r="E488" s="14" t="s">
        <v>126</v>
      </c>
      <c r="F488" s="14">
        <v>3</v>
      </c>
      <c r="G488" s="14">
        <v>131700</v>
      </c>
      <c r="H488" s="14">
        <v>0</v>
      </c>
      <c r="I488" s="14" t="s">
        <v>57</v>
      </c>
      <c r="J488" s="14" t="s">
        <v>83</v>
      </c>
      <c r="K488" s="14"/>
    </row>
    <row r="489" spans="1:11" x14ac:dyDescent="0.35">
      <c r="A489" s="14" t="s">
        <v>1746</v>
      </c>
      <c r="B489" s="14" t="s">
        <v>1747</v>
      </c>
      <c r="C489" s="14" t="s">
        <v>248</v>
      </c>
      <c r="D489" s="14" t="s">
        <v>278</v>
      </c>
      <c r="E489" s="14" t="s">
        <v>101</v>
      </c>
      <c r="F489" s="14">
        <v>2</v>
      </c>
      <c r="G489" s="14">
        <v>128560</v>
      </c>
      <c r="H489" s="14" t="s">
        <v>81</v>
      </c>
      <c r="I489" s="14" t="s">
        <v>57</v>
      </c>
      <c r="J489" s="14" t="s">
        <v>115</v>
      </c>
      <c r="K489" s="14" t="s">
        <v>1748</v>
      </c>
    </row>
    <row r="490" spans="1:11" x14ac:dyDescent="0.35">
      <c r="A490" s="14" t="s">
        <v>1749</v>
      </c>
      <c r="B490" s="14" t="s">
        <v>1750</v>
      </c>
      <c r="C490" s="14" t="s">
        <v>1332</v>
      </c>
      <c r="D490" s="14" t="s">
        <v>989</v>
      </c>
      <c r="E490" s="14" t="s">
        <v>113</v>
      </c>
      <c r="F490" s="14">
        <v>-1</v>
      </c>
      <c r="G490" s="14" t="s">
        <v>1751</v>
      </c>
      <c r="H490" s="14">
        <v>-5</v>
      </c>
      <c r="I490" s="14" t="s">
        <v>57</v>
      </c>
      <c r="J490" s="14" t="s">
        <v>66</v>
      </c>
      <c r="K490" s="14" t="s">
        <v>1752</v>
      </c>
    </row>
    <row r="491" spans="1:11" x14ac:dyDescent="0.35">
      <c r="A491" s="14" t="s">
        <v>1753</v>
      </c>
      <c r="B491" s="14" t="s">
        <v>1754</v>
      </c>
      <c r="C491" s="14" t="s">
        <v>62</v>
      </c>
      <c r="D491" s="14" t="s">
        <v>249</v>
      </c>
      <c r="E491" s="14" t="s">
        <v>101</v>
      </c>
      <c r="F491" s="14">
        <v>2</v>
      </c>
      <c r="G491" s="14">
        <v>79020</v>
      </c>
      <c r="H491" s="14">
        <v>0</v>
      </c>
      <c r="I491" s="14" t="s">
        <v>65</v>
      </c>
      <c r="J491" s="14" t="s">
        <v>115</v>
      </c>
      <c r="K491" s="14" t="s">
        <v>1755</v>
      </c>
    </row>
    <row r="492" spans="1:11" x14ac:dyDescent="0.35">
      <c r="A492" s="14" t="s">
        <v>1756</v>
      </c>
      <c r="B492" s="14" t="s">
        <v>1757</v>
      </c>
      <c r="C492" s="14" t="s">
        <v>267</v>
      </c>
      <c r="D492" s="14" t="s">
        <v>520</v>
      </c>
      <c r="E492" s="14" t="s">
        <v>108</v>
      </c>
      <c r="F492" s="14">
        <v>1</v>
      </c>
      <c r="G492" s="14">
        <v>220500</v>
      </c>
      <c r="H492" s="14">
        <v>10</v>
      </c>
      <c r="I492" s="14" t="s">
        <v>73</v>
      </c>
      <c r="J492" s="14" t="s">
        <v>149</v>
      </c>
      <c r="K492" s="14"/>
    </row>
    <row r="493" spans="1:11" x14ac:dyDescent="0.35">
      <c r="A493" s="14" t="s">
        <v>1758</v>
      </c>
      <c r="B493" s="14" t="s">
        <v>1759</v>
      </c>
      <c r="C493" s="14" t="s">
        <v>294</v>
      </c>
      <c r="D493" s="14" t="s">
        <v>463</v>
      </c>
      <c r="E493" s="14" t="s">
        <v>101</v>
      </c>
      <c r="F493" s="14">
        <v>3</v>
      </c>
      <c r="G493" s="14">
        <v>238700</v>
      </c>
      <c r="H493" s="14">
        <v>0</v>
      </c>
      <c r="I493" s="14" t="s">
        <v>378</v>
      </c>
      <c r="J493" s="14" t="s">
        <v>83</v>
      </c>
      <c r="K493" s="14" t="s">
        <v>1760</v>
      </c>
    </row>
    <row r="494" spans="1:11" x14ac:dyDescent="0.35">
      <c r="A494" s="14" t="s">
        <v>1761</v>
      </c>
      <c r="B494" s="14" t="s">
        <v>1762</v>
      </c>
      <c r="C494" s="14" t="s">
        <v>498</v>
      </c>
      <c r="D494" s="14" t="s">
        <v>249</v>
      </c>
      <c r="E494" s="14" t="s">
        <v>56</v>
      </c>
      <c r="F494" s="14">
        <v>3</v>
      </c>
      <c r="G494" s="14">
        <v>8980</v>
      </c>
      <c r="H494" s="14">
        <v>15</v>
      </c>
      <c r="I494" s="14" t="s">
        <v>114</v>
      </c>
      <c r="J494" s="14" t="s">
        <v>74</v>
      </c>
      <c r="K494" s="14" t="s">
        <v>1763</v>
      </c>
    </row>
    <row r="495" spans="1:11" x14ac:dyDescent="0.35">
      <c r="A495" s="14" t="s">
        <v>1764</v>
      </c>
      <c r="B495" s="14" t="s">
        <v>1264</v>
      </c>
      <c r="C495" s="14" t="s">
        <v>187</v>
      </c>
      <c r="D495" s="14" t="s">
        <v>163</v>
      </c>
      <c r="E495" s="14" t="s">
        <v>80</v>
      </c>
      <c r="F495" s="14">
        <v>1</v>
      </c>
      <c r="G495" s="14" t="s">
        <v>1765</v>
      </c>
      <c r="H495" s="14">
        <v>15</v>
      </c>
      <c r="I495" s="14" t="s">
        <v>95</v>
      </c>
      <c r="J495" s="14" t="s">
        <v>74</v>
      </c>
      <c r="K495" s="14" t="s">
        <v>1766</v>
      </c>
    </row>
    <row r="496" spans="1:11" x14ac:dyDescent="0.35">
      <c r="A496" s="14" t="s">
        <v>1767</v>
      </c>
      <c r="B496" s="14" t="s">
        <v>1100</v>
      </c>
      <c r="C496" s="14" t="s">
        <v>206</v>
      </c>
      <c r="D496" s="14" t="s">
        <v>360</v>
      </c>
      <c r="E496" s="14" t="s">
        <v>113</v>
      </c>
      <c r="F496" s="14">
        <v>-1</v>
      </c>
      <c r="G496" s="14">
        <v>33070</v>
      </c>
      <c r="H496" s="14">
        <v>-5</v>
      </c>
      <c r="I496" s="14" t="s">
        <v>73</v>
      </c>
      <c r="J496" s="14" t="s">
        <v>115</v>
      </c>
      <c r="K496" s="14"/>
    </row>
    <row r="497" spans="1:11" x14ac:dyDescent="0.35">
      <c r="A497" s="14" t="s">
        <v>1768</v>
      </c>
      <c r="B497" s="14" t="s">
        <v>1769</v>
      </c>
      <c r="C497" s="14" t="s">
        <v>791</v>
      </c>
      <c r="D497" s="14" t="s">
        <v>369</v>
      </c>
      <c r="E497" s="14" t="s">
        <v>72</v>
      </c>
      <c r="F497" s="14">
        <v>1</v>
      </c>
      <c r="G497" s="14" t="s">
        <v>1770</v>
      </c>
      <c r="H497" s="14">
        <v>-5</v>
      </c>
      <c r="I497" s="14" t="s">
        <v>89</v>
      </c>
      <c r="J497" s="14" t="s">
        <v>83</v>
      </c>
      <c r="K497" s="14" t="s">
        <v>1771</v>
      </c>
    </row>
    <row r="498" spans="1:11" x14ac:dyDescent="0.35">
      <c r="A498" s="14" t="s">
        <v>1772</v>
      </c>
      <c r="B498" s="14" t="s">
        <v>1773</v>
      </c>
      <c r="C498" s="14" t="s">
        <v>1218</v>
      </c>
      <c r="D498" s="14" t="s">
        <v>989</v>
      </c>
      <c r="E498" s="14" t="s">
        <v>108</v>
      </c>
      <c r="F498" s="14">
        <v>1</v>
      </c>
      <c r="G498" s="14" t="s">
        <v>1774</v>
      </c>
      <c r="H498" s="14">
        <v>0</v>
      </c>
      <c r="I498" s="14" t="s">
        <v>95</v>
      </c>
      <c r="J498" s="14" t="s">
        <v>115</v>
      </c>
      <c r="K498" s="14"/>
    </row>
    <row r="499" spans="1:11" x14ac:dyDescent="0.35">
      <c r="A499" s="14" t="s">
        <v>1775</v>
      </c>
      <c r="B499" s="14" t="s">
        <v>1776</v>
      </c>
      <c r="C499" s="14" t="s">
        <v>298</v>
      </c>
      <c r="D499" s="14" t="s">
        <v>916</v>
      </c>
      <c r="E499" s="14" t="s">
        <v>64</v>
      </c>
      <c r="F499" s="14">
        <v>1</v>
      </c>
      <c r="G499" s="14">
        <v>222350</v>
      </c>
      <c r="H499" s="14">
        <v>0</v>
      </c>
      <c r="I499" s="14" t="s">
        <v>65</v>
      </c>
      <c r="J499" s="14" t="s">
        <v>74</v>
      </c>
      <c r="K499" s="14" t="s">
        <v>1777</v>
      </c>
    </row>
    <row r="500" spans="1:11" x14ac:dyDescent="0.35">
      <c r="A500" s="14" t="s">
        <v>1778</v>
      </c>
      <c r="B500" s="14" t="s">
        <v>1779</v>
      </c>
      <c r="C500" s="14" t="s">
        <v>111</v>
      </c>
      <c r="D500" s="14" t="s">
        <v>315</v>
      </c>
      <c r="E500" s="14" t="s">
        <v>101</v>
      </c>
      <c r="F500" s="14">
        <v>0</v>
      </c>
      <c r="G500" s="14">
        <v>238800</v>
      </c>
      <c r="H500" s="14">
        <v>0</v>
      </c>
      <c r="I500" s="14" t="s">
        <v>95</v>
      </c>
      <c r="J500" s="14" t="s">
        <v>90</v>
      </c>
      <c r="K500" s="14"/>
    </row>
    <row r="501" spans="1:11" x14ac:dyDescent="0.35">
      <c r="A501" s="14" t="s">
        <v>1780</v>
      </c>
      <c r="B501" s="14" t="s">
        <v>1781</v>
      </c>
      <c r="C501" s="14" t="s">
        <v>491</v>
      </c>
      <c r="D501" s="14" t="s">
        <v>948</v>
      </c>
      <c r="E501" s="14" t="s">
        <v>108</v>
      </c>
      <c r="F501" s="14">
        <v>1</v>
      </c>
      <c r="G501" s="14" t="s">
        <v>1782</v>
      </c>
      <c r="H501" s="14">
        <v>0</v>
      </c>
      <c r="I501" s="14" t="s">
        <v>121</v>
      </c>
      <c r="J501" s="14" t="s">
        <v>90</v>
      </c>
      <c r="K501" s="14"/>
    </row>
    <row r="502" spans="1:11" x14ac:dyDescent="0.35">
      <c r="A502" s="14" t="s">
        <v>1783</v>
      </c>
      <c r="B502" s="14" t="s">
        <v>1784</v>
      </c>
      <c r="C502" s="14" t="s">
        <v>203</v>
      </c>
      <c r="D502" s="14" t="s">
        <v>107</v>
      </c>
      <c r="E502" s="14" t="s">
        <v>80</v>
      </c>
      <c r="F502" s="14">
        <v>1</v>
      </c>
      <c r="G502" s="14">
        <v>122070</v>
      </c>
      <c r="H502" s="14" t="s">
        <v>81</v>
      </c>
      <c r="I502" s="14" t="s">
        <v>378</v>
      </c>
      <c r="J502" s="14" t="s">
        <v>83</v>
      </c>
      <c r="K502" s="14"/>
    </row>
    <row r="503" spans="1:11" x14ac:dyDescent="0.35">
      <c r="A503" s="14" t="s">
        <v>1785</v>
      </c>
      <c r="B503" s="14" t="s">
        <v>1786</v>
      </c>
      <c r="C503" s="14" t="s">
        <v>1006</v>
      </c>
      <c r="D503" s="14" t="s">
        <v>458</v>
      </c>
      <c r="E503" s="14" t="s">
        <v>72</v>
      </c>
      <c r="F503" s="14">
        <v>1</v>
      </c>
      <c r="G503" s="14">
        <v>158710</v>
      </c>
      <c r="H503" s="14"/>
      <c r="I503" s="14" t="s">
        <v>121</v>
      </c>
      <c r="J503" s="14" t="s">
        <v>90</v>
      </c>
      <c r="K503" s="14"/>
    </row>
    <row r="504" spans="1:11" x14ac:dyDescent="0.35">
      <c r="A504" s="14" t="s">
        <v>1787</v>
      </c>
      <c r="B504" s="14" t="s">
        <v>1788</v>
      </c>
      <c r="C504" s="14" t="s">
        <v>347</v>
      </c>
      <c r="D504" s="14" t="s">
        <v>472</v>
      </c>
      <c r="E504" s="14" t="s">
        <v>113</v>
      </c>
      <c r="F504" s="14">
        <v>0</v>
      </c>
      <c r="G504" s="14">
        <v>241300</v>
      </c>
      <c r="H504" s="14">
        <v>10</v>
      </c>
      <c r="I504" s="14" t="s">
        <v>121</v>
      </c>
      <c r="J504" s="14" t="s">
        <v>174</v>
      </c>
      <c r="K504" s="14" t="s">
        <v>1789</v>
      </c>
    </row>
    <row r="505" spans="1:11" x14ac:dyDescent="0.35">
      <c r="A505" s="14" t="s">
        <v>1790</v>
      </c>
      <c r="B505" s="14" t="s">
        <v>1791</v>
      </c>
      <c r="C505" s="14" t="s">
        <v>791</v>
      </c>
      <c r="D505" s="14" t="s">
        <v>63</v>
      </c>
      <c r="E505" s="14" t="s">
        <v>126</v>
      </c>
      <c r="F505" s="14">
        <v>-1</v>
      </c>
      <c r="G505" s="14">
        <v>34760</v>
      </c>
      <c r="H505" s="14">
        <v>10</v>
      </c>
      <c r="I505" s="14" t="s">
        <v>158</v>
      </c>
      <c r="J505" s="14" t="s">
        <v>66</v>
      </c>
      <c r="K505" s="14" t="s">
        <v>1792</v>
      </c>
    </row>
    <row r="506" spans="1:11" x14ac:dyDescent="0.35">
      <c r="A506" s="14" t="s">
        <v>1793</v>
      </c>
      <c r="B506" s="14" t="s">
        <v>1794</v>
      </c>
      <c r="C506" s="14" t="s">
        <v>768</v>
      </c>
      <c r="D506" s="14" t="s">
        <v>120</v>
      </c>
      <c r="E506" s="14" t="s">
        <v>108</v>
      </c>
      <c r="F506" s="14">
        <v>3</v>
      </c>
      <c r="G506" s="14">
        <v>100190</v>
      </c>
      <c r="H506" s="14">
        <v>15</v>
      </c>
      <c r="I506" s="14" t="s">
        <v>378</v>
      </c>
      <c r="J506" s="14" t="s">
        <v>90</v>
      </c>
      <c r="K506" s="14" t="s">
        <v>1795</v>
      </c>
    </row>
    <row r="507" spans="1:11" x14ac:dyDescent="0.35">
      <c r="A507" s="14" t="s">
        <v>1796</v>
      </c>
      <c r="B507" s="14" t="s">
        <v>1797</v>
      </c>
      <c r="C507" s="14" t="s">
        <v>62</v>
      </c>
      <c r="D507" s="14" t="s">
        <v>154</v>
      </c>
      <c r="E507" s="14" t="s">
        <v>126</v>
      </c>
      <c r="F507" s="14">
        <v>2</v>
      </c>
      <c r="G507" s="14">
        <v>110320</v>
      </c>
      <c r="H507" s="14">
        <v>-5</v>
      </c>
      <c r="I507" s="14" t="s">
        <v>121</v>
      </c>
      <c r="J507" s="14" t="s">
        <v>83</v>
      </c>
      <c r="K507" s="14"/>
    </row>
    <row r="508" spans="1:11" x14ac:dyDescent="0.35">
      <c r="A508" s="14" t="s">
        <v>1798</v>
      </c>
      <c r="B508" s="14" t="s">
        <v>1799</v>
      </c>
      <c r="C508" s="14" t="s">
        <v>359</v>
      </c>
      <c r="D508" s="14" t="s">
        <v>163</v>
      </c>
      <c r="E508" s="14" t="s">
        <v>72</v>
      </c>
      <c r="F508" s="14">
        <v>2</v>
      </c>
      <c r="G508" s="14">
        <v>186620</v>
      </c>
      <c r="H508" s="14">
        <v>10</v>
      </c>
      <c r="I508" s="14" t="s">
        <v>268</v>
      </c>
      <c r="J508" s="14" t="s">
        <v>66</v>
      </c>
      <c r="K508" s="14" t="s">
        <v>1800</v>
      </c>
    </row>
    <row r="509" spans="1:11" x14ac:dyDescent="0.35">
      <c r="A509" s="14" t="s">
        <v>1801</v>
      </c>
      <c r="B509" s="14" t="s">
        <v>1802</v>
      </c>
      <c r="C509" s="14" t="s">
        <v>602</v>
      </c>
      <c r="D509" s="14" t="s">
        <v>342</v>
      </c>
      <c r="E509" s="14" t="s">
        <v>113</v>
      </c>
      <c r="F509" s="14">
        <v>1</v>
      </c>
      <c r="G509" s="14" t="s">
        <v>1803</v>
      </c>
      <c r="H509" s="14">
        <v>15</v>
      </c>
      <c r="I509" s="14" t="s">
        <v>57</v>
      </c>
      <c r="J509" s="14" t="s">
        <v>66</v>
      </c>
      <c r="K509" s="14" t="s">
        <v>1804</v>
      </c>
    </row>
    <row r="510" spans="1:11" x14ac:dyDescent="0.35">
      <c r="A510" s="14" t="s">
        <v>1805</v>
      </c>
      <c r="B510" s="14" t="s">
        <v>1806</v>
      </c>
      <c r="C510" s="14" t="s">
        <v>645</v>
      </c>
      <c r="D510" s="14" t="s">
        <v>348</v>
      </c>
      <c r="E510" s="14" t="s">
        <v>113</v>
      </c>
      <c r="F510" s="14">
        <v>2</v>
      </c>
      <c r="G510" s="14" t="s">
        <v>1807</v>
      </c>
      <c r="H510" s="14">
        <v>0</v>
      </c>
      <c r="I510" s="14" t="s">
        <v>378</v>
      </c>
      <c r="J510" s="14" t="s">
        <v>58</v>
      </c>
      <c r="K510" s="14" t="s">
        <v>1808</v>
      </c>
    </row>
    <row r="511" spans="1:11" x14ac:dyDescent="0.35">
      <c r="A511" s="14" t="s">
        <v>1809</v>
      </c>
      <c r="B511" s="14" t="s">
        <v>1810</v>
      </c>
      <c r="C511" s="14" t="s">
        <v>234</v>
      </c>
      <c r="D511" s="14" t="s">
        <v>255</v>
      </c>
      <c r="E511" s="14" t="s">
        <v>56</v>
      </c>
      <c r="F511" s="14">
        <v>-1</v>
      </c>
      <c r="G511" s="14" t="s">
        <v>1811</v>
      </c>
      <c r="H511" s="14">
        <v>10</v>
      </c>
      <c r="I511" s="14" t="s">
        <v>95</v>
      </c>
      <c r="J511" s="14" t="s">
        <v>115</v>
      </c>
      <c r="K511" s="14"/>
    </row>
    <row r="512" spans="1:11" x14ac:dyDescent="0.35">
      <c r="A512" s="14" t="s">
        <v>1812</v>
      </c>
      <c r="B512" s="14" t="s">
        <v>1046</v>
      </c>
      <c r="C512" s="14" t="s">
        <v>389</v>
      </c>
      <c r="D512" s="14" t="s">
        <v>329</v>
      </c>
      <c r="E512" s="14" t="s">
        <v>64</v>
      </c>
      <c r="F512" s="14">
        <v>-1</v>
      </c>
      <c r="G512" s="14" t="s">
        <v>1813</v>
      </c>
      <c r="H512" s="14" t="s">
        <v>81</v>
      </c>
      <c r="I512" s="14" t="s">
        <v>95</v>
      </c>
      <c r="J512" s="14" t="s">
        <v>66</v>
      </c>
      <c r="K512" s="14" t="s">
        <v>1814</v>
      </c>
    </row>
    <row r="513" spans="1:11" x14ac:dyDescent="0.35">
      <c r="A513" s="14" t="s">
        <v>1815</v>
      </c>
      <c r="B513" s="14" t="s">
        <v>1816</v>
      </c>
      <c r="C513" s="14" t="s">
        <v>683</v>
      </c>
      <c r="D513" s="14" t="s">
        <v>916</v>
      </c>
      <c r="E513" s="14" t="s">
        <v>56</v>
      </c>
      <c r="F513" s="14">
        <v>1</v>
      </c>
      <c r="G513" s="14">
        <v>177670</v>
      </c>
      <c r="H513" s="14">
        <v>-5</v>
      </c>
      <c r="I513" s="14" t="s">
        <v>82</v>
      </c>
      <c r="J513" s="14" t="s">
        <v>66</v>
      </c>
      <c r="K513" s="14" t="s">
        <v>1817</v>
      </c>
    </row>
    <row r="514" spans="1:11" x14ac:dyDescent="0.35">
      <c r="A514" s="14" t="s">
        <v>1818</v>
      </c>
      <c r="B514" s="14" t="s">
        <v>1819</v>
      </c>
      <c r="C514" s="14" t="s">
        <v>206</v>
      </c>
      <c r="D514" s="14" t="s">
        <v>278</v>
      </c>
      <c r="E514" s="14" t="s">
        <v>56</v>
      </c>
      <c r="F514" s="14">
        <v>1</v>
      </c>
      <c r="G514" s="14">
        <v>184640</v>
      </c>
      <c r="H514" s="14">
        <v>0</v>
      </c>
      <c r="I514" s="14" t="s">
        <v>121</v>
      </c>
      <c r="J514" s="14" t="s">
        <v>149</v>
      </c>
      <c r="K514" s="14" t="s">
        <v>1820</v>
      </c>
    </row>
    <row r="515" spans="1:11" x14ac:dyDescent="0.35">
      <c r="A515" s="14" t="s">
        <v>1821</v>
      </c>
      <c r="B515" s="14" t="s">
        <v>1822</v>
      </c>
      <c r="C515" s="14" t="s">
        <v>674</v>
      </c>
      <c r="D515" s="14" t="s">
        <v>264</v>
      </c>
      <c r="E515" s="14" t="s">
        <v>126</v>
      </c>
      <c r="F515" s="14">
        <v>0</v>
      </c>
      <c r="G515" s="14">
        <v>217970</v>
      </c>
      <c r="H515" s="14">
        <v>15</v>
      </c>
      <c r="I515" s="14" t="s">
        <v>378</v>
      </c>
      <c r="J515" s="14" t="s">
        <v>74</v>
      </c>
      <c r="K515" s="14" t="s">
        <v>1823</v>
      </c>
    </row>
    <row r="516" spans="1:11" x14ac:dyDescent="0.35">
      <c r="A516" s="14" t="s">
        <v>1824</v>
      </c>
      <c r="B516" s="14" t="s">
        <v>1825</v>
      </c>
      <c r="C516" s="14" t="s">
        <v>750</v>
      </c>
      <c r="D516" s="14" t="s">
        <v>445</v>
      </c>
      <c r="E516" s="14" t="s">
        <v>56</v>
      </c>
      <c r="F516" s="14">
        <v>1</v>
      </c>
      <c r="G516" s="14">
        <v>130410</v>
      </c>
      <c r="H516" s="14">
        <v>5</v>
      </c>
      <c r="I516" s="14" t="s">
        <v>268</v>
      </c>
      <c r="J516" s="14" t="s">
        <v>58</v>
      </c>
      <c r="K516" s="14" t="s">
        <v>1826</v>
      </c>
    </row>
    <row r="517" spans="1:11" x14ac:dyDescent="0.35">
      <c r="A517" s="14" t="s">
        <v>1827</v>
      </c>
      <c r="B517" s="14" t="s">
        <v>1828</v>
      </c>
      <c r="C517" s="14" t="s">
        <v>1829</v>
      </c>
      <c r="D517" s="14" t="s">
        <v>684</v>
      </c>
      <c r="E517" s="14" t="s">
        <v>56</v>
      </c>
      <c r="F517" s="14">
        <v>3</v>
      </c>
      <c r="G517" s="14">
        <v>70500</v>
      </c>
      <c r="H517" s="14">
        <v>15</v>
      </c>
      <c r="I517" s="14" t="s">
        <v>73</v>
      </c>
      <c r="J517" s="14" t="s">
        <v>174</v>
      </c>
      <c r="K517" s="14" t="s">
        <v>1830</v>
      </c>
    </row>
    <row r="518" spans="1:11" x14ac:dyDescent="0.35">
      <c r="A518" s="14" t="s">
        <v>1831</v>
      </c>
      <c r="B518" s="14" t="s">
        <v>1832</v>
      </c>
      <c r="C518" s="14" t="s">
        <v>1418</v>
      </c>
      <c r="D518" s="14" t="s">
        <v>249</v>
      </c>
      <c r="E518" s="14" t="s">
        <v>64</v>
      </c>
      <c r="F518" s="14">
        <v>-1</v>
      </c>
      <c r="G518" s="14">
        <v>248130</v>
      </c>
      <c r="H518" s="14" t="s">
        <v>81</v>
      </c>
      <c r="I518" s="14" t="s">
        <v>424</v>
      </c>
      <c r="J518" s="14" t="s">
        <v>66</v>
      </c>
      <c r="K518" s="14" t="s">
        <v>1833</v>
      </c>
    </row>
    <row r="519" spans="1:11" x14ac:dyDescent="0.35">
      <c r="A519" s="14" t="s">
        <v>1834</v>
      </c>
      <c r="B519" s="14" t="s">
        <v>1835</v>
      </c>
      <c r="C519" s="14" t="s">
        <v>558</v>
      </c>
      <c r="D519" s="14" t="s">
        <v>255</v>
      </c>
      <c r="E519" s="14" t="s">
        <v>56</v>
      </c>
      <c r="F519" s="14">
        <v>2</v>
      </c>
      <c r="G519" s="14" t="s">
        <v>1836</v>
      </c>
      <c r="H519" s="14">
        <v>-5</v>
      </c>
      <c r="I519" s="14" t="s">
        <v>378</v>
      </c>
      <c r="J519" s="14" t="s">
        <v>74</v>
      </c>
      <c r="K519" s="14" t="s">
        <v>1837</v>
      </c>
    </row>
    <row r="520" spans="1:11" x14ac:dyDescent="0.35">
      <c r="A520" s="14" t="s">
        <v>1838</v>
      </c>
      <c r="B520" s="14" t="s">
        <v>1839</v>
      </c>
      <c r="C520" s="14" t="s">
        <v>1332</v>
      </c>
      <c r="D520" s="14" t="s">
        <v>163</v>
      </c>
      <c r="E520" s="14" t="s">
        <v>64</v>
      </c>
      <c r="F520" s="14">
        <v>1</v>
      </c>
      <c r="G520" s="14">
        <v>26860</v>
      </c>
      <c r="H520" s="14">
        <v>-5</v>
      </c>
      <c r="I520" s="14" t="s">
        <v>82</v>
      </c>
      <c r="J520" s="14" t="s">
        <v>66</v>
      </c>
      <c r="K520" s="14" t="s">
        <v>1840</v>
      </c>
    </row>
    <row r="521" spans="1:11" x14ac:dyDescent="0.35">
      <c r="A521" s="14" t="s">
        <v>1841</v>
      </c>
      <c r="B521" s="14" t="s">
        <v>1842</v>
      </c>
      <c r="C521" s="14" t="s">
        <v>290</v>
      </c>
      <c r="D521" s="14" t="s">
        <v>112</v>
      </c>
      <c r="E521" s="14" t="s">
        <v>126</v>
      </c>
      <c r="F521" s="14">
        <v>-1</v>
      </c>
      <c r="G521" s="14">
        <v>96050</v>
      </c>
      <c r="H521" s="14">
        <v>0</v>
      </c>
      <c r="I521" s="14" t="s">
        <v>121</v>
      </c>
      <c r="J521" s="14" t="s">
        <v>174</v>
      </c>
      <c r="K521" s="14" t="s">
        <v>1843</v>
      </c>
    </row>
    <row r="522" spans="1:11" x14ac:dyDescent="0.35">
      <c r="A522" s="14" t="s">
        <v>1844</v>
      </c>
      <c r="B522" s="14" t="s">
        <v>1845</v>
      </c>
      <c r="C522" s="14" t="s">
        <v>727</v>
      </c>
      <c r="D522" s="14" t="s">
        <v>360</v>
      </c>
      <c r="E522" s="14" t="s">
        <v>101</v>
      </c>
      <c r="F522" s="14">
        <v>3</v>
      </c>
      <c r="G522" s="14">
        <v>244590</v>
      </c>
      <c r="H522" s="14">
        <v>0</v>
      </c>
      <c r="I522" s="14" t="s">
        <v>378</v>
      </c>
      <c r="J522" s="14" t="s">
        <v>66</v>
      </c>
      <c r="K522" s="14" t="s">
        <v>1846</v>
      </c>
    </row>
    <row r="523" spans="1:11" x14ac:dyDescent="0.35">
      <c r="A523" s="14" t="s">
        <v>1847</v>
      </c>
      <c r="B523" s="14" t="s">
        <v>1848</v>
      </c>
      <c r="C523" s="14" t="s">
        <v>290</v>
      </c>
      <c r="D523" s="14" t="s">
        <v>112</v>
      </c>
      <c r="E523" s="14" t="s">
        <v>126</v>
      </c>
      <c r="F523" s="14">
        <v>3</v>
      </c>
      <c r="G523" s="14">
        <v>158690</v>
      </c>
      <c r="H523" s="14">
        <v>15</v>
      </c>
      <c r="I523" s="14" t="s">
        <v>114</v>
      </c>
      <c r="J523" s="14" t="s">
        <v>58</v>
      </c>
      <c r="K523" s="14" t="s">
        <v>1849</v>
      </c>
    </row>
    <row r="524" spans="1:11" x14ac:dyDescent="0.35">
      <c r="A524" s="14" t="s">
        <v>1850</v>
      </c>
      <c r="B524" s="14" t="s">
        <v>1851</v>
      </c>
      <c r="C524" s="14" t="s">
        <v>579</v>
      </c>
      <c r="D524" s="14" t="s">
        <v>390</v>
      </c>
      <c r="E524" s="14" t="s">
        <v>126</v>
      </c>
      <c r="F524" s="14">
        <v>-1</v>
      </c>
      <c r="G524" s="14">
        <v>49770</v>
      </c>
      <c r="H524" s="14"/>
      <c r="I524" s="14" t="s">
        <v>73</v>
      </c>
      <c r="J524" s="14" t="s">
        <v>58</v>
      </c>
      <c r="K524" s="14" t="s">
        <v>1852</v>
      </c>
    </row>
    <row r="525" spans="1:11" x14ac:dyDescent="0.35">
      <c r="A525" s="14" t="s">
        <v>1853</v>
      </c>
      <c r="B525" s="14" t="s">
        <v>1854</v>
      </c>
      <c r="C525" s="14" t="s">
        <v>645</v>
      </c>
      <c r="D525" s="14" t="s">
        <v>216</v>
      </c>
      <c r="E525" s="14" t="s">
        <v>113</v>
      </c>
      <c r="F525" s="14">
        <v>0</v>
      </c>
      <c r="G525" s="14">
        <v>165810</v>
      </c>
      <c r="H525" s="14"/>
      <c r="I525" s="14" t="s">
        <v>378</v>
      </c>
      <c r="J525" s="14" t="s">
        <v>74</v>
      </c>
      <c r="K525" s="14" t="s">
        <v>1855</v>
      </c>
    </row>
    <row r="526" spans="1:11" x14ac:dyDescent="0.35">
      <c r="A526" s="14" t="s">
        <v>1856</v>
      </c>
      <c r="B526" s="14" t="s">
        <v>1857</v>
      </c>
      <c r="C526" s="14" t="s">
        <v>347</v>
      </c>
      <c r="D526" s="14" t="s">
        <v>329</v>
      </c>
      <c r="E526" s="14" t="s">
        <v>126</v>
      </c>
      <c r="F526" s="14">
        <v>0</v>
      </c>
      <c r="G526" s="14">
        <v>198230</v>
      </c>
      <c r="H526" s="14">
        <v>0</v>
      </c>
      <c r="I526" s="14" t="s">
        <v>250</v>
      </c>
      <c r="J526" s="14" t="s">
        <v>66</v>
      </c>
      <c r="K526" s="14" t="s">
        <v>1858</v>
      </c>
    </row>
    <row r="527" spans="1:11" x14ac:dyDescent="0.35">
      <c r="A527" s="14" t="s">
        <v>1859</v>
      </c>
      <c r="B527" s="14" t="s">
        <v>1860</v>
      </c>
      <c r="C527" s="14" t="s">
        <v>1861</v>
      </c>
      <c r="D527" s="14" t="s">
        <v>94</v>
      </c>
      <c r="E527" s="14" t="s">
        <v>80</v>
      </c>
      <c r="F527" s="14">
        <v>1</v>
      </c>
      <c r="G527" s="14">
        <v>179060</v>
      </c>
      <c r="H527" s="14">
        <v>0</v>
      </c>
      <c r="I527" s="14" t="s">
        <v>424</v>
      </c>
      <c r="J527" s="14" t="s">
        <v>174</v>
      </c>
      <c r="K527" s="14" t="s">
        <v>1862</v>
      </c>
    </row>
    <row r="528" spans="1:11" x14ac:dyDescent="0.35">
      <c r="A528" s="14" t="s">
        <v>1863</v>
      </c>
      <c r="B528" s="14" t="s">
        <v>1864</v>
      </c>
      <c r="C528" s="14" t="s">
        <v>385</v>
      </c>
      <c r="D528" s="14" t="s">
        <v>125</v>
      </c>
      <c r="E528" s="14" t="s">
        <v>101</v>
      </c>
      <c r="F528" s="14">
        <v>2</v>
      </c>
      <c r="G528" s="14">
        <v>45790</v>
      </c>
      <c r="H528" s="14" t="s">
        <v>81</v>
      </c>
      <c r="I528" s="14" t="s">
        <v>250</v>
      </c>
      <c r="J528" s="14" t="s">
        <v>90</v>
      </c>
      <c r="K528" s="14" t="s">
        <v>1865</v>
      </c>
    </row>
    <row r="529" spans="1:11" x14ac:dyDescent="0.35">
      <c r="A529" s="14" t="s">
        <v>1866</v>
      </c>
      <c r="B529" s="14" t="s">
        <v>1867</v>
      </c>
      <c r="C529" s="14" t="s">
        <v>562</v>
      </c>
      <c r="D529" s="14" t="s">
        <v>154</v>
      </c>
      <c r="E529" s="14" t="s">
        <v>101</v>
      </c>
      <c r="F529" s="14">
        <v>-1</v>
      </c>
      <c r="G529" s="14">
        <v>198790</v>
      </c>
      <c r="H529" s="14" t="s">
        <v>81</v>
      </c>
      <c r="I529" s="14" t="s">
        <v>121</v>
      </c>
      <c r="J529" s="14" t="s">
        <v>149</v>
      </c>
      <c r="K529" s="14"/>
    </row>
    <row r="530" spans="1:11" x14ac:dyDescent="0.35">
      <c r="A530" s="14" t="s">
        <v>1868</v>
      </c>
      <c r="B530" s="14" t="s">
        <v>1869</v>
      </c>
      <c r="C530" s="14" t="s">
        <v>1018</v>
      </c>
      <c r="D530" s="14" t="s">
        <v>576</v>
      </c>
      <c r="E530" s="14" t="s">
        <v>113</v>
      </c>
      <c r="F530" s="14">
        <v>2</v>
      </c>
      <c r="G530" s="14" t="s">
        <v>1870</v>
      </c>
      <c r="H530" s="14">
        <v>5</v>
      </c>
      <c r="I530" s="14" t="s">
        <v>57</v>
      </c>
      <c r="J530" s="14" t="s">
        <v>58</v>
      </c>
      <c r="K530" s="14" t="s">
        <v>1871</v>
      </c>
    </row>
    <row r="531" spans="1:11" x14ac:dyDescent="0.35">
      <c r="A531" s="14" t="s">
        <v>1872</v>
      </c>
      <c r="B531" s="14" t="s">
        <v>1873</v>
      </c>
      <c r="C531" s="14" t="s">
        <v>93</v>
      </c>
      <c r="D531" s="14" t="s">
        <v>107</v>
      </c>
      <c r="E531" s="14" t="s">
        <v>113</v>
      </c>
      <c r="F531" s="14">
        <v>2</v>
      </c>
      <c r="G531" s="14" t="s">
        <v>1874</v>
      </c>
      <c r="H531" s="14">
        <v>10</v>
      </c>
      <c r="I531" s="14" t="s">
        <v>250</v>
      </c>
      <c r="J531" s="14" t="s">
        <v>66</v>
      </c>
      <c r="K531" s="14" t="s">
        <v>1875</v>
      </c>
    </row>
    <row r="532" spans="1:11" x14ac:dyDescent="0.35">
      <c r="A532" s="14" t="s">
        <v>1876</v>
      </c>
      <c r="B532" s="14" t="s">
        <v>1877</v>
      </c>
      <c r="C532" s="14" t="s">
        <v>1097</v>
      </c>
      <c r="D532" s="14" t="s">
        <v>144</v>
      </c>
      <c r="E532" s="14" t="s">
        <v>101</v>
      </c>
      <c r="F532" s="14">
        <v>2</v>
      </c>
      <c r="G532" s="14">
        <v>46010</v>
      </c>
      <c r="H532" s="14">
        <v>10</v>
      </c>
      <c r="I532" s="14" t="s">
        <v>158</v>
      </c>
      <c r="J532" s="14" t="s">
        <v>58</v>
      </c>
      <c r="K532" s="14" t="s">
        <v>1878</v>
      </c>
    </row>
    <row r="533" spans="1:11" x14ac:dyDescent="0.35">
      <c r="A533" s="14" t="s">
        <v>1879</v>
      </c>
      <c r="B533" s="14" t="s">
        <v>1880</v>
      </c>
      <c r="C533" s="14" t="s">
        <v>439</v>
      </c>
      <c r="D533" s="14" t="s">
        <v>120</v>
      </c>
      <c r="E533" s="14" t="s">
        <v>80</v>
      </c>
      <c r="F533" s="14">
        <v>1</v>
      </c>
      <c r="G533" s="14">
        <v>84470</v>
      </c>
      <c r="H533" s="14">
        <v>-5</v>
      </c>
      <c r="I533" s="14" t="s">
        <v>250</v>
      </c>
      <c r="J533" s="14" t="s">
        <v>149</v>
      </c>
      <c r="K533" s="14" t="s">
        <v>1881</v>
      </c>
    </row>
    <row r="534" spans="1:11" x14ac:dyDescent="0.35">
      <c r="A534" s="14" t="s">
        <v>1882</v>
      </c>
      <c r="B534" s="14" t="s">
        <v>1883</v>
      </c>
      <c r="C534" s="14" t="s">
        <v>220</v>
      </c>
      <c r="D534" s="14" t="s">
        <v>520</v>
      </c>
      <c r="E534" s="14" t="s">
        <v>64</v>
      </c>
      <c r="F534" s="14">
        <v>0</v>
      </c>
      <c r="G534" s="14" t="s">
        <v>1884</v>
      </c>
      <c r="H534" s="14" t="s">
        <v>81</v>
      </c>
      <c r="I534" s="14" t="s">
        <v>95</v>
      </c>
      <c r="J534" s="14" t="s">
        <v>58</v>
      </c>
      <c r="K534" s="14" t="s">
        <v>1885</v>
      </c>
    </row>
    <row r="535" spans="1:11" x14ac:dyDescent="0.35">
      <c r="A535" s="14" t="s">
        <v>1886</v>
      </c>
      <c r="B535" s="14" t="s">
        <v>1887</v>
      </c>
      <c r="C535" s="14" t="s">
        <v>319</v>
      </c>
      <c r="D535" s="14" t="s">
        <v>207</v>
      </c>
      <c r="E535" s="14" t="s">
        <v>80</v>
      </c>
      <c r="F535" s="14">
        <v>-1</v>
      </c>
      <c r="G535" s="14">
        <v>206430</v>
      </c>
      <c r="H535" s="14">
        <v>0</v>
      </c>
      <c r="I535" s="14" t="s">
        <v>95</v>
      </c>
      <c r="J535" s="14" t="s">
        <v>149</v>
      </c>
      <c r="K535" s="14" t="s">
        <v>1888</v>
      </c>
    </row>
    <row r="536" spans="1:11" x14ac:dyDescent="0.35">
      <c r="A536" s="14" t="s">
        <v>1889</v>
      </c>
      <c r="B536" s="14" t="s">
        <v>1890</v>
      </c>
      <c r="C536" s="14" t="s">
        <v>462</v>
      </c>
      <c r="D536" s="14" t="s">
        <v>463</v>
      </c>
      <c r="E536" s="14" t="s">
        <v>56</v>
      </c>
      <c r="F536" s="14">
        <v>1</v>
      </c>
      <c r="G536" s="14">
        <v>110800</v>
      </c>
      <c r="H536" s="14">
        <v>15</v>
      </c>
      <c r="I536" s="14" t="s">
        <v>121</v>
      </c>
      <c r="J536" s="14" t="s">
        <v>66</v>
      </c>
      <c r="K536" s="14" t="s">
        <v>1891</v>
      </c>
    </row>
    <row r="537" spans="1:11" x14ac:dyDescent="0.35">
      <c r="A537" s="14" t="s">
        <v>1892</v>
      </c>
      <c r="B537" s="14" t="s">
        <v>1893</v>
      </c>
      <c r="C537" s="14" t="s">
        <v>1009</v>
      </c>
      <c r="D537" s="14" t="s">
        <v>94</v>
      </c>
      <c r="E537" s="14" t="s">
        <v>72</v>
      </c>
      <c r="F537" s="14">
        <v>3</v>
      </c>
      <c r="G537" s="14">
        <v>63380</v>
      </c>
      <c r="H537" s="14">
        <v>0</v>
      </c>
      <c r="I537" s="14" t="s">
        <v>114</v>
      </c>
      <c r="J537" s="14" t="s">
        <v>174</v>
      </c>
      <c r="K537" s="14" t="s">
        <v>1894</v>
      </c>
    </row>
    <row r="538" spans="1:11" x14ac:dyDescent="0.35">
      <c r="A538" s="14" t="s">
        <v>1895</v>
      </c>
      <c r="B538" s="14" t="s">
        <v>743</v>
      </c>
      <c r="C538" s="14"/>
      <c r="D538" s="14" t="s">
        <v>226</v>
      </c>
      <c r="E538" s="14" t="s">
        <v>126</v>
      </c>
      <c r="F538" s="14">
        <v>1</v>
      </c>
      <c r="G538" s="14">
        <v>74120</v>
      </c>
      <c r="H538" s="14">
        <v>0</v>
      </c>
      <c r="I538" s="14" t="s">
        <v>158</v>
      </c>
      <c r="J538" s="14" t="s">
        <v>83</v>
      </c>
      <c r="K538" s="14"/>
    </row>
    <row r="539" spans="1:11" x14ac:dyDescent="0.35">
      <c r="A539" s="14" t="s">
        <v>1896</v>
      </c>
      <c r="B539" s="14" t="s">
        <v>552</v>
      </c>
      <c r="C539" s="14" t="s">
        <v>1486</v>
      </c>
      <c r="D539" s="14" t="s">
        <v>163</v>
      </c>
      <c r="E539" s="14" t="s">
        <v>113</v>
      </c>
      <c r="F539" s="14">
        <v>2</v>
      </c>
      <c r="G539" s="14">
        <v>77950</v>
      </c>
      <c r="H539" s="14">
        <v>15</v>
      </c>
      <c r="I539" s="14" t="s">
        <v>73</v>
      </c>
      <c r="J539" s="14" t="s">
        <v>83</v>
      </c>
      <c r="K539" s="14" t="s">
        <v>1897</v>
      </c>
    </row>
    <row r="540" spans="1:11" x14ac:dyDescent="0.35">
      <c r="A540" s="14" t="s">
        <v>1898</v>
      </c>
      <c r="B540" s="14" t="s">
        <v>1899</v>
      </c>
      <c r="C540" s="14" t="s">
        <v>558</v>
      </c>
      <c r="D540" s="14" t="s">
        <v>55</v>
      </c>
      <c r="E540" s="14" t="s">
        <v>126</v>
      </c>
      <c r="F540" s="14">
        <v>1</v>
      </c>
      <c r="G540" s="14">
        <v>11830</v>
      </c>
      <c r="H540" s="14"/>
      <c r="I540" s="14" t="s">
        <v>73</v>
      </c>
      <c r="J540" s="14" t="s">
        <v>74</v>
      </c>
      <c r="K540" s="14" t="s">
        <v>1900</v>
      </c>
    </row>
    <row r="541" spans="1:11" x14ac:dyDescent="0.35">
      <c r="A541" s="14" t="s">
        <v>1901</v>
      </c>
      <c r="B541" s="14" t="s">
        <v>1902</v>
      </c>
      <c r="C541" s="14" t="s">
        <v>786</v>
      </c>
      <c r="D541" s="14" t="s">
        <v>315</v>
      </c>
      <c r="E541" s="14" t="s">
        <v>126</v>
      </c>
      <c r="F541" s="14">
        <v>1</v>
      </c>
      <c r="G541" s="14">
        <v>98570</v>
      </c>
      <c r="H541" s="14">
        <v>-5</v>
      </c>
      <c r="I541" s="14" t="s">
        <v>89</v>
      </c>
      <c r="J541" s="14" t="s">
        <v>58</v>
      </c>
      <c r="K541" s="14" t="s">
        <v>1903</v>
      </c>
    </row>
    <row r="542" spans="1:11" x14ac:dyDescent="0.35">
      <c r="A542" s="14" t="s">
        <v>1904</v>
      </c>
      <c r="B542" s="14" t="s">
        <v>1905</v>
      </c>
      <c r="C542" s="14" t="s">
        <v>365</v>
      </c>
      <c r="D542" s="14" t="s">
        <v>192</v>
      </c>
      <c r="E542" s="14" t="s">
        <v>101</v>
      </c>
      <c r="F542" s="14">
        <v>0</v>
      </c>
      <c r="G542" s="14">
        <v>38550</v>
      </c>
      <c r="H542" s="14"/>
      <c r="I542" s="14" t="s">
        <v>89</v>
      </c>
      <c r="J542" s="14" t="s">
        <v>149</v>
      </c>
      <c r="K542" s="14"/>
    </row>
    <row r="543" spans="1:11" x14ac:dyDescent="0.35">
      <c r="A543" s="14" t="s">
        <v>1906</v>
      </c>
      <c r="B543" s="14" t="s">
        <v>1907</v>
      </c>
      <c r="C543" s="14" t="s">
        <v>973</v>
      </c>
      <c r="D543" s="14" t="s">
        <v>295</v>
      </c>
      <c r="E543" s="14" t="s">
        <v>113</v>
      </c>
      <c r="F543" s="14">
        <v>1</v>
      </c>
      <c r="G543" s="14">
        <v>130000</v>
      </c>
      <c r="H543" s="14">
        <v>10</v>
      </c>
      <c r="I543" s="14" t="s">
        <v>95</v>
      </c>
      <c r="J543" s="14" t="s">
        <v>90</v>
      </c>
      <c r="K543" s="14" t="s">
        <v>1908</v>
      </c>
    </row>
    <row r="544" spans="1:11" x14ac:dyDescent="0.35">
      <c r="A544" s="14" t="s">
        <v>1909</v>
      </c>
      <c r="B544" s="14" t="s">
        <v>1084</v>
      </c>
      <c r="C544" s="14" t="s">
        <v>1321</v>
      </c>
      <c r="D544" s="14" t="s">
        <v>167</v>
      </c>
      <c r="E544" s="14" t="s">
        <v>80</v>
      </c>
      <c r="F544" s="14">
        <v>1</v>
      </c>
      <c r="G544" s="14">
        <v>217890</v>
      </c>
      <c r="H544" s="14">
        <v>0</v>
      </c>
      <c r="I544" s="14" t="s">
        <v>73</v>
      </c>
      <c r="J544" s="14" t="s">
        <v>149</v>
      </c>
      <c r="K544" s="14" t="s">
        <v>1910</v>
      </c>
    </row>
    <row r="545" spans="1:11" x14ac:dyDescent="0.35">
      <c r="A545" s="14" t="s">
        <v>1911</v>
      </c>
      <c r="B545" s="14" t="s">
        <v>1912</v>
      </c>
      <c r="C545" s="14" t="s">
        <v>524</v>
      </c>
      <c r="D545" s="14" t="s">
        <v>278</v>
      </c>
      <c r="E545" s="14" t="s">
        <v>108</v>
      </c>
      <c r="F545" s="14">
        <v>-1</v>
      </c>
      <c r="G545" s="14">
        <v>236670</v>
      </c>
      <c r="H545" s="14">
        <v>0</v>
      </c>
      <c r="I545" s="14" t="s">
        <v>57</v>
      </c>
      <c r="J545" s="14" t="s">
        <v>83</v>
      </c>
      <c r="K545" s="14"/>
    </row>
    <row r="546" spans="1:11" x14ac:dyDescent="0.35">
      <c r="A546" s="14" t="s">
        <v>1913</v>
      </c>
      <c r="B546" s="14" t="s">
        <v>1429</v>
      </c>
      <c r="C546" s="14" t="s">
        <v>831</v>
      </c>
      <c r="D546" s="14" t="s">
        <v>216</v>
      </c>
      <c r="E546" s="14" t="s">
        <v>80</v>
      </c>
      <c r="F546" s="14">
        <v>1</v>
      </c>
      <c r="G546" s="14">
        <v>19250</v>
      </c>
      <c r="H546" s="14">
        <v>0</v>
      </c>
      <c r="I546" s="14" t="s">
        <v>65</v>
      </c>
      <c r="J546" s="14" t="s">
        <v>74</v>
      </c>
      <c r="K546" s="14" t="s">
        <v>1914</v>
      </c>
    </row>
    <row r="547" spans="1:11" x14ac:dyDescent="0.35">
      <c r="A547" s="14" t="s">
        <v>1915</v>
      </c>
      <c r="B547" s="14" t="s">
        <v>1916</v>
      </c>
      <c r="C547" s="14" t="s">
        <v>143</v>
      </c>
      <c r="D547" s="14" t="s">
        <v>550</v>
      </c>
      <c r="E547" s="14" t="s">
        <v>80</v>
      </c>
      <c r="F547" s="14">
        <v>3</v>
      </c>
      <c r="G547" s="14">
        <v>233160</v>
      </c>
      <c r="H547" s="14">
        <v>5</v>
      </c>
      <c r="I547" s="14" t="s">
        <v>121</v>
      </c>
      <c r="J547" s="14" t="s">
        <v>90</v>
      </c>
      <c r="K547" s="14" t="s">
        <v>1917</v>
      </c>
    </row>
    <row r="548" spans="1:11" x14ac:dyDescent="0.35">
      <c r="A548" s="14" t="s">
        <v>1918</v>
      </c>
      <c r="B548" s="14" t="s">
        <v>1919</v>
      </c>
      <c r="C548" s="14" t="s">
        <v>396</v>
      </c>
      <c r="D548" s="14" t="s">
        <v>255</v>
      </c>
      <c r="E548" s="14" t="s">
        <v>72</v>
      </c>
      <c r="F548" s="14">
        <v>2</v>
      </c>
      <c r="G548" s="14">
        <v>37950</v>
      </c>
      <c r="H548" s="14"/>
      <c r="I548" s="14" t="s">
        <v>57</v>
      </c>
      <c r="J548" s="14" t="s">
        <v>74</v>
      </c>
      <c r="K548" s="14" t="s">
        <v>1920</v>
      </c>
    </row>
    <row r="549" spans="1:11" x14ac:dyDescent="0.35">
      <c r="A549" s="14" t="s">
        <v>1921</v>
      </c>
      <c r="B549" s="14" t="s">
        <v>1922</v>
      </c>
      <c r="C549" s="14" t="s">
        <v>750</v>
      </c>
      <c r="D549" s="14" t="s">
        <v>144</v>
      </c>
      <c r="E549" s="14" t="s">
        <v>113</v>
      </c>
      <c r="F549" s="14">
        <v>1</v>
      </c>
      <c r="G549" s="14">
        <v>16820</v>
      </c>
      <c r="H549" s="14">
        <v>10</v>
      </c>
      <c r="I549" s="14" t="s">
        <v>114</v>
      </c>
      <c r="J549" s="14" t="s">
        <v>74</v>
      </c>
      <c r="K549" s="14" t="s">
        <v>1923</v>
      </c>
    </row>
    <row r="550" spans="1:11" x14ac:dyDescent="0.35">
      <c r="A550" s="14" t="s">
        <v>1924</v>
      </c>
      <c r="B550" s="14" t="s">
        <v>1925</v>
      </c>
      <c r="C550" s="14" t="s">
        <v>230</v>
      </c>
      <c r="D550" s="14" t="s">
        <v>107</v>
      </c>
      <c r="E550" s="14" t="s">
        <v>72</v>
      </c>
      <c r="F550" s="14">
        <v>-1</v>
      </c>
      <c r="G550" s="14">
        <v>81840</v>
      </c>
      <c r="H550" s="14">
        <v>0</v>
      </c>
      <c r="I550" s="14" t="s">
        <v>95</v>
      </c>
      <c r="J550" s="14" t="s">
        <v>115</v>
      </c>
      <c r="K550" s="14" t="s">
        <v>1926</v>
      </c>
    </row>
    <row r="551" spans="1:11" x14ac:dyDescent="0.35">
      <c r="A551" s="14" t="s">
        <v>1927</v>
      </c>
      <c r="B551" s="14" t="s">
        <v>1928</v>
      </c>
      <c r="C551" s="14" t="s">
        <v>491</v>
      </c>
      <c r="D551" s="14" t="s">
        <v>216</v>
      </c>
      <c r="E551" s="14" t="s">
        <v>101</v>
      </c>
      <c r="F551" s="14">
        <v>-1</v>
      </c>
      <c r="G551" s="14">
        <v>205730</v>
      </c>
      <c r="H551" s="14">
        <v>10</v>
      </c>
      <c r="I551" s="14" t="s">
        <v>121</v>
      </c>
      <c r="J551" s="14" t="s">
        <v>149</v>
      </c>
      <c r="K551" s="14" t="s">
        <v>1929</v>
      </c>
    </row>
    <row r="552" spans="1:11" x14ac:dyDescent="0.35">
      <c r="A552" s="14" t="s">
        <v>1930</v>
      </c>
      <c r="B552" s="14" t="s">
        <v>1931</v>
      </c>
      <c r="C552" s="14" t="s">
        <v>674</v>
      </c>
      <c r="D552" s="14" t="s">
        <v>207</v>
      </c>
      <c r="E552" s="14" t="s">
        <v>72</v>
      </c>
      <c r="F552" s="14">
        <v>1</v>
      </c>
      <c r="G552" s="14">
        <v>43420</v>
      </c>
      <c r="H552" s="14"/>
      <c r="I552" s="14" t="s">
        <v>378</v>
      </c>
      <c r="J552" s="14" t="s">
        <v>66</v>
      </c>
      <c r="K552" s="14" t="s">
        <v>1932</v>
      </c>
    </row>
    <row r="553" spans="1:11" x14ac:dyDescent="0.35">
      <c r="A553" s="14" t="s">
        <v>1933</v>
      </c>
      <c r="B553" s="14" t="s">
        <v>1934</v>
      </c>
      <c r="C553" s="14" t="s">
        <v>171</v>
      </c>
      <c r="D553" s="14" t="s">
        <v>100</v>
      </c>
      <c r="E553" s="14" t="s">
        <v>56</v>
      </c>
      <c r="F553" s="14">
        <v>2</v>
      </c>
      <c r="G553" s="14">
        <v>82720</v>
      </c>
      <c r="H553" s="14">
        <v>0</v>
      </c>
      <c r="I553" s="14" t="s">
        <v>73</v>
      </c>
      <c r="J553" s="14" t="s">
        <v>149</v>
      </c>
      <c r="K553" s="14"/>
    </row>
    <row r="554" spans="1:11" x14ac:dyDescent="0.35">
      <c r="A554" s="14" t="s">
        <v>1935</v>
      </c>
      <c r="B554" s="14" t="s">
        <v>964</v>
      </c>
      <c r="C554" s="14" t="s">
        <v>263</v>
      </c>
      <c r="D554" s="14" t="s">
        <v>520</v>
      </c>
      <c r="E554" s="14" t="s">
        <v>113</v>
      </c>
      <c r="F554" s="14">
        <v>0</v>
      </c>
      <c r="G554" s="14">
        <v>126670</v>
      </c>
      <c r="H554" s="14"/>
      <c r="I554" s="14" t="s">
        <v>424</v>
      </c>
      <c r="J554" s="14" t="s">
        <v>174</v>
      </c>
      <c r="K554" s="14" t="s">
        <v>1936</v>
      </c>
    </row>
    <row r="555" spans="1:11" x14ac:dyDescent="0.35">
      <c r="A555" s="14" t="s">
        <v>1937</v>
      </c>
      <c r="B555" s="14" t="s">
        <v>1938</v>
      </c>
      <c r="C555" s="14" t="s">
        <v>225</v>
      </c>
      <c r="D555" s="14" t="s">
        <v>226</v>
      </c>
      <c r="E555" s="14" t="s">
        <v>72</v>
      </c>
      <c r="F555" s="14">
        <v>2</v>
      </c>
      <c r="G555" s="14">
        <v>166970</v>
      </c>
      <c r="H555" s="14">
        <v>10</v>
      </c>
      <c r="I555" s="14" t="s">
        <v>95</v>
      </c>
      <c r="J555" s="14" t="s">
        <v>66</v>
      </c>
      <c r="K555" s="14" t="s">
        <v>1939</v>
      </c>
    </row>
    <row r="556" spans="1:11" x14ac:dyDescent="0.35">
      <c r="A556" s="14" t="s">
        <v>1940</v>
      </c>
      <c r="B556" s="14" t="s">
        <v>1941</v>
      </c>
      <c r="C556" s="14" t="s">
        <v>740</v>
      </c>
      <c r="D556" s="14" t="s">
        <v>445</v>
      </c>
      <c r="E556" s="14" t="s">
        <v>64</v>
      </c>
      <c r="F556" s="14">
        <v>1</v>
      </c>
      <c r="G556" s="14">
        <v>173190</v>
      </c>
      <c r="H556" s="14">
        <v>-5</v>
      </c>
      <c r="I556" s="14" t="s">
        <v>378</v>
      </c>
      <c r="J556" s="14" t="s">
        <v>58</v>
      </c>
      <c r="K556" s="14" t="s">
        <v>1942</v>
      </c>
    </row>
    <row r="557" spans="1:11" x14ac:dyDescent="0.35">
      <c r="A557" s="14" t="s">
        <v>1943</v>
      </c>
      <c r="B557" s="14" t="s">
        <v>1944</v>
      </c>
      <c r="C557" s="14" t="s">
        <v>124</v>
      </c>
      <c r="D557" s="14" t="s">
        <v>278</v>
      </c>
      <c r="E557" s="14" t="s">
        <v>72</v>
      </c>
      <c r="F557" s="14">
        <v>2</v>
      </c>
      <c r="G557" s="14">
        <v>226950</v>
      </c>
      <c r="H557" s="14">
        <v>-5</v>
      </c>
      <c r="I557" s="14" t="s">
        <v>73</v>
      </c>
      <c r="J557" s="14" t="s">
        <v>66</v>
      </c>
      <c r="K557" s="14" t="s">
        <v>1945</v>
      </c>
    </row>
    <row r="558" spans="1:11" x14ac:dyDescent="0.35">
      <c r="A558" s="14" t="s">
        <v>1946</v>
      </c>
      <c r="B558" s="14" t="s">
        <v>1947</v>
      </c>
      <c r="C558" s="14" t="s">
        <v>1301</v>
      </c>
      <c r="D558" s="14" t="s">
        <v>1544</v>
      </c>
      <c r="E558" s="14" t="s">
        <v>80</v>
      </c>
      <c r="F558" s="14">
        <v>2</v>
      </c>
      <c r="G558" s="14">
        <v>185490</v>
      </c>
      <c r="H558" s="14"/>
      <c r="I558" s="14" t="s">
        <v>121</v>
      </c>
      <c r="J558" s="14" t="s">
        <v>66</v>
      </c>
      <c r="K558" s="14" t="s">
        <v>1948</v>
      </c>
    </row>
    <row r="559" spans="1:11" x14ac:dyDescent="0.35">
      <c r="A559" s="14" t="s">
        <v>1949</v>
      </c>
      <c r="B559" s="14" t="s">
        <v>1950</v>
      </c>
      <c r="C559" s="14" t="s">
        <v>314</v>
      </c>
      <c r="D559" s="14" t="s">
        <v>100</v>
      </c>
      <c r="E559" s="14" t="s">
        <v>80</v>
      </c>
      <c r="F559" s="14">
        <v>-1</v>
      </c>
      <c r="G559" s="14" t="s">
        <v>1951</v>
      </c>
      <c r="H559" s="14">
        <v>-5</v>
      </c>
      <c r="I559" s="14" t="s">
        <v>158</v>
      </c>
      <c r="J559" s="14" t="s">
        <v>174</v>
      </c>
      <c r="K559" s="14" t="s">
        <v>1952</v>
      </c>
    </row>
    <row r="560" spans="1:11" x14ac:dyDescent="0.35">
      <c r="A560" s="14" t="s">
        <v>1953</v>
      </c>
      <c r="B560" s="14" t="s">
        <v>1954</v>
      </c>
      <c r="C560" s="14" t="s">
        <v>1085</v>
      </c>
      <c r="D560" s="14" t="s">
        <v>240</v>
      </c>
      <c r="E560" s="14" t="s">
        <v>80</v>
      </c>
      <c r="F560" s="14">
        <v>0</v>
      </c>
      <c r="G560" s="14">
        <v>234480</v>
      </c>
      <c r="H560" s="14">
        <v>0</v>
      </c>
      <c r="I560" s="14" t="s">
        <v>89</v>
      </c>
      <c r="J560" s="14" t="s">
        <v>58</v>
      </c>
      <c r="K560" s="14" t="s">
        <v>1955</v>
      </c>
    </row>
    <row r="561" spans="1:11" x14ac:dyDescent="0.35">
      <c r="A561" s="14" t="s">
        <v>1956</v>
      </c>
      <c r="B561" s="14" t="s">
        <v>1957</v>
      </c>
      <c r="C561" s="14" t="s">
        <v>1025</v>
      </c>
      <c r="D561" s="14" t="s">
        <v>107</v>
      </c>
      <c r="E561" s="14" t="s">
        <v>126</v>
      </c>
      <c r="F561" s="14">
        <v>1</v>
      </c>
      <c r="G561" s="14">
        <v>137040</v>
      </c>
      <c r="H561" s="14"/>
      <c r="I561" s="14" t="s">
        <v>121</v>
      </c>
      <c r="J561" s="14" t="s">
        <v>83</v>
      </c>
      <c r="K561" s="14"/>
    </row>
    <row r="562" spans="1:11" x14ac:dyDescent="0.35">
      <c r="A562" s="14" t="s">
        <v>1958</v>
      </c>
      <c r="B562" s="14" t="s">
        <v>1959</v>
      </c>
      <c r="C562" s="14" t="s">
        <v>263</v>
      </c>
      <c r="D562" s="14" t="s">
        <v>369</v>
      </c>
      <c r="E562" s="14" t="s">
        <v>126</v>
      </c>
      <c r="F562" s="14">
        <v>2</v>
      </c>
      <c r="G562" s="14">
        <v>13900</v>
      </c>
      <c r="H562" s="14" t="s">
        <v>81</v>
      </c>
      <c r="I562" s="14" t="s">
        <v>268</v>
      </c>
      <c r="J562" s="14" t="s">
        <v>83</v>
      </c>
      <c r="K562" s="14" t="s">
        <v>1960</v>
      </c>
    </row>
    <row r="563" spans="1:11" x14ac:dyDescent="0.35">
      <c r="A563" s="14" t="s">
        <v>1961</v>
      </c>
      <c r="B563" s="14" t="s">
        <v>1962</v>
      </c>
      <c r="C563" s="14"/>
      <c r="D563" s="14" t="s">
        <v>163</v>
      </c>
      <c r="E563" s="14" t="s">
        <v>72</v>
      </c>
      <c r="F563" s="14">
        <v>0</v>
      </c>
      <c r="G563" s="14" t="s">
        <v>1963</v>
      </c>
      <c r="H563" s="14">
        <v>-5</v>
      </c>
      <c r="I563" s="14" t="s">
        <v>424</v>
      </c>
      <c r="J563" s="14" t="s">
        <v>66</v>
      </c>
      <c r="K563" s="14" t="s">
        <v>1964</v>
      </c>
    </row>
    <row r="564" spans="1:11" x14ac:dyDescent="0.35">
      <c r="A564" s="14" t="s">
        <v>1965</v>
      </c>
      <c r="B564" s="14" t="s">
        <v>1324</v>
      </c>
      <c r="C564" s="14" t="s">
        <v>111</v>
      </c>
      <c r="D564" s="14" t="s">
        <v>192</v>
      </c>
      <c r="E564" s="14" t="s">
        <v>64</v>
      </c>
      <c r="F564" s="14">
        <v>-1</v>
      </c>
      <c r="G564" s="14" t="s">
        <v>1966</v>
      </c>
      <c r="H564" s="14"/>
      <c r="I564" s="14" t="s">
        <v>121</v>
      </c>
      <c r="J564" s="14" t="s">
        <v>83</v>
      </c>
      <c r="K564" s="14"/>
    </row>
    <row r="565" spans="1:11" x14ac:dyDescent="0.35">
      <c r="A565" s="14" t="s">
        <v>1967</v>
      </c>
      <c r="B565" s="14" t="s">
        <v>1968</v>
      </c>
      <c r="C565" s="14" t="s">
        <v>407</v>
      </c>
      <c r="D565" s="14" t="s">
        <v>369</v>
      </c>
      <c r="E565" s="14" t="s">
        <v>126</v>
      </c>
      <c r="F565" s="14">
        <v>2</v>
      </c>
      <c r="G565" s="14">
        <v>50870</v>
      </c>
      <c r="H565" s="14">
        <v>15</v>
      </c>
      <c r="I565" s="14" t="s">
        <v>65</v>
      </c>
      <c r="J565" s="14" t="s">
        <v>66</v>
      </c>
      <c r="K565" s="14" t="s">
        <v>1969</v>
      </c>
    </row>
    <row r="566" spans="1:11" x14ac:dyDescent="0.35">
      <c r="A566" s="14" t="s">
        <v>1970</v>
      </c>
      <c r="B566" s="14" t="s">
        <v>1971</v>
      </c>
      <c r="C566" s="14" t="s">
        <v>203</v>
      </c>
      <c r="D566" s="14" t="s">
        <v>369</v>
      </c>
      <c r="E566" s="14" t="s">
        <v>64</v>
      </c>
      <c r="F566" s="14">
        <v>0</v>
      </c>
      <c r="G566" s="14">
        <v>245910</v>
      </c>
      <c r="H566" s="14">
        <v>-5</v>
      </c>
      <c r="I566" s="14" t="s">
        <v>121</v>
      </c>
      <c r="J566" s="14" t="s">
        <v>66</v>
      </c>
      <c r="K566" s="14" t="s">
        <v>1972</v>
      </c>
    </row>
    <row r="567" spans="1:11" x14ac:dyDescent="0.35">
      <c r="A567" s="14" t="s">
        <v>1973</v>
      </c>
      <c r="B567" s="14" t="s">
        <v>1974</v>
      </c>
      <c r="C567" s="14" t="s">
        <v>385</v>
      </c>
      <c r="D567" s="14" t="s">
        <v>360</v>
      </c>
      <c r="E567" s="14" t="s">
        <v>113</v>
      </c>
      <c r="F567" s="14">
        <v>1</v>
      </c>
      <c r="G567" s="14">
        <v>119590</v>
      </c>
      <c r="H567" s="14"/>
      <c r="I567" s="14" t="s">
        <v>73</v>
      </c>
      <c r="J567" s="14" t="s">
        <v>58</v>
      </c>
      <c r="K567" s="14" t="s">
        <v>1975</v>
      </c>
    </row>
    <row r="568" spans="1:11" x14ac:dyDescent="0.35">
      <c r="A568" s="14" t="s">
        <v>1976</v>
      </c>
      <c r="B568" s="14" t="s">
        <v>1977</v>
      </c>
      <c r="C568" s="14" t="s">
        <v>359</v>
      </c>
      <c r="D568" s="14" t="s">
        <v>255</v>
      </c>
      <c r="E568" s="14" t="s">
        <v>64</v>
      </c>
      <c r="F568" s="14">
        <v>3</v>
      </c>
      <c r="G568" s="14">
        <v>47770</v>
      </c>
      <c r="H568" s="14">
        <v>10</v>
      </c>
      <c r="I568" s="14" t="s">
        <v>57</v>
      </c>
      <c r="J568" s="14" t="s">
        <v>115</v>
      </c>
      <c r="K568" s="14"/>
    </row>
    <row r="569" spans="1:11" x14ac:dyDescent="0.35">
      <c r="A569" s="14" t="s">
        <v>1978</v>
      </c>
      <c r="B569" s="14" t="s">
        <v>1979</v>
      </c>
      <c r="C569" s="14" t="s">
        <v>511</v>
      </c>
      <c r="D569" s="14" t="s">
        <v>249</v>
      </c>
      <c r="E569" s="14" t="s">
        <v>56</v>
      </c>
      <c r="F569" s="14">
        <v>2</v>
      </c>
      <c r="G569" s="14">
        <v>140840</v>
      </c>
      <c r="H569" s="14">
        <v>5</v>
      </c>
      <c r="I569" s="14" t="s">
        <v>121</v>
      </c>
      <c r="J569" s="14" t="s">
        <v>174</v>
      </c>
      <c r="K569" s="14" t="s">
        <v>1980</v>
      </c>
    </row>
    <row r="570" spans="1:11" x14ac:dyDescent="0.35">
      <c r="A570" s="14" t="s">
        <v>1981</v>
      </c>
      <c r="B570" s="14" t="s">
        <v>1982</v>
      </c>
      <c r="C570" s="14" t="s">
        <v>450</v>
      </c>
      <c r="D570" s="14" t="s">
        <v>550</v>
      </c>
      <c r="E570" s="14" t="s">
        <v>126</v>
      </c>
      <c r="F570" s="14">
        <v>2</v>
      </c>
      <c r="G570" s="14">
        <v>105070</v>
      </c>
      <c r="H570" s="14" t="s">
        <v>81</v>
      </c>
      <c r="I570" s="14" t="s">
        <v>424</v>
      </c>
      <c r="J570" s="14" t="s">
        <v>58</v>
      </c>
      <c r="K570" s="14" t="s">
        <v>1983</v>
      </c>
    </row>
    <row r="571" spans="1:11" x14ac:dyDescent="0.35">
      <c r="A571" s="14" t="s">
        <v>1984</v>
      </c>
      <c r="B571" s="14" t="s">
        <v>1985</v>
      </c>
      <c r="C571" s="14" t="s">
        <v>1321</v>
      </c>
      <c r="D571" s="14" t="s">
        <v>226</v>
      </c>
      <c r="E571" s="14" t="s">
        <v>56</v>
      </c>
      <c r="F571" s="14">
        <v>-1</v>
      </c>
      <c r="G571" s="14">
        <v>26890</v>
      </c>
      <c r="H571" s="14">
        <v>15</v>
      </c>
      <c r="I571" s="14" t="s">
        <v>158</v>
      </c>
      <c r="J571" s="14" t="s">
        <v>83</v>
      </c>
      <c r="K571" s="14"/>
    </row>
    <row r="572" spans="1:11" x14ac:dyDescent="0.35">
      <c r="A572" s="14" t="s">
        <v>1986</v>
      </c>
      <c r="B572" s="14" t="s">
        <v>1987</v>
      </c>
      <c r="C572" s="14" t="s">
        <v>1085</v>
      </c>
      <c r="D572" s="14" t="s">
        <v>71</v>
      </c>
      <c r="E572" s="14" t="s">
        <v>56</v>
      </c>
      <c r="F572" s="14">
        <v>2</v>
      </c>
      <c r="G572" s="14" t="s">
        <v>1988</v>
      </c>
      <c r="H572" s="14">
        <v>0</v>
      </c>
      <c r="I572" s="14" t="s">
        <v>73</v>
      </c>
      <c r="J572" s="14" t="s">
        <v>66</v>
      </c>
      <c r="K572" s="14" t="s">
        <v>1989</v>
      </c>
    </row>
    <row r="573" spans="1:11" x14ac:dyDescent="0.35">
      <c r="A573" s="14" t="s">
        <v>1990</v>
      </c>
      <c r="B573" s="14" t="s">
        <v>1912</v>
      </c>
      <c r="C573" s="14" t="s">
        <v>558</v>
      </c>
      <c r="D573" s="14" t="s">
        <v>418</v>
      </c>
      <c r="E573" s="14" t="s">
        <v>108</v>
      </c>
      <c r="F573" s="14">
        <v>-1</v>
      </c>
      <c r="G573" s="14">
        <v>59370</v>
      </c>
      <c r="H573" s="14">
        <v>-5</v>
      </c>
      <c r="I573" s="14" t="s">
        <v>114</v>
      </c>
      <c r="J573" s="14" t="s">
        <v>149</v>
      </c>
      <c r="K573" s="14"/>
    </row>
    <row r="574" spans="1:11" x14ac:dyDescent="0.35">
      <c r="A574" s="14" t="s">
        <v>1991</v>
      </c>
      <c r="B574" s="14" t="s">
        <v>1992</v>
      </c>
      <c r="C574" s="14" t="s">
        <v>385</v>
      </c>
      <c r="D574" s="14" t="s">
        <v>472</v>
      </c>
      <c r="E574" s="14" t="s">
        <v>108</v>
      </c>
      <c r="F574" s="14">
        <v>0</v>
      </c>
      <c r="G574" s="14" t="s">
        <v>1993</v>
      </c>
      <c r="H574" s="14" t="s">
        <v>81</v>
      </c>
      <c r="I574" s="14" t="s">
        <v>73</v>
      </c>
      <c r="J574" s="14" t="s">
        <v>149</v>
      </c>
      <c r="K574" s="14"/>
    </row>
    <row r="575" spans="1:11" x14ac:dyDescent="0.35">
      <c r="A575" s="14" t="s">
        <v>1994</v>
      </c>
      <c r="B575" s="14" t="s">
        <v>620</v>
      </c>
      <c r="C575" s="14" t="s">
        <v>462</v>
      </c>
      <c r="D575" s="14" t="s">
        <v>216</v>
      </c>
      <c r="E575" s="14" t="s">
        <v>64</v>
      </c>
      <c r="F575" s="14">
        <v>-1</v>
      </c>
      <c r="G575" s="14">
        <v>122400</v>
      </c>
      <c r="H575" s="14" t="s">
        <v>81</v>
      </c>
      <c r="I575" s="14" t="s">
        <v>121</v>
      </c>
      <c r="J575" s="14" t="s">
        <v>66</v>
      </c>
      <c r="K575" s="14" t="s">
        <v>1995</v>
      </c>
    </row>
    <row r="576" spans="1:11" x14ac:dyDescent="0.35">
      <c r="A576" s="14" t="s">
        <v>1996</v>
      </c>
      <c r="B576" s="14" t="s">
        <v>1997</v>
      </c>
      <c r="C576" s="14" t="s">
        <v>1829</v>
      </c>
      <c r="D576" s="14" t="s">
        <v>916</v>
      </c>
      <c r="E576" s="14" t="s">
        <v>56</v>
      </c>
      <c r="F576" s="14">
        <v>2</v>
      </c>
      <c r="G576" s="14" t="s">
        <v>1998</v>
      </c>
      <c r="H576" s="14">
        <v>10</v>
      </c>
      <c r="I576" s="14" t="s">
        <v>95</v>
      </c>
      <c r="J576" s="14" t="s">
        <v>83</v>
      </c>
      <c r="K576" s="14"/>
    </row>
    <row r="577" spans="1:11" x14ac:dyDescent="0.35">
      <c r="A577" s="14" t="s">
        <v>1999</v>
      </c>
      <c r="B577" s="14" t="s">
        <v>2000</v>
      </c>
      <c r="C577" s="14" t="s">
        <v>389</v>
      </c>
      <c r="D577" s="14" t="s">
        <v>684</v>
      </c>
      <c r="E577" s="14" t="s">
        <v>126</v>
      </c>
      <c r="F577" s="14">
        <v>1</v>
      </c>
      <c r="G577" s="14" t="s">
        <v>2001</v>
      </c>
      <c r="H577" s="14">
        <v>0</v>
      </c>
      <c r="I577" s="14" t="s">
        <v>95</v>
      </c>
      <c r="J577" s="14" t="s">
        <v>149</v>
      </c>
      <c r="K577" s="14"/>
    </row>
    <row r="578" spans="1:11" x14ac:dyDescent="0.35">
      <c r="A578" s="14" t="s">
        <v>2002</v>
      </c>
      <c r="B578" s="14" t="s">
        <v>2003</v>
      </c>
      <c r="C578" s="14" t="s">
        <v>468</v>
      </c>
      <c r="D578" s="14" t="s">
        <v>94</v>
      </c>
      <c r="E578" s="14" t="s">
        <v>101</v>
      </c>
      <c r="F578" s="14">
        <v>2</v>
      </c>
      <c r="G578" s="14">
        <v>197100</v>
      </c>
      <c r="H578" s="14"/>
      <c r="I578" s="14" t="s">
        <v>82</v>
      </c>
      <c r="J578" s="14" t="s">
        <v>66</v>
      </c>
      <c r="K578" s="14" t="s">
        <v>2004</v>
      </c>
    </row>
    <row r="579" spans="1:11" x14ac:dyDescent="0.35">
      <c r="A579" s="14" t="s">
        <v>2005</v>
      </c>
      <c r="B579" s="14" t="s">
        <v>2006</v>
      </c>
      <c r="C579" s="14" t="s">
        <v>890</v>
      </c>
      <c r="D579" s="14" t="s">
        <v>458</v>
      </c>
      <c r="E579" s="14" t="s">
        <v>72</v>
      </c>
      <c r="F579" s="14">
        <v>2</v>
      </c>
      <c r="G579" s="14">
        <v>5020</v>
      </c>
      <c r="H579" s="14">
        <v>0</v>
      </c>
      <c r="I579" s="14" t="s">
        <v>424</v>
      </c>
      <c r="J579" s="14" t="s">
        <v>90</v>
      </c>
      <c r="K579" s="14" t="s">
        <v>2007</v>
      </c>
    </row>
    <row r="580" spans="1:11" x14ac:dyDescent="0.35">
      <c r="A580" s="14" t="s">
        <v>2008</v>
      </c>
      <c r="B580" s="14" t="s">
        <v>2009</v>
      </c>
      <c r="C580" s="14" t="s">
        <v>148</v>
      </c>
      <c r="D580" s="14" t="s">
        <v>100</v>
      </c>
      <c r="E580" s="14" t="s">
        <v>64</v>
      </c>
      <c r="F580" s="14">
        <v>1</v>
      </c>
      <c r="G580" s="14" t="s">
        <v>2010</v>
      </c>
      <c r="H580" s="14">
        <v>10</v>
      </c>
      <c r="I580" s="14" t="s">
        <v>73</v>
      </c>
      <c r="J580" s="14" t="s">
        <v>174</v>
      </c>
      <c r="K580" s="14" t="s">
        <v>2011</v>
      </c>
    </row>
    <row r="581" spans="1:11" x14ac:dyDescent="0.35">
      <c r="A581" s="14" t="s">
        <v>2012</v>
      </c>
      <c r="B581" s="14" t="s">
        <v>2013</v>
      </c>
      <c r="C581" s="14" t="s">
        <v>678</v>
      </c>
      <c r="D581" s="14" t="s">
        <v>315</v>
      </c>
      <c r="E581" s="14" t="s">
        <v>113</v>
      </c>
      <c r="F581" s="14">
        <v>1</v>
      </c>
      <c r="G581" s="14">
        <v>136860</v>
      </c>
      <c r="H581" s="14" t="s">
        <v>81</v>
      </c>
      <c r="I581" s="14" t="s">
        <v>378</v>
      </c>
      <c r="J581" s="14" t="s">
        <v>149</v>
      </c>
      <c r="K581" s="14"/>
    </row>
    <row r="582" spans="1:11" x14ac:dyDescent="0.35">
      <c r="A582" s="14" t="s">
        <v>2014</v>
      </c>
      <c r="B582" s="14" t="s">
        <v>2015</v>
      </c>
      <c r="C582" s="14" t="s">
        <v>376</v>
      </c>
      <c r="D582" s="14" t="s">
        <v>432</v>
      </c>
      <c r="E582" s="14" t="s">
        <v>108</v>
      </c>
      <c r="F582" s="14">
        <v>2</v>
      </c>
      <c r="G582" s="14">
        <v>209740</v>
      </c>
      <c r="H582" s="14">
        <v>15</v>
      </c>
      <c r="I582" s="14" t="s">
        <v>57</v>
      </c>
      <c r="J582" s="14" t="s">
        <v>66</v>
      </c>
      <c r="K582" s="14" t="s">
        <v>2016</v>
      </c>
    </row>
    <row r="583" spans="1:11" x14ac:dyDescent="0.35">
      <c r="A583" s="14" t="s">
        <v>2017</v>
      </c>
      <c r="B583" s="14" t="s">
        <v>2018</v>
      </c>
      <c r="C583" s="14" t="s">
        <v>1254</v>
      </c>
      <c r="D583" s="14" t="s">
        <v>216</v>
      </c>
      <c r="E583" s="14" t="s">
        <v>101</v>
      </c>
      <c r="F583" s="14">
        <v>1</v>
      </c>
      <c r="G583" s="14">
        <v>144530</v>
      </c>
      <c r="H583" s="14">
        <v>15</v>
      </c>
      <c r="I583" s="14" t="s">
        <v>250</v>
      </c>
      <c r="J583" s="14" t="s">
        <v>149</v>
      </c>
      <c r="K583" s="14" t="s">
        <v>2019</v>
      </c>
    </row>
    <row r="584" spans="1:11" x14ac:dyDescent="0.35">
      <c r="A584" s="14" t="s">
        <v>2020</v>
      </c>
      <c r="B584" s="14" t="s">
        <v>2021</v>
      </c>
      <c r="C584" s="14" t="s">
        <v>1861</v>
      </c>
      <c r="D584" s="14" t="s">
        <v>418</v>
      </c>
      <c r="E584" s="14" t="s">
        <v>72</v>
      </c>
      <c r="F584" s="14">
        <v>-1</v>
      </c>
      <c r="G584" s="14">
        <v>154260</v>
      </c>
      <c r="H584" s="14" t="s">
        <v>81</v>
      </c>
      <c r="I584" s="14" t="s">
        <v>424</v>
      </c>
      <c r="J584" s="14" t="s">
        <v>66</v>
      </c>
      <c r="K584" s="14" t="s">
        <v>2022</v>
      </c>
    </row>
    <row r="585" spans="1:11" x14ac:dyDescent="0.35">
      <c r="A585" s="14" t="s">
        <v>2023</v>
      </c>
      <c r="B585" s="14" t="s">
        <v>2024</v>
      </c>
      <c r="C585" s="14" t="s">
        <v>753</v>
      </c>
      <c r="D585" s="14" t="s">
        <v>529</v>
      </c>
      <c r="E585" s="14" t="s">
        <v>126</v>
      </c>
      <c r="F585" s="14">
        <v>0</v>
      </c>
      <c r="G585" s="14" t="s">
        <v>2025</v>
      </c>
      <c r="H585" s="14">
        <v>-5</v>
      </c>
      <c r="I585" s="14" t="s">
        <v>250</v>
      </c>
      <c r="J585" s="14" t="s">
        <v>58</v>
      </c>
      <c r="K585" s="14" t="s">
        <v>2026</v>
      </c>
    </row>
    <row r="586" spans="1:11" x14ac:dyDescent="0.35">
      <c r="A586" s="14" t="s">
        <v>2027</v>
      </c>
      <c r="B586" s="14" t="s">
        <v>2028</v>
      </c>
      <c r="C586" s="14" t="s">
        <v>1240</v>
      </c>
      <c r="D586" s="14" t="s">
        <v>472</v>
      </c>
      <c r="E586" s="14" t="s">
        <v>64</v>
      </c>
      <c r="F586" s="14">
        <v>0</v>
      </c>
      <c r="G586" s="14" t="s">
        <v>2029</v>
      </c>
      <c r="H586" s="14"/>
      <c r="I586" s="14" t="s">
        <v>268</v>
      </c>
      <c r="J586" s="14" t="s">
        <v>149</v>
      </c>
      <c r="K586" s="14" t="s">
        <v>2030</v>
      </c>
    </row>
    <row r="587" spans="1:11" x14ac:dyDescent="0.35">
      <c r="A587" s="14" t="s">
        <v>2031</v>
      </c>
      <c r="B587" s="14" t="s">
        <v>923</v>
      </c>
      <c r="C587" s="14" t="s">
        <v>477</v>
      </c>
      <c r="D587" s="14" t="s">
        <v>329</v>
      </c>
      <c r="E587" s="14" t="s">
        <v>64</v>
      </c>
      <c r="F587" s="14">
        <v>-1</v>
      </c>
      <c r="G587" s="14">
        <v>45940</v>
      </c>
      <c r="H587" s="14" t="s">
        <v>81</v>
      </c>
      <c r="I587" s="14" t="s">
        <v>73</v>
      </c>
      <c r="J587" s="14" t="s">
        <v>90</v>
      </c>
      <c r="K587" s="14"/>
    </row>
    <row r="588" spans="1:11" x14ac:dyDescent="0.35">
      <c r="A588" s="14" t="s">
        <v>2032</v>
      </c>
      <c r="B588" s="14" t="s">
        <v>1848</v>
      </c>
      <c r="C588" s="14" t="s">
        <v>973</v>
      </c>
      <c r="D588" s="14" t="s">
        <v>445</v>
      </c>
      <c r="E588" s="14" t="s">
        <v>126</v>
      </c>
      <c r="F588" s="14">
        <v>3</v>
      </c>
      <c r="G588" s="14">
        <v>63800</v>
      </c>
      <c r="H588" s="14" t="s">
        <v>81</v>
      </c>
      <c r="I588" s="14" t="s">
        <v>121</v>
      </c>
      <c r="J588" s="14" t="s">
        <v>74</v>
      </c>
      <c r="K588" s="14" t="s">
        <v>2033</v>
      </c>
    </row>
    <row r="589" spans="1:11" x14ac:dyDescent="0.35">
      <c r="A589" s="14" t="s">
        <v>2034</v>
      </c>
      <c r="B589" s="14" t="s">
        <v>2035</v>
      </c>
      <c r="C589" s="14" t="s">
        <v>234</v>
      </c>
      <c r="D589" s="14" t="s">
        <v>259</v>
      </c>
      <c r="E589" s="14" t="s">
        <v>126</v>
      </c>
      <c r="F589" s="14">
        <v>1</v>
      </c>
      <c r="G589" s="14">
        <v>101250</v>
      </c>
      <c r="H589" s="14">
        <v>-5</v>
      </c>
      <c r="I589" s="14" t="s">
        <v>378</v>
      </c>
      <c r="J589" s="14" t="s">
        <v>174</v>
      </c>
      <c r="K589" s="14" t="s">
        <v>2036</v>
      </c>
    </row>
    <row r="590" spans="1:11" x14ac:dyDescent="0.35">
      <c r="A590" s="14" t="s">
        <v>2037</v>
      </c>
      <c r="B590" s="14" t="s">
        <v>2038</v>
      </c>
      <c r="C590" s="14" t="s">
        <v>1244</v>
      </c>
      <c r="D590" s="14" t="s">
        <v>348</v>
      </c>
      <c r="E590" s="14" t="s">
        <v>80</v>
      </c>
      <c r="F590" s="14">
        <v>3</v>
      </c>
      <c r="G590" s="14">
        <v>148680</v>
      </c>
      <c r="H590" s="14" t="s">
        <v>81</v>
      </c>
      <c r="I590" s="14" t="s">
        <v>73</v>
      </c>
      <c r="J590" s="14" t="s">
        <v>58</v>
      </c>
      <c r="K590" s="14" t="s">
        <v>2039</v>
      </c>
    </row>
    <row r="591" spans="1:11" x14ac:dyDescent="0.35">
      <c r="A591" s="14" t="s">
        <v>2040</v>
      </c>
      <c r="B591" s="14" t="s">
        <v>2041</v>
      </c>
      <c r="C591" s="14" t="s">
        <v>444</v>
      </c>
      <c r="D591" s="14" t="s">
        <v>1309</v>
      </c>
      <c r="E591" s="14" t="s">
        <v>101</v>
      </c>
      <c r="F591" s="14">
        <v>1</v>
      </c>
      <c r="G591" s="14" t="s">
        <v>2042</v>
      </c>
      <c r="H591" s="14" t="s">
        <v>81</v>
      </c>
      <c r="I591" s="14" t="s">
        <v>121</v>
      </c>
      <c r="J591" s="14" t="s">
        <v>74</v>
      </c>
      <c r="K591" s="14" t="s">
        <v>2043</v>
      </c>
    </row>
    <row r="592" spans="1:11" x14ac:dyDescent="0.35">
      <c r="A592" s="14" t="s">
        <v>2044</v>
      </c>
      <c r="B592" s="14" t="s">
        <v>2045</v>
      </c>
      <c r="C592" s="14" t="s">
        <v>579</v>
      </c>
      <c r="D592" s="14" t="s">
        <v>100</v>
      </c>
      <c r="E592" s="14" t="s">
        <v>108</v>
      </c>
      <c r="F592" s="14">
        <v>2</v>
      </c>
      <c r="G592" s="14">
        <v>35610</v>
      </c>
      <c r="H592" s="14">
        <v>0</v>
      </c>
      <c r="I592" s="14" t="s">
        <v>95</v>
      </c>
      <c r="J592" s="14" t="s">
        <v>66</v>
      </c>
      <c r="K592" s="14" t="s">
        <v>2046</v>
      </c>
    </row>
    <row r="593" spans="1:11" x14ac:dyDescent="0.35">
      <c r="A593" s="14" t="s">
        <v>2047</v>
      </c>
      <c r="B593" s="14" t="s">
        <v>2048</v>
      </c>
      <c r="C593" s="14" t="s">
        <v>811</v>
      </c>
      <c r="D593" s="14" t="s">
        <v>226</v>
      </c>
      <c r="E593" s="14" t="s">
        <v>108</v>
      </c>
      <c r="F593" s="14">
        <v>1</v>
      </c>
      <c r="G593" s="14">
        <v>76960</v>
      </c>
      <c r="H593" s="14">
        <v>10</v>
      </c>
      <c r="I593" s="14" t="s">
        <v>73</v>
      </c>
      <c r="J593" s="14" t="s">
        <v>74</v>
      </c>
      <c r="K593" s="14" t="s">
        <v>2049</v>
      </c>
    </row>
    <row r="594" spans="1:11" x14ac:dyDescent="0.35">
      <c r="A594" s="14" t="s">
        <v>2050</v>
      </c>
      <c r="B594" s="14" t="s">
        <v>2051</v>
      </c>
      <c r="C594" s="14" t="s">
        <v>1009</v>
      </c>
      <c r="D594" s="14" t="s">
        <v>135</v>
      </c>
      <c r="E594" s="14" t="s">
        <v>72</v>
      </c>
      <c r="F594" s="14">
        <v>0</v>
      </c>
      <c r="G594" s="14">
        <v>41780</v>
      </c>
      <c r="H594" s="14"/>
      <c r="I594" s="14" t="s">
        <v>89</v>
      </c>
      <c r="J594" s="14" t="s">
        <v>174</v>
      </c>
      <c r="K594" s="14" t="s">
        <v>2052</v>
      </c>
    </row>
    <row r="595" spans="1:11" x14ac:dyDescent="0.35">
      <c r="A595" s="14" t="s">
        <v>2053</v>
      </c>
      <c r="B595" s="14" t="s">
        <v>2054</v>
      </c>
      <c r="C595" s="14" t="s">
        <v>811</v>
      </c>
      <c r="D595" s="14" t="s">
        <v>348</v>
      </c>
      <c r="E595" s="14" t="s">
        <v>126</v>
      </c>
      <c r="F595" s="14">
        <v>0</v>
      </c>
      <c r="G595" s="14">
        <v>232390</v>
      </c>
      <c r="H595" s="14">
        <v>-5</v>
      </c>
      <c r="I595" s="14" t="s">
        <v>73</v>
      </c>
      <c r="J595" s="14" t="s">
        <v>66</v>
      </c>
      <c r="K595" s="14" t="s">
        <v>2055</v>
      </c>
    </row>
    <row r="596" spans="1:11" x14ac:dyDescent="0.35">
      <c r="A596" s="14" t="s">
        <v>2056</v>
      </c>
      <c r="B596" s="14" t="s">
        <v>2057</v>
      </c>
      <c r="C596" s="14" t="s">
        <v>750</v>
      </c>
      <c r="D596" s="14" t="s">
        <v>231</v>
      </c>
      <c r="E596" s="14" t="s">
        <v>113</v>
      </c>
      <c r="F596" s="14">
        <v>1</v>
      </c>
      <c r="G596" s="14" t="s">
        <v>2058</v>
      </c>
      <c r="H596" s="14">
        <v>0</v>
      </c>
      <c r="I596" s="14" t="s">
        <v>158</v>
      </c>
      <c r="J596" s="14" t="s">
        <v>74</v>
      </c>
      <c r="K596" s="14" t="s">
        <v>2059</v>
      </c>
    </row>
    <row r="597" spans="1:11" x14ac:dyDescent="0.35">
      <c r="A597" s="14" t="s">
        <v>2060</v>
      </c>
      <c r="B597" s="14" t="s">
        <v>1207</v>
      </c>
      <c r="C597" s="14" t="s">
        <v>301</v>
      </c>
      <c r="D597" s="14" t="s">
        <v>231</v>
      </c>
      <c r="E597" s="14" t="s">
        <v>80</v>
      </c>
      <c r="F597" s="14">
        <v>2</v>
      </c>
      <c r="G597" s="14">
        <v>91700</v>
      </c>
      <c r="H597" s="14">
        <v>0</v>
      </c>
      <c r="I597" s="14" t="s">
        <v>73</v>
      </c>
      <c r="J597" s="14" t="s">
        <v>90</v>
      </c>
      <c r="K597" s="14" t="s">
        <v>2061</v>
      </c>
    </row>
    <row r="598" spans="1:11" x14ac:dyDescent="0.35">
      <c r="A598" s="14" t="s">
        <v>2062</v>
      </c>
      <c r="B598" s="14" t="s">
        <v>2063</v>
      </c>
      <c r="C598" s="14" t="s">
        <v>967</v>
      </c>
      <c r="D598" s="14" t="s">
        <v>989</v>
      </c>
      <c r="E598" s="14" t="s">
        <v>56</v>
      </c>
      <c r="F598" s="14">
        <v>2</v>
      </c>
      <c r="G598" s="14" t="s">
        <v>2064</v>
      </c>
      <c r="H598" s="14">
        <v>15</v>
      </c>
      <c r="I598" s="14" t="s">
        <v>95</v>
      </c>
      <c r="J598" s="14" t="s">
        <v>74</v>
      </c>
      <c r="K598" s="14" t="s">
        <v>2065</v>
      </c>
    </row>
    <row r="599" spans="1:11" x14ac:dyDescent="0.35">
      <c r="A599" s="14" t="s">
        <v>2066</v>
      </c>
      <c r="B599" s="14" t="s">
        <v>2067</v>
      </c>
      <c r="C599" s="14" t="s">
        <v>758</v>
      </c>
      <c r="D599" s="14" t="s">
        <v>259</v>
      </c>
      <c r="E599" s="14" t="s">
        <v>113</v>
      </c>
      <c r="F599" s="14">
        <v>1</v>
      </c>
      <c r="G599" s="14" t="s">
        <v>2068</v>
      </c>
      <c r="H599" s="14">
        <v>0</v>
      </c>
      <c r="I599" s="14" t="s">
        <v>121</v>
      </c>
      <c r="J599" s="14" t="s">
        <v>115</v>
      </c>
      <c r="K599" s="14"/>
    </row>
    <row r="600" spans="1:11" x14ac:dyDescent="0.35">
      <c r="A600" s="14" t="s">
        <v>2069</v>
      </c>
      <c r="B600" s="14" t="s">
        <v>2070</v>
      </c>
      <c r="C600" s="14" t="s">
        <v>1584</v>
      </c>
      <c r="D600" s="14" t="s">
        <v>1309</v>
      </c>
      <c r="E600" s="14" t="s">
        <v>64</v>
      </c>
      <c r="F600" s="14">
        <v>2</v>
      </c>
      <c r="G600" s="14" t="s">
        <v>2071</v>
      </c>
      <c r="H600" s="14">
        <v>15</v>
      </c>
      <c r="I600" s="14" t="s">
        <v>57</v>
      </c>
      <c r="J600" s="14" t="s">
        <v>66</v>
      </c>
      <c r="K600" s="14" t="s">
        <v>2072</v>
      </c>
    </row>
    <row r="601" spans="1:11" x14ac:dyDescent="0.35">
      <c r="A601" s="14" t="s">
        <v>2073</v>
      </c>
      <c r="B601" s="14" t="s">
        <v>1304</v>
      </c>
      <c r="C601" s="14" t="s">
        <v>153</v>
      </c>
      <c r="D601" s="14" t="s">
        <v>196</v>
      </c>
      <c r="E601" s="14" t="s">
        <v>108</v>
      </c>
      <c r="F601" s="14">
        <v>-1</v>
      </c>
      <c r="G601" s="14" t="s">
        <v>2074</v>
      </c>
      <c r="H601" s="14">
        <v>10</v>
      </c>
      <c r="I601" s="14" t="s">
        <v>82</v>
      </c>
      <c r="J601" s="14" t="s">
        <v>58</v>
      </c>
      <c r="K601" s="14" t="s">
        <v>2075</v>
      </c>
    </row>
    <row r="602" spans="1:11" x14ac:dyDescent="0.35">
      <c r="A602" s="14" t="s">
        <v>2076</v>
      </c>
      <c r="B602" s="14" t="s">
        <v>2077</v>
      </c>
      <c r="C602" s="14" t="s">
        <v>1244</v>
      </c>
      <c r="D602" s="14" t="s">
        <v>179</v>
      </c>
      <c r="E602" s="14" t="s">
        <v>72</v>
      </c>
      <c r="F602" s="14">
        <v>2</v>
      </c>
      <c r="G602" s="14">
        <v>133360</v>
      </c>
      <c r="H602" s="14">
        <v>-5</v>
      </c>
      <c r="I602" s="14" t="s">
        <v>158</v>
      </c>
      <c r="J602" s="14" t="s">
        <v>115</v>
      </c>
      <c r="K602" s="14"/>
    </row>
    <row r="603" spans="1:11" x14ac:dyDescent="0.35">
      <c r="A603" s="14" t="s">
        <v>2078</v>
      </c>
      <c r="B603" s="14" t="s">
        <v>2079</v>
      </c>
      <c r="C603" s="14" t="s">
        <v>1584</v>
      </c>
      <c r="D603" s="14" t="s">
        <v>154</v>
      </c>
      <c r="E603" s="14" t="s">
        <v>64</v>
      </c>
      <c r="F603" s="14">
        <v>1</v>
      </c>
      <c r="G603" s="14" t="s">
        <v>2080</v>
      </c>
      <c r="H603" s="14">
        <v>-5</v>
      </c>
      <c r="I603" s="14" t="s">
        <v>121</v>
      </c>
      <c r="J603" s="14" t="s">
        <v>58</v>
      </c>
      <c r="K603" s="14" t="s">
        <v>2081</v>
      </c>
    </row>
    <row r="604" spans="1:11" x14ac:dyDescent="0.35">
      <c r="A604" s="14" t="s">
        <v>2082</v>
      </c>
      <c r="B604" s="14" t="s">
        <v>2083</v>
      </c>
      <c r="C604" s="14" t="s">
        <v>573</v>
      </c>
      <c r="D604" s="14" t="s">
        <v>1544</v>
      </c>
      <c r="E604" s="14" t="s">
        <v>56</v>
      </c>
      <c r="F604" s="14">
        <v>1</v>
      </c>
      <c r="G604" s="14" t="s">
        <v>2084</v>
      </c>
      <c r="H604" s="14">
        <v>0</v>
      </c>
      <c r="I604" s="14" t="s">
        <v>378</v>
      </c>
      <c r="J604" s="14" t="s">
        <v>115</v>
      </c>
      <c r="K604" s="14"/>
    </row>
    <row r="605" spans="1:11" x14ac:dyDescent="0.35">
      <c r="A605" s="14" t="s">
        <v>2085</v>
      </c>
      <c r="B605" s="14" t="s">
        <v>1250</v>
      </c>
      <c r="C605" s="14" t="s">
        <v>355</v>
      </c>
      <c r="D605" s="14" t="s">
        <v>1309</v>
      </c>
      <c r="E605" s="14" t="s">
        <v>113</v>
      </c>
      <c r="F605" s="14">
        <v>1</v>
      </c>
      <c r="G605" s="14">
        <v>216340</v>
      </c>
      <c r="H605" s="14">
        <v>-5</v>
      </c>
      <c r="I605" s="14" t="s">
        <v>250</v>
      </c>
      <c r="J605" s="14" t="s">
        <v>74</v>
      </c>
      <c r="K605" s="14" t="s">
        <v>2086</v>
      </c>
    </row>
    <row r="606" spans="1:11" x14ac:dyDescent="0.35">
      <c r="A606" s="14" t="s">
        <v>2087</v>
      </c>
      <c r="B606" s="14" t="s">
        <v>2088</v>
      </c>
      <c r="C606" s="14" t="s">
        <v>368</v>
      </c>
      <c r="D606" s="14" t="s">
        <v>120</v>
      </c>
      <c r="E606" s="14" t="s">
        <v>101</v>
      </c>
      <c r="F606" s="14">
        <v>2</v>
      </c>
      <c r="G606" s="14">
        <v>173020</v>
      </c>
      <c r="H606" s="14">
        <v>15</v>
      </c>
      <c r="I606" s="14" t="s">
        <v>250</v>
      </c>
      <c r="J606" s="14" t="s">
        <v>174</v>
      </c>
      <c r="K606" s="14" t="s">
        <v>2089</v>
      </c>
    </row>
    <row r="607" spans="1:11" x14ac:dyDescent="0.35">
      <c r="A607" s="14" t="s">
        <v>2090</v>
      </c>
      <c r="B607" s="14" t="s">
        <v>2091</v>
      </c>
      <c r="C607" s="14" t="s">
        <v>597</v>
      </c>
      <c r="D607" s="14" t="s">
        <v>360</v>
      </c>
      <c r="E607" s="14" t="s">
        <v>126</v>
      </c>
      <c r="F607" s="14">
        <v>3</v>
      </c>
      <c r="G607" s="14">
        <v>65510</v>
      </c>
      <c r="H607" s="14">
        <v>15</v>
      </c>
      <c r="I607" s="14" t="s">
        <v>121</v>
      </c>
      <c r="J607" s="14" t="s">
        <v>74</v>
      </c>
      <c r="K607" s="14" t="s">
        <v>2092</v>
      </c>
    </row>
    <row r="608" spans="1:11" x14ac:dyDescent="0.35">
      <c r="A608" s="14" t="s">
        <v>2093</v>
      </c>
      <c r="B608" s="14" t="s">
        <v>2094</v>
      </c>
      <c r="C608" s="14" t="s">
        <v>285</v>
      </c>
      <c r="D608" s="14" t="s">
        <v>369</v>
      </c>
      <c r="E608" s="14" t="s">
        <v>101</v>
      </c>
      <c r="F608" s="14">
        <v>2</v>
      </c>
      <c r="G608" s="14">
        <v>4870</v>
      </c>
      <c r="H608" s="14">
        <v>0</v>
      </c>
      <c r="I608" s="14" t="s">
        <v>158</v>
      </c>
      <c r="J608" s="14" t="s">
        <v>74</v>
      </c>
      <c r="K608" s="14" t="s">
        <v>2095</v>
      </c>
    </row>
    <row r="609" spans="1:11" x14ac:dyDescent="0.35">
      <c r="A609" s="14" t="s">
        <v>2096</v>
      </c>
      <c r="B609" s="14" t="s">
        <v>2097</v>
      </c>
      <c r="C609" s="14" t="s">
        <v>511</v>
      </c>
      <c r="D609" s="14" t="s">
        <v>71</v>
      </c>
      <c r="E609" s="14" t="s">
        <v>113</v>
      </c>
      <c r="F609" s="14">
        <v>0</v>
      </c>
      <c r="G609" s="14" t="s">
        <v>2098</v>
      </c>
      <c r="H609" s="14">
        <v>15</v>
      </c>
      <c r="I609" s="14" t="s">
        <v>250</v>
      </c>
      <c r="J609" s="14" t="s">
        <v>66</v>
      </c>
      <c r="K609" s="14" t="s">
        <v>2099</v>
      </c>
    </row>
    <row r="610" spans="1:11" x14ac:dyDescent="0.35">
      <c r="A610" s="14" t="s">
        <v>2100</v>
      </c>
      <c r="B610" s="14" t="s">
        <v>2101</v>
      </c>
      <c r="C610" s="14" t="s">
        <v>477</v>
      </c>
      <c r="D610" s="14" t="s">
        <v>144</v>
      </c>
      <c r="E610" s="14" t="s">
        <v>126</v>
      </c>
      <c r="F610" s="14">
        <v>1</v>
      </c>
      <c r="G610" s="14" t="s">
        <v>2102</v>
      </c>
      <c r="H610" s="14">
        <v>-5</v>
      </c>
      <c r="I610" s="14" t="s">
        <v>114</v>
      </c>
      <c r="J610" s="14" t="s">
        <v>74</v>
      </c>
      <c r="K610" s="14" t="s">
        <v>2103</v>
      </c>
    </row>
    <row r="611" spans="1:11" x14ac:dyDescent="0.35">
      <c r="A611" s="14" t="s">
        <v>2104</v>
      </c>
      <c r="B611" s="14" t="s">
        <v>2105</v>
      </c>
      <c r="C611" s="14" t="s">
        <v>1085</v>
      </c>
      <c r="D611" s="14" t="s">
        <v>989</v>
      </c>
      <c r="E611" s="14" t="s">
        <v>113</v>
      </c>
      <c r="F611" s="14">
        <v>-1</v>
      </c>
      <c r="G611" s="14" t="s">
        <v>2106</v>
      </c>
      <c r="H611" s="14">
        <v>-5</v>
      </c>
      <c r="I611" s="14" t="s">
        <v>114</v>
      </c>
      <c r="J611" s="14" t="s">
        <v>66</v>
      </c>
      <c r="K611" s="14" t="s">
        <v>2107</v>
      </c>
    </row>
    <row r="612" spans="1:11" x14ac:dyDescent="0.35">
      <c r="A612" s="14" t="s">
        <v>2108</v>
      </c>
      <c r="B612" s="14" t="s">
        <v>2109</v>
      </c>
      <c r="C612" s="14" t="s">
        <v>385</v>
      </c>
      <c r="D612" s="14" t="s">
        <v>71</v>
      </c>
      <c r="E612" s="14" t="s">
        <v>80</v>
      </c>
      <c r="F612" s="14">
        <v>1</v>
      </c>
      <c r="G612" s="14" t="s">
        <v>2110</v>
      </c>
      <c r="H612" s="14">
        <v>15</v>
      </c>
      <c r="I612" s="14" t="s">
        <v>95</v>
      </c>
      <c r="J612" s="14" t="s">
        <v>58</v>
      </c>
      <c r="K612" s="14" t="s">
        <v>2111</v>
      </c>
    </row>
    <row r="613" spans="1:11" x14ac:dyDescent="0.35">
      <c r="A613" s="14" t="s">
        <v>2112</v>
      </c>
      <c r="B613" s="14" t="s">
        <v>2113</v>
      </c>
      <c r="C613" s="14" t="s">
        <v>498</v>
      </c>
      <c r="D613" s="14" t="s">
        <v>390</v>
      </c>
      <c r="E613" s="14" t="s">
        <v>126</v>
      </c>
      <c r="F613" s="14">
        <v>0</v>
      </c>
      <c r="G613" s="14">
        <v>77520</v>
      </c>
      <c r="H613" s="14">
        <v>0</v>
      </c>
      <c r="I613" s="14" t="s">
        <v>95</v>
      </c>
      <c r="J613" s="14" t="s">
        <v>83</v>
      </c>
      <c r="K613" s="14"/>
    </row>
    <row r="614" spans="1:11" x14ac:dyDescent="0.35">
      <c r="A614" s="14" t="s">
        <v>2114</v>
      </c>
      <c r="B614" s="14" t="s">
        <v>2115</v>
      </c>
      <c r="C614" s="14" t="s">
        <v>1578</v>
      </c>
      <c r="D614" s="14" t="s">
        <v>71</v>
      </c>
      <c r="E614" s="14" t="s">
        <v>101</v>
      </c>
      <c r="F614" s="14">
        <v>1</v>
      </c>
      <c r="G614" s="14" t="s">
        <v>2116</v>
      </c>
      <c r="H614" s="14">
        <v>-5</v>
      </c>
      <c r="I614" s="14" t="s">
        <v>121</v>
      </c>
      <c r="J614" s="14" t="s">
        <v>58</v>
      </c>
      <c r="K614" s="14" t="s">
        <v>2117</v>
      </c>
    </row>
    <row r="615" spans="1:11" x14ac:dyDescent="0.35">
      <c r="A615" s="14" t="s">
        <v>2118</v>
      </c>
      <c r="B615" s="14" t="s">
        <v>2119</v>
      </c>
      <c r="C615" s="14" t="s">
        <v>352</v>
      </c>
      <c r="D615" s="14" t="s">
        <v>463</v>
      </c>
      <c r="E615" s="14" t="s">
        <v>64</v>
      </c>
      <c r="F615" s="14">
        <v>2</v>
      </c>
      <c r="G615" s="14">
        <v>129150</v>
      </c>
      <c r="H615" s="14">
        <v>0</v>
      </c>
      <c r="I615" s="14" t="s">
        <v>82</v>
      </c>
      <c r="J615" s="14" t="s">
        <v>66</v>
      </c>
      <c r="K615" s="14" t="s">
        <v>2120</v>
      </c>
    </row>
    <row r="616" spans="1:11" x14ac:dyDescent="0.35">
      <c r="A616" s="14" t="s">
        <v>2121</v>
      </c>
      <c r="B616" s="14" t="s">
        <v>2122</v>
      </c>
      <c r="C616" s="14" t="s">
        <v>791</v>
      </c>
      <c r="D616" s="14" t="s">
        <v>196</v>
      </c>
      <c r="E616" s="14" t="s">
        <v>108</v>
      </c>
      <c r="F616" s="14">
        <v>1</v>
      </c>
      <c r="G616" s="14">
        <v>5060</v>
      </c>
      <c r="H616" s="14" t="s">
        <v>81</v>
      </c>
      <c r="I616" s="14" t="s">
        <v>73</v>
      </c>
      <c r="J616" s="14" t="s">
        <v>58</v>
      </c>
      <c r="K616" s="14" t="s">
        <v>2123</v>
      </c>
    </row>
    <row r="617" spans="1:11" x14ac:dyDescent="0.35">
      <c r="A617" s="14" t="s">
        <v>2124</v>
      </c>
      <c r="B617" s="14" t="s">
        <v>2125</v>
      </c>
      <c r="C617" s="14" t="s">
        <v>1584</v>
      </c>
      <c r="D617" s="14" t="s">
        <v>342</v>
      </c>
      <c r="E617" s="14" t="s">
        <v>80</v>
      </c>
      <c r="F617" s="14">
        <v>2</v>
      </c>
      <c r="G617" s="14">
        <v>191690</v>
      </c>
      <c r="H617" s="14">
        <v>5</v>
      </c>
      <c r="I617" s="14" t="s">
        <v>65</v>
      </c>
      <c r="J617" s="14" t="s">
        <v>66</v>
      </c>
      <c r="K617" s="14" t="s">
        <v>2126</v>
      </c>
    </row>
    <row r="618" spans="1:11" x14ac:dyDescent="0.35">
      <c r="A618" s="14" t="s">
        <v>2127</v>
      </c>
      <c r="B618" s="14" t="s">
        <v>2128</v>
      </c>
      <c r="C618" s="14" t="s">
        <v>591</v>
      </c>
      <c r="D618" s="14" t="s">
        <v>418</v>
      </c>
      <c r="E618" s="14" t="s">
        <v>108</v>
      </c>
      <c r="F618" s="14">
        <v>3</v>
      </c>
      <c r="G618" s="14" t="s">
        <v>2129</v>
      </c>
      <c r="H618" s="14">
        <v>-5</v>
      </c>
      <c r="I618" s="14" t="s">
        <v>95</v>
      </c>
      <c r="J618" s="14" t="s">
        <v>90</v>
      </c>
      <c r="K618" s="14"/>
    </row>
    <row r="619" spans="1:11" x14ac:dyDescent="0.35">
      <c r="A619" s="14" t="s">
        <v>2130</v>
      </c>
      <c r="B619" s="14" t="s">
        <v>2131</v>
      </c>
      <c r="C619" s="14" t="s">
        <v>70</v>
      </c>
      <c r="D619" s="14" t="s">
        <v>435</v>
      </c>
      <c r="E619" s="14" t="s">
        <v>101</v>
      </c>
      <c r="F619" s="14">
        <v>1</v>
      </c>
      <c r="G619" s="14">
        <v>168080</v>
      </c>
      <c r="H619" s="14">
        <v>15</v>
      </c>
      <c r="I619" s="14" t="s">
        <v>378</v>
      </c>
      <c r="J619" s="14" t="s">
        <v>115</v>
      </c>
      <c r="K619" s="14"/>
    </row>
    <row r="620" spans="1:11" x14ac:dyDescent="0.35">
      <c r="A620" s="14" t="s">
        <v>2132</v>
      </c>
      <c r="B620" s="14" t="s">
        <v>2133</v>
      </c>
      <c r="C620" s="14" t="s">
        <v>333</v>
      </c>
      <c r="D620" s="14" t="s">
        <v>259</v>
      </c>
      <c r="E620" s="14" t="s">
        <v>80</v>
      </c>
      <c r="F620" s="14">
        <v>2</v>
      </c>
      <c r="G620" s="14">
        <v>239020</v>
      </c>
      <c r="H620" s="14">
        <v>15</v>
      </c>
      <c r="I620" s="14" t="s">
        <v>73</v>
      </c>
      <c r="J620" s="14" t="s">
        <v>66</v>
      </c>
      <c r="K620" s="14" t="s">
        <v>2134</v>
      </c>
    </row>
    <row r="621" spans="1:11" x14ac:dyDescent="0.35">
      <c r="A621" s="14" t="s">
        <v>2135</v>
      </c>
      <c r="B621" s="14" t="s">
        <v>2136</v>
      </c>
      <c r="C621" s="14"/>
      <c r="D621" s="14" t="s">
        <v>989</v>
      </c>
      <c r="E621" s="14" t="s">
        <v>72</v>
      </c>
      <c r="F621" s="14">
        <v>1</v>
      </c>
      <c r="G621" s="14">
        <v>142170</v>
      </c>
      <c r="H621" s="14">
        <v>5</v>
      </c>
      <c r="I621" s="14" t="s">
        <v>73</v>
      </c>
      <c r="J621" s="14" t="s">
        <v>58</v>
      </c>
      <c r="K621" s="14" t="s">
        <v>2137</v>
      </c>
    </row>
    <row r="622" spans="1:11" x14ac:dyDescent="0.35">
      <c r="A622" s="14" t="s">
        <v>2138</v>
      </c>
      <c r="B622" s="14" t="s">
        <v>1907</v>
      </c>
      <c r="C622" s="14" t="s">
        <v>621</v>
      </c>
      <c r="D622" s="14" t="s">
        <v>360</v>
      </c>
      <c r="E622" s="14" t="s">
        <v>126</v>
      </c>
      <c r="F622" s="14">
        <v>1</v>
      </c>
      <c r="G622" s="14">
        <v>163660</v>
      </c>
      <c r="H622" s="14">
        <v>10</v>
      </c>
      <c r="I622" s="14" t="s">
        <v>73</v>
      </c>
      <c r="J622" s="14" t="s">
        <v>58</v>
      </c>
      <c r="K622" s="14" t="s">
        <v>2139</v>
      </c>
    </row>
    <row r="623" spans="1:11" x14ac:dyDescent="0.35">
      <c r="A623" s="14" t="s">
        <v>1844</v>
      </c>
      <c r="B623" s="14" t="s">
        <v>1845</v>
      </c>
      <c r="C623" s="14" t="s">
        <v>727</v>
      </c>
      <c r="D623" s="14" t="s">
        <v>360</v>
      </c>
      <c r="E623" s="14" t="s">
        <v>101</v>
      </c>
      <c r="F623" s="14">
        <v>3</v>
      </c>
      <c r="G623" s="14">
        <v>244590</v>
      </c>
      <c r="H623" s="14">
        <v>0</v>
      </c>
      <c r="I623" s="14" t="s">
        <v>378</v>
      </c>
      <c r="J623" s="14" t="s">
        <v>66</v>
      </c>
      <c r="K623" s="14" t="s">
        <v>1846</v>
      </c>
    </row>
    <row r="624" spans="1:11" x14ac:dyDescent="0.35">
      <c r="A624" s="14" t="s">
        <v>2140</v>
      </c>
      <c r="B624" s="14" t="s">
        <v>1371</v>
      </c>
      <c r="C624" s="14" t="s">
        <v>230</v>
      </c>
      <c r="D624" s="14" t="s">
        <v>249</v>
      </c>
      <c r="E624" s="14" t="s">
        <v>126</v>
      </c>
      <c r="F624" s="14">
        <v>3</v>
      </c>
      <c r="G624" s="14">
        <v>147390</v>
      </c>
      <c r="H624" s="14">
        <v>0</v>
      </c>
      <c r="I624" s="14" t="s">
        <v>82</v>
      </c>
      <c r="J624" s="14" t="s">
        <v>90</v>
      </c>
      <c r="K624" s="14" t="s">
        <v>2141</v>
      </c>
    </row>
    <row r="625" spans="1:11" x14ac:dyDescent="0.35">
      <c r="A625" s="14" t="s">
        <v>2142</v>
      </c>
      <c r="B625" s="14" t="s">
        <v>2143</v>
      </c>
      <c r="C625" s="14" t="s">
        <v>396</v>
      </c>
      <c r="D625" s="14" t="s">
        <v>1544</v>
      </c>
      <c r="E625" s="14" t="s">
        <v>64</v>
      </c>
      <c r="F625" s="14">
        <v>1</v>
      </c>
      <c r="G625" s="14">
        <v>13900</v>
      </c>
      <c r="H625" s="14">
        <v>15</v>
      </c>
      <c r="I625" s="14" t="s">
        <v>268</v>
      </c>
      <c r="J625" s="14" t="s">
        <v>149</v>
      </c>
      <c r="K625" s="14" t="s">
        <v>2144</v>
      </c>
    </row>
    <row r="626" spans="1:11" x14ac:dyDescent="0.35">
      <c r="A626" s="14" t="s">
        <v>2145</v>
      </c>
      <c r="B626" s="14" t="s">
        <v>2146</v>
      </c>
      <c r="C626" s="14" t="s">
        <v>285</v>
      </c>
      <c r="D626" s="14" t="s">
        <v>520</v>
      </c>
      <c r="E626" s="14" t="s">
        <v>56</v>
      </c>
      <c r="F626" s="14">
        <v>-1</v>
      </c>
      <c r="G626" s="14" t="s">
        <v>2147</v>
      </c>
      <c r="H626" s="14">
        <v>10</v>
      </c>
      <c r="I626" s="14" t="s">
        <v>158</v>
      </c>
      <c r="J626" s="14" t="s">
        <v>115</v>
      </c>
      <c r="K626" s="14"/>
    </row>
    <row r="627" spans="1:11" x14ac:dyDescent="0.35">
      <c r="A627" s="14" t="s">
        <v>2148</v>
      </c>
      <c r="B627" s="14" t="s">
        <v>2149</v>
      </c>
      <c r="C627" s="14" t="s">
        <v>723</v>
      </c>
      <c r="D627" s="14" t="s">
        <v>482</v>
      </c>
      <c r="E627" s="14" t="s">
        <v>64</v>
      </c>
      <c r="F627" s="14">
        <v>0</v>
      </c>
      <c r="G627" s="14">
        <v>28170</v>
      </c>
      <c r="H627" s="14">
        <v>0</v>
      </c>
      <c r="I627" s="14" t="s">
        <v>65</v>
      </c>
      <c r="J627" s="14" t="s">
        <v>149</v>
      </c>
      <c r="K627" s="14"/>
    </row>
    <row r="628" spans="1:11" x14ac:dyDescent="0.35">
      <c r="A628" s="14" t="s">
        <v>2150</v>
      </c>
      <c r="B628" s="14" t="s">
        <v>2151</v>
      </c>
      <c r="C628" s="14" t="s">
        <v>134</v>
      </c>
      <c r="D628" s="14" t="s">
        <v>71</v>
      </c>
      <c r="E628" s="14" t="s">
        <v>64</v>
      </c>
      <c r="F628" s="14">
        <v>1</v>
      </c>
      <c r="G628" s="14" t="s">
        <v>2152</v>
      </c>
      <c r="H628" s="14"/>
      <c r="I628" s="14" t="s">
        <v>158</v>
      </c>
      <c r="J628" s="14" t="s">
        <v>115</v>
      </c>
      <c r="K628" s="14" t="s">
        <v>2153</v>
      </c>
    </row>
    <row r="629" spans="1:11" x14ac:dyDescent="0.35">
      <c r="A629" s="14" t="s">
        <v>2154</v>
      </c>
      <c r="B629" s="14" t="s">
        <v>2155</v>
      </c>
      <c r="C629" s="14" t="s">
        <v>1142</v>
      </c>
      <c r="D629" s="14" t="s">
        <v>107</v>
      </c>
      <c r="E629" s="14" t="s">
        <v>113</v>
      </c>
      <c r="F629" s="14">
        <v>1</v>
      </c>
      <c r="G629" s="14">
        <v>244080</v>
      </c>
      <c r="H629" s="14">
        <v>-5</v>
      </c>
      <c r="I629" s="14" t="s">
        <v>95</v>
      </c>
      <c r="J629" s="14" t="s">
        <v>90</v>
      </c>
      <c r="K629" s="14" t="s">
        <v>2156</v>
      </c>
    </row>
    <row r="630" spans="1:11" x14ac:dyDescent="0.35">
      <c r="A630" s="14" t="s">
        <v>2157</v>
      </c>
      <c r="B630" s="14" t="s">
        <v>2158</v>
      </c>
      <c r="C630" s="14" t="s">
        <v>203</v>
      </c>
      <c r="D630" s="14" t="s">
        <v>472</v>
      </c>
      <c r="E630" s="14" t="s">
        <v>108</v>
      </c>
      <c r="F630" s="14">
        <v>1</v>
      </c>
      <c r="G630" s="14" t="s">
        <v>2159</v>
      </c>
      <c r="H630" s="14">
        <v>15</v>
      </c>
      <c r="I630" s="14" t="s">
        <v>73</v>
      </c>
      <c r="J630" s="14" t="s">
        <v>66</v>
      </c>
      <c r="K630" s="14" t="s">
        <v>2160</v>
      </c>
    </row>
    <row r="631" spans="1:11" x14ac:dyDescent="0.35">
      <c r="A631" s="14" t="s">
        <v>2161</v>
      </c>
      <c r="B631" s="14" t="s">
        <v>2162</v>
      </c>
      <c r="C631" s="14" t="s">
        <v>1578</v>
      </c>
      <c r="D631" s="14" t="s">
        <v>192</v>
      </c>
      <c r="E631" s="14" t="s">
        <v>80</v>
      </c>
      <c r="F631" s="14">
        <v>0</v>
      </c>
      <c r="G631" s="14" t="s">
        <v>2163</v>
      </c>
      <c r="H631" s="14">
        <v>15</v>
      </c>
      <c r="I631" s="14" t="s">
        <v>121</v>
      </c>
      <c r="J631" s="14" t="s">
        <v>174</v>
      </c>
      <c r="K631" s="14" t="s">
        <v>2164</v>
      </c>
    </row>
    <row r="632" spans="1:11" x14ac:dyDescent="0.35">
      <c r="A632" s="14" t="s">
        <v>2165</v>
      </c>
      <c r="B632" s="14" t="s">
        <v>2166</v>
      </c>
      <c r="C632" s="14" t="s">
        <v>239</v>
      </c>
      <c r="D632" s="14" t="s">
        <v>278</v>
      </c>
      <c r="E632" s="14" t="s">
        <v>126</v>
      </c>
      <c r="F632" s="14">
        <v>1</v>
      </c>
      <c r="G632" s="14" t="s">
        <v>2167</v>
      </c>
      <c r="H632" s="14" t="s">
        <v>81</v>
      </c>
      <c r="I632" s="14" t="s">
        <v>378</v>
      </c>
      <c r="J632" s="14" t="s">
        <v>174</v>
      </c>
      <c r="K632" s="14" t="s">
        <v>2168</v>
      </c>
    </row>
    <row r="633" spans="1:11" x14ac:dyDescent="0.35">
      <c r="A633" s="14" t="s">
        <v>2169</v>
      </c>
      <c r="B633" s="14" t="s">
        <v>2170</v>
      </c>
      <c r="C633" s="14" t="s">
        <v>385</v>
      </c>
      <c r="D633" s="14" t="s">
        <v>482</v>
      </c>
      <c r="E633" s="14" t="s">
        <v>108</v>
      </c>
      <c r="F633" s="14">
        <v>0</v>
      </c>
      <c r="G633" s="14">
        <v>134490</v>
      </c>
      <c r="H633" s="14">
        <v>15</v>
      </c>
      <c r="I633" s="14" t="s">
        <v>121</v>
      </c>
      <c r="J633" s="14" t="s">
        <v>66</v>
      </c>
      <c r="K633" s="14" t="s">
        <v>2171</v>
      </c>
    </row>
    <row r="634" spans="1:11" x14ac:dyDescent="0.35">
      <c r="A634" s="14" t="s">
        <v>2172</v>
      </c>
      <c r="B634" s="14" t="s">
        <v>2173</v>
      </c>
      <c r="C634" s="14" t="s">
        <v>579</v>
      </c>
      <c r="D634" s="14" t="s">
        <v>1309</v>
      </c>
      <c r="E634" s="14" t="s">
        <v>80</v>
      </c>
      <c r="F634" s="14">
        <v>1</v>
      </c>
      <c r="G634" s="14">
        <v>46000</v>
      </c>
      <c r="H634" s="14"/>
      <c r="I634" s="14" t="s">
        <v>121</v>
      </c>
      <c r="J634" s="14" t="s">
        <v>66</v>
      </c>
      <c r="K634" s="14" t="s">
        <v>2174</v>
      </c>
    </row>
    <row r="635" spans="1:11" x14ac:dyDescent="0.35">
      <c r="A635" s="14" t="s">
        <v>2175</v>
      </c>
      <c r="B635" s="14" t="s">
        <v>2176</v>
      </c>
      <c r="C635" s="14" t="s">
        <v>93</v>
      </c>
      <c r="D635" s="14" t="s">
        <v>432</v>
      </c>
      <c r="E635" s="14" t="s">
        <v>108</v>
      </c>
      <c r="F635" s="14">
        <v>1</v>
      </c>
      <c r="G635" s="14">
        <v>99740</v>
      </c>
      <c r="H635" s="14">
        <v>0</v>
      </c>
      <c r="I635" s="14" t="s">
        <v>73</v>
      </c>
      <c r="J635" s="14" t="s">
        <v>74</v>
      </c>
      <c r="K635" s="14" t="s">
        <v>2177</v>
      </c>
    </row>
    <row r="636" spans="1:11" x14ac:dyDescent="0.35">
      <c r="A636" s="14" t="s">
        <v>2178</v>
      </c>
      <c r="B636" s="14" t="s">
        <v>2179</v>
      </c>
      <c r="C636" s="14" t="s">
        <v>511</v>
      </c>
      <c r="D636" s="14" t="s">
        <v>948</v>
      </c>
      <c r="E636" s="14" t="s">
        <v>80</v>
      </c>
      <c r="F636" s="14">
        <v>1</v>
      </c>
      <c r="G636" s="14">
        <v>120030</v>
      </c>
      <c r="H636" s="14">
        <v>0</v>
      </c>
      <c r="I636" s="14" t="s">
        <v>89</v>
      </c>
      <c r="J636" s="14" t="s">
        <v>90</v>
      </c>
      <c r="K636" s="14"/>
    </row>
    <row r="637" spans="1:11" x14ac:dyDescent="0.35">
      <c r="A637" s="14" t="s">
        <v>2180</v>
      </c>
      <c r="B637" s="14" t="s">
        <v>2181</v>
      </c>
      <c r="C637" s="14" t="s">
        <v>723</v>
      </c>
      <c r="D637" s="14" t="s">
        <v>172</v>
      </c>
      <c r="E637" s="14" t="s">
        <v>72</v>
      </c>
      <c r="F637" s="14">
        <v>2</v>
      </c>
      <c r="G637" s="14">
        <v>151980</v>
      </c>
      <c r="H637" s="14">
        <v>15</v>
      </c>
      <c r="I637" s="14" t="s">
        <v>121</v>
      </c>
      <c r="J637" s="14" t="s">
        <v>58</v>
      </c>
      <c r="K637" s="14" t="s">
        <v>2182</v>
      </c>
    </row>
    <row r="638" spans="1:11" x14ac:dyDescent="0.35">
      <c r="A638" s="14" t="s">
        <v>2183</v>
      </c>
      <c r="B638" s="14" t="s">
        <v>2184</v>
      </c>
      <c r="C638" s="14" t="s">
        <v>661</v>
      </c>
      <c r="D638" s="14" t="s">
        <v>135</v>
      </c>
      <c r="E638" s="14" t="s">
        <v>80</v>
      </c>
      <c r="F638" s="14">
        <v>-1</v>
      </c>
      <c r="G638" s="14">
        <v>82820</v>
      </c>
      <c r="H638" s="14">
        <v>-5</v>
      </c>
      <c r="I638" s="14" t="s">
        <v>121</v>
      </c>
      <c r="J638" s="14" t="s">
        <v>83</v>
      </c>
      <c r="K638" s="14"/>
    </row>
    <row r="639" spans="1:11" x14ac:dyDescent="0.35">
      <c r="A639" s="14" t="s">
        <v>430</v>
      </c>
      <c r="B639" s="14" t="s">
        <v>431</v>
      </c>
      <c r="C639" s="14"/>
      <c r="D639" s="14" t="s">
        <v>432</v>
      </c>
      <c r="E639" s="14" t="s">
        <v>72</v>
      </c>
      <c r="F639" s="14">
        <v>3</v>
      </c>
      <c r="G639" s="14">
        <v>145610</v>
      </c>
      <c r="H639" s="14">
        <v>15</v>
      </c>
      <c r="I639" s="14" t="s">
        <v>73</v>
      </c>
      <c r="J639" s="14" t="s">
        <v>149</v>
      </c>
      <c r="K639" s="14"/>
    </row>
    <row r="640" spans="1:11" x14ac:dyDescent="0.35">
      <c r="A640" s="14" t="s">
        <v>2185</v>
      </c>
      <c r="B640" s="14" t="s">
        <v>2186</v>
      </c>
      <c r="C640" s="14" t="s">
        <v>325</v>
      </c>
      <c r="D640" s="14" t="s">
        <v>172</v>
      </c>
      <c r="E640" s="14" t="s">
        <v>72</v>
      </c>
      <c r="F640" s="14">
        <v>1</v>
      </c>
      <c r="G640" s="14" t="s">
        <v>2187</v>
      </c>
      <c r="H640" s="14">
        <v>0</v>
      </c>
      <c r="I640" s="14" t="s">
        <v>73</v>
      </c>
      <c r="J640" s="14" t="s">
        <v>149</v>
      </c>
      <c r="K640" s="14"/>
    </row>
    <row r="641" spans="1:11" x14ac:dyDescent="0.35">
      <c r="A641" s="14" t="s">
        <v>2188</v>
      </c>
      <c r="B641" s="14" t="s">
        <v>2189</v>
      </c>
      <c r="C641" s="14" t="s">
        <v>689</v>
      </c>
      <c r="D641" s="14" t="s">
        <v>55</v>
      </c>
      <c r="E641" s="14" t="s">
        <v>80</v>
      </c>
      <c r="F641" s="14">
        <v>3</v>
      </c>
      <c r="G641" s="14">
        <v>146940</v>
      </c>
      <c r="H641" s="14">
        <v>15</v>
      </c>
      <c r="I641" s="14" t="s">
        <v>73</v>
      </c>
      <c r="J641" s="14" t="s">
        <v>90</v>
      </c>
      <c r="K641" s="14" t="s">
        <v>2190</v>
      </c>
    </row>
    <row r="642" spans="1:11" x14ac:dyDescent="0.35">
      <c r="A642" s="14" t="s">
        <v>2191</v>
      </c>
      <c r="B642" s="14" t="s">
        <v>2192</v>
      </c>
      <c r="C642" s="14" t="s">
        <v>495</v>
      </c>
      <c r="D642" s="14" t="s">
        <v>463</v>
      </c>
      <c r="E642" s="14" t="s">
        <v>101</v>
      </c>
      <c r="F642" s="14">
        <v>-1</v>
      </c>
      <c r="G642" s="14">
        <v>219590</v>
      </c>
      <c r="H642" s="14">
        <v>10</v>
      </c>
      <c r="I642" s="14" t="s">
        <v>424</v>
      </c>
      <c r="J642" s="14" t="s">
        <v>115</v>
      </c>
      <c r="K642" s="14" t="s">
        <v>2193</v>
      </c>
    </row>
    <row r="643" spans="1:11" x14ac:dyDescent="0.35">
      <c r="A643" s="14" t="s">
        <v>2194</v>
      </c>
      <c r="B643" s="14" t="s">
        <v>1819</v>
      </c>
      <c r="C643" s="14" t="s">
        <v>355</v>
      </c>
      <c r="D643" s="14" t="s">
        <v>226</v>
      </c>
      <c r="E643" s="14" t="s">
        <v>108</v>
      </c>
      <c r="F643" s="14">
        <v>1</v>
      </c>
      <c r="G643" s="14" t="s">
        <v>2195</v>
      </c>
      <c r="H643" s="14">
        <v>15</v>
      </c>
      <c r="I643" s="14" t="s">
        <v>268</v>
      </c>
      <c r="J643" s="14" t="s">
        <v>66</v>
      </c>
      <c r="K643" s="14" t="s">
        <v>2196</v>
      </c>
    </row>
    <row r="644" spans="1:11" x14ac:dyDescent="0.35">
      <c r="A644" s="14" t="s">
        <v>2197</v>
      </c>
      <c r="B644" s="14" t="s">
        <v>2198</v>
      </c>
      <c r="C644" s="14" t="s">
        <v>385</v>
      </c>
      <c r="D644" s="14" t="s">
        <v>163</v>
      </c>
      <c r="E644" s="14" t="s">
        <v>113</v>
      </c>
      <c r="F644" s="14">
        <v>1</v>
      </c>
      <c r="G644" s="14">
        <v>186170</v>
      </c>
      <c r="H644" s="14">
        <v>5</v>
      </c>
      <c r="I644" s="14" t="s">
        <v>250</v>
      </c>
      <c r="J644" s="14" t="s">
        <v>83</v>
      </c>
      <c r="K644" s="14" t="s">
        <v>2199</v>
      </c>
    </row>
    <row r="645" spans="1:11" x14ac:dyDescent="0.35">
      <c r="A645" s="14" t="s">
        <v>2200</v>
      </c>
      <c r="B645" s="14" t="s">
        <v>2201</v>
      </c>
      <c r="C645" s="14" t="s">
        <v>703</v>
      </c>
      <c r="D645" s="14" t="s">
        <v>295</v>
      </c>
      <c r="E645" s="14" t="s">
        <v>64</v>
      </c>
      <c r="F645" s="14">
        <v>1</v>
      </c>
      <c r="G645" s="14">
        <v>243210</v>
      </c>
      <c r="H645" s="14" t="s">
        <v>81</v>
      </c>
      <c r="I645" s="14" t="s">
        <v>95</v>
      </c>
      <c r="J645" s="14" t="s">
        <v>66</v>
      </c>
      <c r="K645" s="14" t="s">
        <v>2202</v>
      </c>
    </row>
    <row r="646" spans="1:11" x14ac:dyDescent="0.35">
      <c r="A646" s="14" t="s">
        <v>2203</v>
      </c>
      <c r="B646" s="14" t="s">
        <v>2204</v>
      </c>
      <c r="C646" s="14" t="s">
        <v>439</v>
      </c>
      <c r="D646" s="14" t="s">
        <v>172</v>
      </c>
      <c r="E646" s="14" t="s">
        <v>108</v>
      </c>
      <c r="F646" s="14">
        <v>2</v>
      </c>
      <c r="G646" s="14">
        <v>89810</v>
      </c>
      <c r="H646" s="14"/>
      <c r="I646" s="14" t="s">
        <v>95</v>
      </c>
      <c r="J646" s="14" t="s">
        <v>149</v>
      </c>
      <c r="K646" s="14"/>
    </row>
    <row r="647" spans="1:11" x14ac:dyDescent="0.35">
      <c r="A647" s="14" t="s">
        <v>2205</v>
      </c>
      <c r="B647" s="14" t="s">
        <v>2206</v>
      </c>
      <c r="C647" s="14" t="s">
        <v>319</v>
      </c>
      <c r="D647" s="14" t="s">
        <v>369</v>
      </c>
      <c r="E647" s="14" t="s">
        <v>108</v>
      </c>
      <c r="F647" s="14">
        <v>1</v>
      </c>
      <c r="G647" s="14">
        <v>244720</v>
      </c>
      <c r="H647" s="14">
        <v>15</v>
      </c>
      <c r="I647" s="14" t="s">
        <v>73</v>
      </c>
      <c r="J647" s="14" t="s">
        <v>58</v>
      </c>
      <c r="K647" s="14" t="s">
        <v>2207</v>
      </c>
    </row>
    <row r="648" spans="1:11" x14ac:dyDescent="0.35">
      <c r="A648" s="14" t="s">
        <v>2208</v>
      </c>
      <c r="B648" s="14" t="s">
        <v>2209</v>
      </c>
      <c r="C648" s="14" t="s">
        <v>62</v>
      </c>
      <c r="D648" s="14" t="s">
        <v>390</v>
      </c>
      <c r="E648" s="14" t="s">
        <v>64</v>
      </c>
      <c r="F648" s="14">
        <v>0</v>
      </c>
      <c r="G648" s="14">
        <v>64280</v>
      </c>
      <c r="H648" s="14">
        <v>10</v>
      </c>
      <c r="I648" s="14" t="s">
        <v>121</v>
      </c>
      <c r="J648" s="14" t="s">
        <v>90</v>
      </c>
      <c r="K648" s="14" t="s">
        <v>2210</v>
      </c>
    </row>
    <row r="649" spans="1:11" x14ac:dyDescent="0.35">
      <c r="A649" s="14" t="s">
        <v>2211</v>
      </c>
      <c r="B649" s="14" t="s">
        <v>1680</v>
      </c>
      <c r="C649" s="14" t="s">
        <v>1321</v>
      </c>
      <c r="D649" s="14" t="s">
        <v>520</v>
      </c>
      <c r="E649" s="14" t="s">
        <v>101</v>
      </c>
      <c r="F649" s="14">
        <v>2</v>
      </c>
      <c r="G649" s="14">
        <v>5030</v>
      </c>
      <c r="H649" s="14" t="s">
        <v>81</v>
      </c>
      <c r="I649" s="14" t="s">
        <v>158</v>
      </c>
      <c r="J649" s="14" t="s">
        <v>66</v>
      </c>
      <c r="K649" s="14" t="s">
        <v>2212</v>
      </c>
    </row>
    <row r="650" spans="1:11" x14ac:dyDescent="0.35">
      <c r="A650" s="14" t="s">
        <v>2213</v>
      </c>
      <c r="B650" s="14" t="s">
        <v>2214</v>
      </c>
      <c r="C650" s="14" t="s">
        <v>1289</v>
      </c>
      <c r="D650" s="14" t="s">
        <v>71</v>
      </c>
      <c r="E650" s="14" t="s">
        <v>113</v>
      </c>
      <c r="F650" s="14">
        <v>0</v>
      </c>
      <c r="G650" s="14">
        <v>203070</v>
      </c>
      <c r="H650" s="14"/>
      <c r="I650" s="14" t="s">
        <v>73</v>
      </c>
      <c r="J650" s="14" t="s">
        <v>174</v>
      </c>
      <c r="K650" s="14" t="s">
        <v>2215</v>
      </c>
    </row>
    <row r="651" spans="1:11" x14ac:dyDescent="0.35">
      <c r="A651" s="14" t="s">
        <v>2216</v>
      </c>
      <c r="B651" s="14" t="s">
        <v>2217</v>
      </c>
      <c r="C651" s="14" t="s">
        <v>683</v>
      </c>
      <c r="D651" s="14" t="s">
        <v>112</v>
      </c>
      <c r="E651" s="14" t="s">
        <v>72</v>
      </c>
      <c r="F651" s="14">
        <v>0</v>
      </c>
      <c r="G651" s="14">
        <v>46000</v>
      </c>
      <c r="H651" s="14">
        <v>-5</v>
      </c>
      <c r="I651" s="14" t="s">
        <v>121</v>
      </c>
      <c r="J651" s="14" t="s">
        <v>74</v>
      </c>
      <c r="K651" s="14" t="s">
        <v>2218</v>
      </c>
    </row>
    <row r="652" spans="1:11" x14ac:dyDescent="0.35">
      <c r="A652" s="14" t="s">
        <v>2219</v>
      </c>
      <c r="B652" s="14" t="s">
        <v>2220</v>
      </c>
      <c r="C652" s="14" t="s">
        <v>1224</v>
      </c>
      <c r="D652" s="14" t="s">
        <v>163</v>
      </c>
      <c r="E652" s="14" t="s">
        <v>80</v>
      </c>
      <c r="F652" s="14">
        <v>2</v>
      </c>
      <c r="G652" s="14">
        <v>223450</v>
      </c>
      <c r="H652" s="14">
        <v>5</v>
      </c>
      <c r="I652" s="14" t="s">
        <v>73</v>
      </c>
      <c r="J652" s="14" t="s">
        <v>115</v>
      </c>
      <c r="K652" s="14"/>
    </row>
    <row r="653" spans="1:11" x14ac:dyDescent="0.35">
      <c r="A653" s="14" t="s">
        <v>2221</v>
      </c>
      <c r="B653" s="14" t="s">
        <v>2222</v>
      </c>
      <c r="C653" s="14" t="s">
        <v>613</v>
      </c>
      <c r="D653" s="14" t="s">
        <v>576</v>
      </c>
      <c r="E653" s="14" t="s">
        <v>126</v>
      </c>
      <c r="F653" s="14">
        <v>2</v>
      </c>
      <c r="G653" s="14">
        <v>82440</v>
      </c>
      <c r="H653" s="14">
        <v>0</v>
      </c>
      <c r="I653" s="14" t="s">
        <v>89</v>
      </c>
      <c r="J653" s="14" t="s">
        <v>66</v>
      </c>
      <c r="K653" s="14" t="s">
        <v>2223</v>
      </c>
    </row>
    <row r="654" spans="1:11" x14ac:dyDescent="0.35">
      <c r="A654" s="14" t="s">
        <v>2224</v>
      </c>
      <c r="B654" s="14" t="s">
        <v>2170</v>
      </c>
      <c r="C654" s="14" t="s">
        <v>1009</v>
      </c>
      <c r="D654" s="14" t="s">
        <v>348</v>
      </c>
      <c r="E654" s="14" t="s">
        <v>101</v>
      </c>
      <c r="F654" s="14">
        <v>1</v>
      </c>
      <c r="G654" s="14">
        <v>234140</v>
      </c>
      <c r="H654" s="14">
        <v>5</v>
      </c>
      <c r="I654" s="14" t="s">
        <v>158</v>
      </c>
      <c r="J654" s="14" t="s">
        <v>74</v>
      </c>
      <c r="K654" s="14" t="s">
        <v>2225</v>
      </c>
    </row>
    <row r="655" spans="1:11" x14ac:dyDescent="0.35">
      <c r="A655" s="14" t="s">
        <v>2226</v>
      </c>
      <c r="B655" s="14" t="s">
        <v>2227</v>
      </c>
      <c r="C655" s="14" t="s">
        <v>314</v>
      </c>
      <c r="D655" s="14" t="s">
        <v>435</v>
      </c>
      <c r="E655" s="14" t="s">
        <v>101</v>
      </c>
      <c r="F655" s="14">
        <v>2</v>
      </c>
      <c r="G655" s="14">
        <v>106880</v>
      </c>
      <c r="H655" s="14" t="s">
        <v>81</v>
      </c>
      <c r="I655" s="14" t="s">
        <v>114</v>
      </c>
      <c r="J655" s="14" t="s">
        <v>83</v>
      </c>
      <c r="K655" s="14"/>
    </row>
    <row r="656" spans="1:11" x14ac:dyDescent="0.35">
      <c r="A656" s="14" t="s">
        <v>2228</v>
      </c>
      <c r="B656" s="14" t="s">
        <v>2229</v>
      </c>
      <c r="C656" s="14" t="s">
        <v>597</v>
      </c>
      <c r="D656" s="14" t="s">
        <v>432</v>
      </c>
      <c r="E656" s="14" t="s">
        <v>126</v>
      </c>
      <c r="F656" s="14">
        <v>1</v>
      </c>
      <c r="G656" s="14">
        <v>247390</v>
      </c>
      <c r="H656" s="14" t="s">
        <v>81</v>
      </c>
      <c r="I656" s="14" t="s">
        <v>57</v>
      </c>
      <c r="J656" s="14" t="s">
        <v>58</v>
      </c>
      <c r="K656" s="14" t="s">
        <v>2230</v>
      </c>
    </row>
    <row r="657" spans="1:11" x14ac:dyDescent="0.35">
      <c r="A657" s="14" t="s">
        <v>2231</v>
      </c>
      <c r="B657" s="14" t="s">
        <v>2232</v>
      </c>
      <c r="C657" s="14" t="s">
        <v>285</v>
      </c>
      <c r="D657" s="14" t="s">
        <v>638</v>
      </c>
      <c r="E657" s="14" t="s">
        <v>80</v>
      </c>
      <c r="F657" s="14">
        <v>0</v>
      </c>
      <c r="G657" s="14">
        <v>85830</v>
      </c>
      <c r="H657" s="14" t="s">
        <v>81</v>
      </c>
      <c r="I657" s="14" t="s">
        <v>73</v>
      </c>
      <c r="J657" s="14" t="s">
        <v>83</v>
      </c>
      <c r="K657" s="14"/>
    </row>
    <row r="658" spans="1:11" x14ac:dyDescent="0.35">
      <c r="A658" s="14" t="s">
        <v>2233</v>
      </c>
      <c r="B658" s="14" t="s">
        <v>2234</v>
      </c>
      <c r="C658" s="14" t="s">
        <v>1025</v>
      </c>
      <c r="D658" s="14" t="s">
        <v>1309</v>
      </c>
      <c r="E658" s="14" t="s">
        <v>80</v>
      </c>
      <c r="F658" s="14">
        <v>1</v>
      </c>
      <c r="G658" s="14">
        <v>126100</v>
      </c>
      <c r="H658" s="14">
        <v>0</v>
      </c>
      <c r="I658" s="14" t="s">
        <v>114</v>
      </c>
      <c r="J658" s="14" t="s">
        <v>83</v>
      </c>
      <c r="K658" s="14"/>
    </row>
    <row r="659" spans="1:11" x14ac:dyDescent="0.35">
      <c r="A659" s="14" t="s">
        <v>2235</v>
      </c>
      <c r="B659" s="14" t="s">
        <v>2236</v>
      </c>
      <c r="C659" s="14" t="s">
        <v>254</v>
      </c>
      <c r="D659" s="14" t="s">
        <v>390</v>
      </c>
      <c r="E659" s="14" t="s">
        <v>72</v>
      </c>
      <c r="F659" s="14">
        <v>1</v>
      </c>
      <c r="G659" s="14" t="s">
        <v>2237</v>
      </c>
      <c r="H659" s="14">
        <v>-5</v>
      </c>
      <c r="I659" s="14" t="s">
        <v>73</v>
      </c>
      <c r="J659" s="14" t="s">
        <v>149</v>
      </c>
      <c r="K659" s="14" t="s">
        <v>2238</v>
      </c>
    </row>
    <row r="660" spans="1:11" x14ac:dyDescent="0.35">
      <c r="A660" s="14" t="s">
        <v>2239</v>
      </c>
      <c r="B660" s="14" t="s">
        <v>2240</v>
      </c>
      <c r="C660" s="14" t="s">
        <v>368</v>
      </c>
      <c r="D660" s="14" t="s">
        <v>458</v>
      </c>
      <c r="E660" s="14" t="s">
        <v>56</v>
      </c>
      <c r="F660" s="14">
        <v>3</v>
      </c>
      <c r="G660" s="14">
        <v>108590</v>
      </c>
      <c r="H660" s="14">
        <v>15</v>
      </c>
      <c r="I660" s="14" t="s">
        <v>114</v>
      </c>
      <c r="J660" s="14" t="s">
        <v>115</v>
      </c>
      <c r="K660" s="14"/>
    </row>
    <row r="661" spans="1:11" x14ac:dyDescent="0.35">
      <c r="A661" s="14" t="s">
        <v>2241</v>
      </c>
      <c r="B661" s="14" t="s">
        <v>2242</v>
      </c>
      <c r="C661" s="14" t="s">
        <v>524</v>
      </c>
      <c r="D661" s="14" t="s">
        <v>736</v>
      </c>
      <c r="E661" s="14" t="s">
        <v>113</v>
      </c>
      <c r="F661" s="14">
        <v>2</v>
      </c>
      <c r="G661" s="14">
        <v>159360</v>
      </c>
      <c r="H661" s="14">
        <v>0</v>
      </c>
      <c r="I661" s="14" t="s">
        <v>65</v>
      </c>
      <c r="J661" s="14" t="s">
        <v>83</v>
      </c>
      <c r="K661" s="14" t="s">
        <v>2243</v>
      </c>
    </row>
    <row r="662" spans="1:11" x14ac:dyDescent="0.35">
      <c r="A662" s="14" t="s">
        <v>2244</v>
      </c>
      <c r="B662" s="14" t="s">
        <v>2245</v>
      </c>
      <c r="C662" s="14" t="s">
        <v>325</v>
      </c>
      <c r="D662" s="14" t="s">
        <v>196</v>
      </c>
      <c r="E662" s="14" t="s">
        <v>113</v>
      </c>
      <c r="F662" s="14">
        <v>-1</v>
      </c>
      <c r="G662" s="14" t="s">
        <v>2246</v>
      </c>
      <c r="H662" s="14" t="s">
        <v>81</v>
      </c>
      <c r="I662" s="14" t="s">
        <v>378</v>
      </c>
      <c r="J662" s="14" t="s">
        <v>74</v>
      </c>
      <c r="K662" s="14" t="s">
        <v>2247</v>
      </c>
    </row>
    <row r="663" spans="1:11" x14ac:dyDescent="0.35">
      <c r="A663" s="14" t="s">
        <v>2248</v>
      </c>
      <c r="B663" s="14" t="s">
        <v>2249</v>
      </c>
      <c r="C663" s="14" t="s">
        <v>1075</v>
      </c>
      <c r="D663" s="14" t="s">
        <v>418</v>
      </c>
      <c r="E663" s="14" t="s">
        <v>126</v>
      </c>
      <c r="F663" s="14">
        <v>1</v>
      </c>
      <c r="G663" s="14">
        <v>141370</v>
      </c>
      <c r="H663" s="14">
        <v>0</v>
      </c>
      <c r="I663" s="14" t="s">
        <v>73</v>
      </c>
      <c r="J663" s="14" t="s">
        <v>66</v>
      </c>
      <c r="K663" s="14" t="s">
        <v>2250</v>
      </c>
    </row>
    <row r="664" spans="1:11" x14ac:dyDescent="0.35">
      <c r="A664" s="14" t="s">
        <v>2251</v>
      </c>
      <c r="B664" s="14" t="s">
        <v>2252</v>
      </c>
      <c r="C664" s="14" t="s">
        <v>355</v>
      </c>
      <c r="D664" s="14" t="s">
        <v>163</v>
      </c>
      <c r="E664" s="14" t="s">
        <v>64</v>
      </c>
      <c r="F664" s="14">
        <v>3</v>
      </c>
      <c r="G664" s="14" t="s">
        <v>2253</v>
      </c>
      <c r="H664" s="14">
        <v>0</v>
      </c>
      <c r="I664" s="14" t="s">
        <v>73</v>
      </c>
      <c r="J664" s="14" t="s">
        <v>58</v>
      </c>
      <c r="K664" s="14" t="s">
        <v>2254</v>
      </c>
    </row>
    <row r="665" spans="1:11" x14ac:dyDescent="0.35">
      <c r="A665" s="14" t="s">
        <v>2255</v>
      </c>
      <c r="B665" s="14" t="s">
        <v>2256</v>
      </c>
      <c r="C665" s="14" t="s">
        <v>111</v>
      </c>
      <c r="D665" s="14" t="s">
        <v>329</v>
      </c>
      <c r="E665" s="14" t="s">
        <v>126</v>
      </c>
      <c r="F665" s="14">
        <v>0</v>
      </c>
      <c r="G665" s="14">
        <v>160320</v>
      </c>
      <c r="H665" s="14">
        <v>0</v>
      </c>
      <c r="I665" s="14" t="s">
        <v>95</v>
      </c>
      <c r="J665" s="14" t="s">
        <v>58</v>
      </c>
      <c r="K665" s="14" t="s">
        <v>2257</v>
      </c>
    </row>
    <row r="666" spans="1:11" x14ac:dyDescent="0.35">
      <c r="A666" s="14" t="s">
        <v>2258</v>
      </c>
      <c r="B666" s="14" t="s">
        <v>2259</v>
      </c>
      <c r="C666" s="14" t="s">
        <v>134</v>
      </c>
      <c r="D666" s="14" t="s">
        <v>390</v>
      </c>
      <c r="E666" s="14" t="s">
        <v>101</v>
      </c>
      <c r="F666" s="14">
        <v>1</v>
      </c>
      <c r="G666" s="14" t="s">
        <v>2260</v>
      </c>
      <c r="H666" s="14">
        <v>0</v>
      </c>
      <c r="I666" s="14" t="s">
        <v>158</v>
      </c>
      <c r="J666" s="14" t="s">
        <v>66</v>
      </c>
      <c r="K666" s="14" t="s">
        <v>2261</v>
      </c>
    </row>
    <row r="667" spans="1:11" x14ac:dyDescent="0.35">
      <c r="A667" s="14" t="s">
        <v>2262</v>
      </c>
      <c r="B667" s="14" t="s">
        <v>2263</v>
      </c>
      <c r="C667" s="14" t="s">
        <v>591</v>
      </c>
      <c r="D667" s="14" t="s">
        <v>79</v>
      </c>
      <c r="E667" s="14" t="s">
        <v>72</v>
      </c>
      <c r="F667" s="14">
        <v>-1</v>
      </c>
      <c r="G667" s="14" t="s">
        <v>2264</v>
      </c>
      <c r="H667" s="14">
        <v>0</v>
      </c>
      <c r="I667" s="14" t="s">
        <v>95</v>
      </c>
      <c r="J667" s="14" t="s">
        <v>90</v>
      </c>
      <c r="K667" s="14" t="s">
        <v>2265</v>
      </c>
    </row>
    <row r="668" spans="1:11" x14ac:dyDescent="0.35">
      <c r="A668" s="14" t="s">
        <v>2266</v>
      </c>
      <c r="B668" s="14" t="s">
        <v>1788</v>
      </c>
      <c r="C668" s="14" t="s">
        <v>573</v>
      </c>
      <c r="D668" s="14" t="s">
        <v>216</v>
      </c>
      <c r="E668" s="14" t="s">
        <v>64</v>
      </c>
      <c r="F668" s="14">
        <v>0</v>
      </c>
      <c r="G668" s="14">
        <v>8830</v>
      </c>
      <c r="H668" s="14">
        <v>10</v>
      </c>
      <c r="I668" s="14" t="s">
        <v>121</v>
      </c>
      <c r="J668" s="14" t="s">
        <v>74</v>
      </c>
      <c r="K668" s="14" t="s">
        <v>2267</v>
      </c>
    </row>
    <row r="669" spans="1:11" x14ac:dyDescent="0.35">
      <c r="A669" s="14" t="s">
        <v>2268</v>
      </c>
      <c r="B669" s="14" t="s">
        <v>2269</v>
      </c>
      <c r="C669" s="14" t="s">
        <v>504</v>
      </c>
      <c r="D669" s="14" t="s">
        <v>458</v>
      </c>
      <c r="E669" s="14" t="s">
        <v>80</v>
      </c>
      <c r="F669" s="14">
        <v>1</v>
      </c>
      <c r="G669" s="14">
        <v>73550</v>
      </c>
      <c r="H669" s="14">
        <v>-5</v>
      </c>
      <c r="I669" s="14" t="s">
        <v>121</v>
      </c>
      <c r="J669" s="14" t="s">
        <v>174</v>
      </c>
      <c r="K669" s="14" t="s">
        <v>2270</v>
      </c>
    </row>
    <row r="670" spans="1:11" x14ac:dyDescent="0.35">
      <c r="A670" s="14" t="s">
        <v>2271</v>
      </c>
      <c r="B670" s="14" t="s">
        <v>2272</v>
      </c>
      <c r="C670" s="14" t="s">
        <v>333</v>
      </c>
      <c r="D670" s="14" t="s">
        <v>226</v>
      </c>
      <c r="E670" s="14" t="s">
        <v>101</v>
      </c>
      <c r="F670" s="14">
        <v>-1</v>
      </c>
      <c r="G670" s="14">
        <v>93960</v>
      </c>
      <c r="H670" s="14">
        <v>5</v>
      </c>
      <c r="I670" s="14" t="s">
        <v>121</v>
      </c>
      <c r="J670" s="14" t="s">
        <v>115</v>
      </c>
      <c r="K670" s="14"/>
    </row>
    <row r="671" spans="1:11" x14ac:dyDescent="0.35">
      <c r="A671" s="14" t="s">
        <v>2273</v>
      </c>
      <c r="B671" s="14" t="s">
        <v>2274</v>
      </c>
      <c r="C671" s="14" t="s">
        <v>1502</v>
      </c>
      <c r="D671" s="14" t="s">
        <v>135</v>
      </c>
      <c r="E671" s="14" t="s">
        <v>101</v>
      </c>
      <c r="F671" s="14">
        <v>1</v>
      </c>
      <c r="G671" s="14" t="s">
        <v>2275</v>
      </c>
      <c r="H671" s="14"/>
      <c r="I671" s="14" t="s">
        <v>95</v>
      </c>
      <c r="J671" s="14" t="s">
        <v>83</v>
      </c>
      <c r="K671" s="14" t="s">
        <v>2276</v>
      </c>
    </row>
    <row r="672" spans="1:11" x14ac:dyDescent="0.35">
      <c r="A672" s="14" t="s">
        <v>2277</v>
      </c>
      <c r="B672" s="14" t="s">
        <v>2278</v>
      </c>
      <c r="C672" s="14" t="s">
        <v>573</v>
      </c>
      <c r="D672" s="14" t="s">
        <v>463</v>
      </c>
      <c r="E672" s="14" t="s">
        <v>113</v>
      </c>
      <c r="F672" s="14">
        <v>1</v>
      </c>
      <c r="G672" s="14" t="s">
        <v>2279</v>
      </c>
      <c r="H672" s="14">
        <v>10</v>
      </c>
      <c r="I672" s="14" t="s">
        <v>82</v>
      </c>
      <c r="J672" s="14" t="s">
        <v>74</v>
      </c>
      <c r="K672" s="14" t="s">
        <v>2280</v>
      </c>
    </row>
    <row r="673" spans="1:11" x14ac:dyDescent="0.35">
      <c r="A673" s="14" t="s">
        <v>2281</v>
      </c>
      <c r="B673" s="14" t="s">
        <v>2282</v>
      </c>
      <c r="C673" s="14" t="s">
        <v>148</v>
      </c>
      <c r="D673" s="14" t="s">
        <v>55</v>
      </c>
      <c r="E673" s="14" t="s">
        <v>108</v>
      </c>
      <c r="F673" s="14">
        <v>1</v>
      </c>
      <c r="G673" s="14">
        <v>198840</v>
      </c>
      <c r="H673" s="14">
        <v>15</v>
      </c>
      <c r="I673" s="14" t="s">
        <v>95</v>
      </c>
      <c r="J673" s="14" t="s">
        <v>174</v>
      </c>
      <c r="K673" s="14" t="s">
        <v>2283</v>
      </c>
    </row>
    <row r="674" spans="1:11" x14ac:dyDescent="0.35">
      <c r="A674" s="14" t="s">
        <v>2284</v>
      </c>
      <c r="B674" s="14" t="s">
        <v>2285</v>
      </c>
      <c r="C674" s="14" t="s">
        <v>309</v>
      </c>
      <c r="D674" s="14" t="s">
        <v>390</v>
      </c>
      <c r="E674" s="14" t="s">
        <v>126</v>
      </c>
      <c r="F674" s="14">
        <v>1</v>
      </c>
      <c r="G674" s="14">
        <v>220270</v>
      </c>
      <c r="H674" s="14">
        <v>-5</v>
      </c>
      <c r="I674" s="14" t="s">
        <v>95</v>
      </c>
      <c r="J674" s="14" t="s">
        <v>174</v>
      </c>
      <c r="K674" s="14" t="s">
        <v>2286</v>
      </c>
    </row>
    <row r="675" spans="1:11" x14ac:dyDescent="0.35">
      <c r="A675" s="14" t="s">
        <v>2287</v>
      </c>
      <c r="B675" s="14" t="s">
        <v>2288</v>
      </c>
      <c r="C675" s="14" t="s">
        <v>740</v>
      </c>
      <c r="D675" s="14" t="s">
        <v>529</v>
      </c>
      <c r="E675" s="14" t="s">
        <v>72</v>
      </c>
      <c r="F675" s="14">
        <v>1</v>
      </c>
      <c r="G675" s="14">
        <v>43690</v>
      </c>
      <c r="H675" s="14">
        <v>-5</v>
      </c>
      <c r="I675" s="14" t="s">
        <v>114</v>
      </c>
      <c r="J675" s="14" t="s">
        <v>149</v>
      </c>
      <c r="K675" s="14" t="s">
        <v>2289</v>
      </c>
    </row>
    <row r="676" spans="1:11" x14ac:dyDescent="0.35">
      <c r="A676" s="14" t="s">
        <v>2290</v>
      </c>
      <c r="B676" s="14" t="s">
        <v>542</v>
      </c>
      <c r="C676" s="14" t="s">
        <v>524</v>
      </c>
      <c r="D676" s="14" t="s">
        <v>172</v>
      </c>
      <c r="E676" s="14" t="s">
        <v>113</v>
      </c>
      <c r="F676" s="14">
        <v>1</v>
      </c>
      <c r="G676" s="14">
        <v>231360</v>
      </c>
      <c r="H676" s="14">
        <v>-5</v>
      </c>
      <c r="I676" s="14" t="s">
        <v>65</v>
      </c>
      <c r="J676" s="14" t="s">
        <v>83</v>
      </c>
      <c r="K676" s="14" t="s">
        <v>2291</v>
      </c>
    </row>
    <row r="677" spans="1:11" x14ac:dyDescent="0.35">
      <c r="A677" s="14" t="s">
        <v>2292</v>
      </c>
      <c r="B677" s="14" t="s">
        <v>2293</v>
      </c>
      <c r="C677" s="14" t="s">
        <v>187</v>
      </c>
      <c r="D677" s="14" t="s">
        <v>390</v>
      </c>
      <c r="E677" s="14" t="s">
        <v>108</v>
      </c>
      <c r="F677" s="14">
        <v>2</v>
      </c>
      <c r="G677" s="14" t="s">
        <v>2294</v>
      </c>
      <c r="H677" s="14">
        <v>5</v>
      </c>
      <c r="I677" s="14" t="s">
        <v>57</v>
      </c>
      <c r="J677" s="14" t="s">
        <v>90</v>
      </c>
      <c r="K677" s="14" t="s">
        <v>2295</v>
      </c>
    </row>
    <row r="678" spans="1:11" x14ac:dyDescent="0.35">
      <c r="A678" s="14" t="s">
        <v>2296</v>
      </c>
      <c r="B678" s="14" t="s">
        <v>2297</v>
      </c>
      <c r="C678" s="14" t="s">
        <v>1861</v>
      </c>
      <c r="D678" s="14" t="s">
        <v>163</v>
      </c>
      <c r="E678" s="14" t="s">
        <v>126</v>
      </c>
      <c r="F678" s="14">
        <v>2</v>
      </c>
      <c r="G678" s="14">
        <v>103970</v>
      </c>
      <c r="H678" s="14">
        <v>0</v>
      </c>
      <c r="I678" s="14" t="s">
        <v>114</v>
      </c>
      <c r="J678" s="14" t="s">
        <v>149</v>
      </c>
      <c r="K678" s="14" t="s">
        <v>2298</v>
      </c>
    </row>
    <row r="679" spans="1:11" x14ac:dyDescent="0.35">
      <c r="A679" s="14" t="s">
        <v>2299</v>
      </c>
      <c r="B679" s="14" t="s">
        <v>2300</v>
      </c>
      <c r="C679" s="14" t="s">
        <v>1321</v>
      </c>
      <c r="D679" s="14" t="s">
        <v>278</v>
      </c>
      <c r="E679" s="14" t="s">
        <v>56</v>
      </c>
      <c r="F679" s="14">
        <v>1</v>
      </c>
      <c r="G679" s="14" t="s">
        <v>2301</v>
      </c>
      <c r="H679" s="14">
        <v>0</v>
      </c>
      <c r="I679" s="14" t="s">
        <v>121</v>
      </c>
      <c r="J679" s="14" t="s">
        <v>83</v>
      </c>
      <c r="K679" s="14"/>
    </row>
    <row r="680" spans="1:11" x14ac:dyDescent="0.35">
      <c r="A680" s="14" t="s">
        <v>2302</v>
      </c>
      <c r="B680" s="14" t="s">
        <v>2303</v>
      </c>
      <c r="C680" s="14" t="s">
        <v>407</v>
      </c>
      <c r="D680" s="14" t="s">
        <v>360</v>
      </c>
      <c r="E680" s="14" t="s">
        <v>113</v>
      </c>
      <c r="F680" s="14">
        <v>-1</v>
      </c>
      <c r="G680" s="14">
        <v>74170</v>
      </c>
      <c r="H680" s="14">
        <v>5</v>
      </c>
      <c r="I680" s="14" t="s">
        <v>121</v>
      </c>
      <c r="J680" s="14" t="s">
        <v>83</v>
      </c>
      <c r="K680" s="14" t="s">
        <v>2304</v>
      </c>
    </row>
    <row r="681" spans="1:11" x14ac:dyDescent="0.35">
      <c r="A681" s="14" t="s">
        <v>2305</v>
      </c>
      <c r="B681" s="14" t="s">
        <v>2306</v>
      </c>
      <c r="C681" s="14" t="s">
        <v>613</v>
      </c>
      <c r="D681" s="14" t="s">
        <v>432</v>
      </c>
      <c r="E681" s="14" t="s">
        <v>101</v>
      </c>
      <c r="F681" s="14">
        <v>1</v>
      </c>
      <c r="G681" s="14">
        <v>18800</v>
      </c>
      <c r="H681" s="14">
        <v>15</v>
      </c>
      <c r="I681" s="14" t="s">
        <v>95</v>
      </c>
      <c r="J681" s="14" t="s">
        <v>58</v>
      </c>
      <c r="K681" s="14" t="s">
        <v>2307</v>
      </c>
    </row>
    <row r="682" spans="1:11" x14ac:dyDescent="0.35">
      <c r="A682" s="14" t="s">
        <v>2308</v>
      </c>
      <c r="B682" s="14" t="s">
        <v>629</v>
      </c>
      <c r="C682" s="14" t="s">
        <v>637</v>
      </c>
      <c r="D682" s="14" t="s">
        <v>445</v>
      </c>
      <c r="E682" s="14" t="s">
        <v>56</v>
      </c>
      <c r="F682" s="14">
        <v>3</v>
      </c>
      <c r="G682" s="14">
        <v>155310</v>
      </c>
      <c r="H682" s="14">
        <v>5</v>
      </c>
      <c r="I682" s="14" t="s">
        <v>121</v>
      </c>
      <c r="J682" s="14" t="s">
        <v>90</v>
      </c>
      <c r="K682" s="14" t="s">
        <v>2309</v>
      </c>
    </row>
    <row r="683" spans="1:11" x14ac:dyDescent="0.35">
      <c r="A683" s="14" t="s">
        <v>2310</v>
      </c>
      <c r="B683" s="14" t="s">
        <v>2311</v>
      </c>
      <c r="C683" s="14" t="s">
        <v>1861</v>
      </c>
      <c r="D683" s="14" t="s">
        <v>240</v>
      </c>
      <c r="E683" s="14" t="s">
        <v>72</v>
      </c>
      <c r="F683" s="14">
        <v>2</v>
      </c>
      <c r="G683" s="14" t="s">
        <v>2312</v>
      </c>
      <c r="H683" s="14">
        <v>10</v>
      </c>
      <c r="I683" s="14" t="s">
        <v>424</v>
      </c>
      <c r="J683" s="14" t="s">
        <v>115</v>
      </c>
      <c r="K683" s="14"/>
    </row>
    <row r="684" spans="1:11" x14ac:dyDescent="0.35">
      <c r="A684" s="14" t="s">
        <v>2313</v>
      </c>
      <c r="B684" s="14" t="s">
        <v>2314</v>
      </c>
      <c r="C684" s="14" t="s">
        <v>70</v>
      </c>
      <c r="D684" s="14" t="s">
        <v>94</v>
      </c>
      <c r="E684" s="14" t="s">
        <v>56</v>
      </c>
      <c r="F684" s="14">
        <v>2</v>
      </c>
      <c r="G684" s="14">
        <v>118810</v>
      </c>
      <c r="H684" s="14"/>
      <c r="I684" s="14" t="s">
        <v>95</v>
      </c>
      <c r="J684" s="14" t="s">
        <v>90</v>
      </c>
      <c r="K684" s="14" t="s">
        <v>2315</v>
      </c>
    </row>
    <row r="685" spans="1:11" x14ac:dyDescent="0.35">
      <c r="A685" s="14" t="s">
        <v>2316</v>
      </c>
      <c r="B685" s="14" t="s">
        <v>2317</v>
      </c>
      <c r="C685" s="14" t="s">
        <v>457</v>
      </c>
      <c r="D685" s="14" t="s">
        <v>55</v>
      </c>
      <c r="E685" s="14" t="s">
        <v>113</v>
      </c>
      <c r="F685" s="14">
        <v>1</v>
      </c>
      <c r="G685" s="14">
        <v>38970</v>
      </c>
      <c r="H685" s="14">
        <v>0</v>
      </c>
      <c r="I685" s="14" t="s">
        <v>114</v>
      </c>
      <c r="J685" s="14" t="s">
        <v>149</v>
      </c>
      <c r="K685" s="14" t="s">
        <v>2318</v>
      </c>
    </row>
    <row r="686" spans="1:11" x14ac:dyDescent="0.35">
      <c r="A686" s="14" t="s">
        <v>2319</v>
      </c>
      <c r="B686" s="14" t="s">
        <v>2320</v>
      </c>
      <c r="C686" s="14" t="s">
        <v>462</v>
      </c>
      <c r="D686" s="14" t="s">
        <v>226</v>
      </c>
      <c r="E686" s="14" t="s">
        <v>72</v>
      </c>
      <c r="F686" s="14">
        <v>2</v>
      </c>
      <c r="G686" s="14">
        <v>130510</v>
      </c>
      <c r="H686" s="14" t="s">
        <v>81</v>
      </c>
      <c r="I686" s="14" t="s">
        <v>82</v>
      </c>
      <c r="J686" s="14" t="s">
        <v>149</v>
      </c>
      <c r="K686" s="14"/>
    </row>
    <row r="687" spans="1:11" x14ac:dyDescent="0.35">
      <c r="A687" s="14" t="s">
        <v>2321</v>
      </c>
      <c r="B687" s="14" t="s">
        <v>878</v>
      </c>
      <c r="C687" s="14" t="s">
        <v>1418</v>
      </c>
      <c r="D687" s="14" t="s">
        <v>390</v>
      </c>
      <c r="E687" s="14" t="s">
        <v>101</v>
      </c>
      <c r="F687" s="14">
        <v>1</v>
      </c>
      <c r="G687" s="14" t="s">
        <v>2322</v>
      </c>
      <c r="H687" s="14">
        <v>15</v>
      </c>
      <c r="I687" s="14" t="s">
        <v>250</v>
      </c>
      <c r="J687" s="14" t="s">
        <v>58</v>
      </c>
      <c r="K687" s="14" t="s">
        <v>2323</v>
      </c>
    </row>
    <row r="688" spans="1:11" x14ac:dyDescent="0.35">
      <c r="A688" s="14" t="s">
        <v>2324</v>
      </c>
      <c r="B688" s="14" t="s">
        <v>2325</v>
      </c>
      <c r="C688" s="14" t="s">
        <v>139</v>
      </c>
      <c r="D688" s="14" t="s">
        <v>576</v>
      </c>
      <c r="E688" s="14" t="s">
        <v>126</v>
      </c>
      <c r="F688" s="14">
        <v>3</v>
      </c>
      <c r="G688" s="14">
        <v>71720</v>
      </c>
      <c r="H688" s="14">
        <v>15</v>
      </c>
      <c r="I688" s="14" t="s">
        <v>73</v>
      </c>
      <c r="J688" s="14" t="s">
        <v>149</v>
      </c>
      <c r="K688" s="14"/>
    </row>
    <row r="689" spans="1:11" x14ac:dyDescent="0.35">
      <c r="A689" s="14" t="s">
        <v>2326</v>
      </c>
      <c r="B689" s="14" t="s">
        <v>2327</v>
      </c>
      <c r="C689" s="14" t="s">
        <v>498</v>
      </c>
      <c r="D689" s="14" t="s">
        <v>94</v>
      </c>
      <c r="E689" s="14" t="s">
        <v>56</v>
      </c>
      <c r="F689" s="14">
        <v>0</v>
      </c>
      <c r="G689" s="14">
        <v>37240</v>
      </c>
      <c r="H689" s="14">
        <v>5</v>
      </c>
      <c r="I689" s="14" t="s">
        <v>95</v>
      </c>
      <c r="J689" s="14" t="s">
        <v>58</v>
      </c>
      <c r="K689" s="14" t="s">
        <v>2328</v>
      </c>
    </row>
    <row r="690" spans="1:11" x14ac:dyDescent="0.35">
      <c r="A690" s="14" t="s">
        <v>2329</v>
      </c>
      <c r="B690" s="14" t="s">
        <v>2330</v>
      </c>
      <c r="C690" s="14"/>
      <c r="D690" s="14" t="s">
        <v>226</v>
      </c>
      <c r="E690" s="14" t="s">
        <v>113</v>
      </c>
      <c r="F690" s="14">
        <v>1</v>
      </c>
      <c r="G690" s="14" t="s">
        <v>2331</v>
      </c>
      <c r="H690" s="14" t="s">
        <v>81</v>
      </c>
      <c r="I690" s="14" t="s">
        <v>158</v>
      </c>
      <c r="J690" s="14" t="s">
        <v>83</v>
      </c>
      <c r="K690" s="14"/>
    </row>
    <row r="691" spans="1:11" x14ac:dyDescent="0.35">
      <c r="A691" s="14" t="s">
        <v>2332</v>
      </c>
      <c r="B691" s="14" t="s">
        <v>2333</v>
      </c>
      <c r="C691" s="14" t="s">
        <v>162</v>
      </c>
      <c r="D691" s="14" t="s">
        <v>135</v>
      </c>
      <c r="E691" s="14" t="s">
        <v>101</v>
      </c>
      <c r="F691" s="14">
        <v>2</v>
      </c>
      <c r="G691" s="14">
        <v>214850</v>
      </c>
      <c r="H691" s="14">
        <v>10</v>
      </c>
      <c r="I691" s="14" t="s">
        <v>65</v>
      </c>
      <c r="J691" s="14" t="s">
        <v>74</v>
      </c>
      <c r="K691" s="14" t="s">
        <v>2334</v>
      </c>
    </row>
    <row r="692" spans="1:11" x14ac:dyDescent="0.35">
      <c r="A692" s="14" t="s">
        <v>2335</v>
      </c>
      <c r="B692" s="14" t="s">
        <v>2336</v>
      </c>
      <c r="C692" s="14" t="s">
        <v>294</v>
      </c>
      <c r="D692" s="14" t="s">
        <v>172</v>
      </c>
      <c r="E692" s="14" t="s">
        <v>108</v>
      </c>
      <c r="F692" s="14">
        <v>2</v>
      </c>
      <c r="G692" s="14" t="s">
        <v>2337</v>
      </c>
      <c r="H692" s="14">
        <v>0</v>
      </c>
      <c r="I692" s="14" t="s">
        <v>114</v>
      </c>
      <c r="J692" s="14" t="s">
        <v>174</v>
      </c>
      <c r="K692" s="14" t="s">
        <v>2338</v>
      </c>
    </row>
    <row r="693" spans="1:11" x14ac:dyDescent="0.35">
      <c r="A693" s="14" t="s">
        <v>2339</v>
      </c>
      <c r="B693" s="14" t="s">
        <v>2340</v>
      </c>
      <c r="C693" s="14" t="s">
        <v>804</v>
      </c>
      <c r="D693" s="14" t="s">
        <v>472</v>
      </c>
      <c r="E693" s="14" t="s">
        <v>126</v>
      </c>
      <c r="F693" s="14">
        <v>3</v>
      </c>
      <c r="G693" s="14">
        <v>105460</v>
      </c>
      <c r="H693" s="14">
        <v>0</v>
      </c>
      <c r="I693" s="14" t="s">
        <v>73</v>
      </c>
      <c r="J693" s="14" t="s">
        <v>90</v>
      </c>
      <c r="K693" s="14"/>
    </row>
    <row r="694" spans="1:11" x14ac:dyDescent="0.35">
      <c r="A694" s="14" t="s">
        <v>2341</v>
      </c>
      <c r="B694" s="14" t="s">
        <v>2342</v>
      </c>
      <c r="C694" s="14" t="s">
        <v>781</v>
      </c>
      <c r="D694" s="14" t="s">
        <v>576</v>
      </c>
      <c r="E694" s="14" t="s">
        <v>64</v>
      </c>
      <c r="F694" s="14">
        <v>1</v>
      </c>
      <c r="G694" s="14">
        <v>224520</v>
      </c>
      <c r="H694" s="14">
        <v>-5</v>
      </c>
      <c r="I694" s="14" t="s">
        <v>73</v>
      </c>
      <c r="J694" s="14" t="s">
        <v>149</v>
      </c>
      <c r="K694" s="14"/>
    </row>
    <row r="695" spans="1:11" x14ac:dyDescent="0.35">
      <c r="A695" s="14" t="s">
        <v>2343</v>
      </c>
      <c r="B695" s="14" t="s">
        <v>2344</v>
      </c>
      <c r="C695" s="14" t="s">
        <v>134</v>
      </c>
      <c r="D695" s="14" t="s">
        <v>94</v>
      </c>
      <c r="E695" s="14" t="s">
        <v>72</v>
      </c>
      <c r="F695" s="14">
        <v>1</v>
      </c>
      <c r="G695" s="14" t="s">
        <v>2345</v>
      </c>
      <c r="H695" s="14" t="s">
        <v>81</v>
      </c>
      <c r="I695" s="14" t="s">
        <v>95</v>
      </c>
      <c r="J695" s="14" t="s">
        <v>90</v>
      </c>
      <c r="K695" s="14" t="s">
        <v>2346</v>
      </c>
    </row>
    <row r="696" spans="1:11" x14ac:dyDescent="0.35">
      <c r="A696" s="14" t="s">
        <v>2347</v>
      </c>
      <c r="B696" s="14" t="s">
        <v>2348</v>
      </c>
      <c r="C696" s="14" t="s">
        <v>1244</v>
      </c>
      <c r="D696" s="14" t="s">
        <v>179</v>
      </c>
      <c r="E696" s="14" t="s">
        <v>108</v>
      </c>
      <c r="F696" s="14">
        <v>-1</v>
      </c>
      <c r="G696" s="14">
        <v>148710</v>
      </c>
      <c r="H696" s="14"/>
      <c r="I696" s="14" t="s">
        <v>65</v>
      </c>
      <c r="J696" s="14" t="s">
        <v>66</v>
      </c>
      <c r="K696" s="14" t="s">
        <v>2349</v>
      </c>
    </row>
    <row r="697" spans="1:11" x14ac:dyDescent="0.35">
      <c r="A697" s="14" t="s">
        <v>2350</v>
      </c>
      <c r="B697" s="14" t="s">
        <v>2351</v>
      </c>
      <c r="C697" s="14" t="s">
        <v>87</v>
      </c>
      <c r="D697" s="14" t="s">
        <v>418</v>
      </c>
      <c r="E697" s="14" t="s">
        <v>101</v>
      </c>
      <c r="F697" s="14">
        <v>0</v>
      </c>
      <c r="G697" s="14">
        <v>26250</v>
      </c>
      <c r="H697" s="14">
        <v>10</v>
      </c>
      <c r="I697" s="14" t="s">
        <v>95</v>
      </c>
      <c r="J697" s="14" t="s">
        <v>66</v>
      </c>
      <c r="K697" s="14" t="s">
        <v>2352</v>
      </c>
    </row>
    <row r="698" spans="1:11" x14ac:dyDescent="0.35">
      <c r="A698" s="14" t="s">
        <v>2353</v>
      </c>
      <c r="B698" s="14" t="s">
        <v>2354</v>
      </c>
      <c r="C698" s="14" t="s">
        <v>99</v>
      </c>
      <c r="D698" s="14" t="s">
        <v>163</v>
      </c>
      <c r="E698" s="14" t="s">
        <v>72</v>
      </c>
      <c r="F698" s="14">
        <v>1</v>
      </c>
      <c r="G698" s="14" t="s">
        <v>2355</v>
      </c>
      <c r="H698" s="14">
        <v>-5</v>
      </c>
      <c r="I698" s="14" t="s">
        <v>73</v>
      </c>
      <c r="J698" s="14" t="s">
        <v>74</v>
      </c>
      <c r="K698" s="14" t="s">
        <v>2356</v>
      </c>
    </row>
    <row r="699" spans="1:11" x14ac:dyDescent="0.35">
      <c r="A699" s="14" t="s">
        <v>2357</v>
      </c>
      <c r="B699" s="14" t="s">
        <v>2358</v>
      </c>
      <c r="C699" s="14" t="s">
        <v>134</v>
      </c>
      <c r="D699" s="14" t="s">
        <v>259</v>
      </c>
      <c r="E699" s="14" t="s">
        <v>126</v>
      </c>
      <c r="F699" s="14">
        <v>1</v>
      </c>
      <c r="G699" s="14">
        <v>194830</v>
      </c>
      <c r="H699" s="14">
        <v>0</v>
      </c>
      <c r="I699" s="14" t="s">
        <v>73</v>
      </c>
      <c r="J699" s="14" t="s">
        <v>115</v>
      </c>
      <c r="K699" s="14" t="s">
        <v>2359</v>
      </c>
    </row>
    <row r="700" spans="1:11" x14ac:dyDescent="0.35">
      <c r="A700" s="14" t="s">
        <v>2360</v>
      </c>
      <c r="B700" s="14" t="s">
        <v>2361</v>
      </c>
      <c r="C700" s="14" t="s">
        <v>534</v>
      </c>
      <c r="D700" s="14" t="s">
        <v>196</v>
      </c>
      <c r="E700" s="14" t="s">
        <v>80</v>
      </c>
      <c r="F700" s="14">
        <v>1</v>
      </c>
      <c r="G700" s="14">
        <v>120900</v>
      </c>
      <c r="H700" s="14" t="s">
        <v>81</v>
      </c>
      <c r="I700" s="14" t="s">
        <v>65</v>
      </c>
      <c r="J700" s="14" t="s">
        <v>74</v>
      </c>
      <c r="K700" s="14" t="s">
        <v>2362</v>
      </c>
    </row>
    <row r="701" spans="1:11" x14ac:dyDescent="0.35">
      <c r="A701" s="14" t="s">
        <v>2363</v>
      </c>
      <c r="B701" s="14" t="s">
        <v>2364</v>
      </c>
      <c r="C701" s="14" t="s">
        <v>234</v>
      </c>
      <c r="D701" s="14" t="s">
        <v>100</v>
      </c>
      <c r="E701" s="14" t="s">
        <v>101</v>
      </c>
      <c r="F701" s="14">
        <v>2</v>
      </c>
      <c r="G701" s="14">
        <v>132680</v>
      </c>
      <c r="H701" s="14">
        <v>5</v>
      </c>
      <c r="I701" s="14" t="s">
        <v>95</v>
      </c>
      <c r="J701" s="14" t="s">
        <v>83</v>
      </c>
      <c r="K701" s="14" t="s">
        <v>2365</v>
      </c>
    </row>
    <row r="702" spans="1:11" x14ac:dyDescent="0.35">
      <c r="A702" s="14" t="s">
        <v>2366</v>
      </c>
      <c r="B702" s="14" t="s">
        <v>2367</v>
      </c>
      <c r="C702" s="14" t="s">
        <v>411</v>
      </c>
      <c r="D702" s="14" t="s">
        <v>736</v>
      </c>
      <c r="E702" s="14" t="s">
        <v>64</v>
      </c>
      <c r="F702" s="14">
        <v>1</v>
      </c>
      <c r="G702" s="14">
        <v>179280</v>
      </c>
      <c r="H702" s="14">
        <v>5</v>
      </c>
      <c r="I702" s="14" t="s">
        <v>378</v>
      </c>
      <c r="J702" s="14" t="s">
        <v>66</v>
      </c>
      <c r="K702" s="14" t="s">
        <v>2368</v>
      </c>
    </row>
    <row r="703" spans="1:11" x14ac:dyDescent="0.35">
      <c r="A703" s="14" t="s">
        <v>2369</v>
      </c>
      <c r="B703" s="14" t="s">
        <v>2370</v>
      </c>
      <c r="C703" s="14" t="s">
        <v>1240</v>
      </c>
      <c r="D703" s="14" t="s">
        <v>216</v>
      </c>
      <c r="E703" s="14" t="s">
        <v>80</v>
      </c>
      <c r="F703" s="14">
        <v>1</v>
      </c>
      <c r="G703" s="14">
        <v>183630</v>
      </c>
      <c r="H703" s="14">
        <v>15</v>
      </c>
      <c r="I703" s="14" t="s">
        <v>57</v>
      </c>
      <c r="J703" s="14" t="s">
        <v>115</v>
      </c>
      <c r="K703" s="14"/>
    </row>
    <row r="704" spans="1:11" x14ac:dyDescent="0.35">
      <c r="A704" s="14" t="s">
        <v>2371</v>
      </c>
      <c r="B704" s="14" t="s">
        <v>980</v>
      </c>
      <c r="C704" s="14" t="s">
        <v>597</v>
      </c>
      <c r="D704" s="14" t="s">
        <v>255</v>
      </c>
      <c r="E704" s="14" t="s">
        <v>56</v>
      </c>
      <c r="F704" s="14">
        <v>1</v>
      </c>
      <c r="G704" s="14">
        <v>187670</v>
      </c>
      <c r="H704" s="14" t="s">
        <v>81</v>
      </c>
      <c r="I704" s="14" t="s">
        <v>424</v>
      </c>
      <c r="J704" s="14" t="s">
        <v>90</v>
      </c>
      <c r="K704" s="14" t="s">
        <v>2372</v>
      </c>
    </row>
    <row r="705" spans="1:11" x14ac:dyDescent="0.35">
      <c r="A705" s="14" t="s">
        <v>2373</v>
      </c>
      <c r="B705" s="14" t="s">
        <v>2374</v>
      </c>
      <c r="C705" s="14" t="s">
        <v>277</v>
      </c>
      <c r="D705" s="14" t="s">
        <v>207</v>
      </c>
      <c r="E705" s="14" t="s">
        <v>80</v>
      </c>
      <c r="F705" s="14">
        <v>2</v>
      </c>
      <c r="G705" s="14">
        <v>13360</v>
      </c>
      <c r="H705" s="14">
        <v>0</v>
      </c>
      <c r="I705" s="14" t="s">
        <v>73</v>
      </c>
      <c r="J705" s="14" t="s">
        <v>83</v>
      </c>
      <c r="K705" s="14" t="s">
        <v>2375</v>
      </c>
    </row>
    <row r="706" spans="1:11" x14ac:dyDescent="0.35">
      <c r="A706" s="14" t="s">
        <v>2376</v>
      </c>
      <c r="B706" s="14" t="s">
        <v>1577</v>
      </c>
      <c r="C706" s="14" t="s">
        <v>2377</v>
      </c>
      <c r="D706" s="14" t="s">
        <v>240</v>
      </c>
      <c r="E706" s="14" t="s">
        <v>72</v>
      </c>
      <c r="F706" s="14">
        <v>1</v>
      </c>
      <c r="G706" s="14">
        <v>159130</v>
      </c>
      <c r="H706" s="14">
        <v>0</v>
      </c>
      <c r="I706" s="14" t="s">
        <v>73</v>
      </c>
      <c r="J706" s="14" t="s">
        <v>149</v>
      </c>
      <c r="K706" s="14"/>
    </row>
    <row r="707" spans="1:11" x14ac:dyDescent="0.35">
      <c r="A707" s="14" t="s">
        <v>2378</v>
      </c>
      <c r="B707" s="14" t="s">
        <v>2379</v>
      </c>
      <c r="C707" s="14" t="s">
        <v>703</v>
      </c>
      <c r="D707" s="14" t="s">
        <v>94</v>
      </c>
      <c r="E707" s="14" t="s">
        <v>64</v>
      </c>
      <c r="F707" s="14">
        <v>3</v>
      </c>
      <c r="G707" s="14" t="s">
        <v>2380</v>
      </c>
      <c r="H707" s="14">
        <v>10</v>
      </c>
      <c r="I707" s="14" t="s">
        <v>89</v>
      </c>
      <c r="J707" s="14" t="s">
        <v>66</v>
      </c>
      <c r="K707" s="14" t="s">
        <v>2381</v>
      </c>
    </row>
    <row r="708" spans="1:11" x14ac:dyDescent="0.35">
      <c r="A708" s="14" t="s">
        <v>2382</v>
      </c>
      <c r="B708" s="14" t="s">
        <v>2311</v>
      </c>
      <c r="C708" s="14" t="s">
        <v>1009</v>
      </c>
      <c r="D708" s="14" t="s">
        <v>71</v>
      </c>
      <c r="E708" s="14" t="s">
        <v>80</v>
      </c>
      <c r="F708" s="14">
        <v>0</v>
      </c>
      <c r="G708" s="14" t="s">
        <v>2383</v>
      </c>
      <c r="H708" s="14">
        <v>-5</v>
      </c>
      <c r="I708" s="14" t="s">
        <v>57</v>
      </c>
      <c r="J708" s="14" t="s">
        <v>58</v>
      </c>
      <c r="K708" s="14" t="s">
        <v>2384</v>
      </c>
    </row>
    <row r="709" spans="1:11" x14ac:dyDescent="0.35">
      <c r="A709" s="14" t="s">
        <v>2385</v>
      </c>
      <c r="B709" s="14" t="s">
        <v>1705</v>
      </c>
      <c r="C709" s="14" t="s">
        <v>254</v>
      </c>
      <c r="D709" s="14" t="s">
        <v>63</v>
      </c>
      <c r="E709" s="14" t="s">
        <v>72</v>
      </c>
      <c r="F709" s="14">
        <v>1</v>
      </c>
      <c r="G709" s="14">
        <v>145700</v>
      </c>
      <c r="H709" s="14">
        <v>10</v>
      </c>
      <c r="I709" s="14" t="s">
        <v>121</v>
      </c>
      <c r="J709" s="14" t="s">
        <v>149</v>
      </c>
      <c r="K709" s="14"/>
    </row>
    <row r="710" spans="1:11" x14ac:dyDescent="0.35">
      <c r="A710" s="14" t="s">
        <v>2386</v>
      </c>
      <c r="B710" s="14" t="s">
        <v>2387</v>
      </c>
      <c r="C710" s="14" t="s">
        <v>306</v>
      </c>
      <c r="D710" s="14" t="s">
        <v>196</v>
      </c>
      <c r="E710" s="14" t="s">
        <v>56</v>
      </c>
      <c r="F710" s="14">
        <v>3</v>
      </c>
      <c r="G710" s="14" t="s">
        <v>2388</v>
      </c>
      <c r="H710" s="14">
        <v>10</v>
      </c>
      <c r="I710" s="14" t="s">
        <v>95</v>
      </c>
      <c r="J710" s="14" t="s">
        <v>58</v>
      </c>
      <c r="K710" s="14" t="s">
        <v>2389</v>
      </c>
    </row>
    <row r="711" spans="1:11" x14ac:dyDescent="0.35">
      <c r="A711" s="14" t="s">
        <v>2390</v>
      </c>
      <c r="B711" s="14" t="s">
        <v>2391</v>
      </c>
      <c r="C711" s="14" t="s">
        <v>1584</v>
      </c>
      <c r="D711" s="14" t="s">
        <v>55</v>
      </c>
      <c r="E711" s="14" t="s">
        <v>126</v>
      </c>
      <c r="F711" s="14">
        <v>1</v>
      </c>
      <c r="G711" s="14" t="s">
        <v>2392</v>
      </c>
      <c r="H711" s="14">
        <v>15</v>
      </c>
      <c r="I711" s="14" t="s">
        <v>73</v>
      </c>
      <c r="J711" s="14" t="s">
        <v>115</v>
      </c>
      <c r="K711" s="14"/>
    </row>
    <row r="712" spans="1:11" x14ac:dyDescent="0.35">
      <c r="A712" s="14" t="s">
        <v>2393</v>
      </c>
      <c r="B712" s="14" t="s">
        <v>2394</v>
      </c>
      <c r="C712" s="14" t="s">
        <v>162</v>
      </c>
      <c r="D712" s="14" t="s">
        <v>55</v>
      </c>
      <c r="E712" s="14" t="s">
        <v>56</v>
      </c>
      <c r="F712" s="14">
        <v>1</v>
      </c>
      <c r="G712" s="14" t="s">
        <v>2395</v>
      </c>
      <c r="H712" s="14">
        <v>0</v>
      </c>
      <c r="I712" s="14" t="s">
        <v>57</v>
      </c>
      <c r="J712" s="14" t="s">
        <v>149</v>
      </c>
      <c r="K712" s="14" t="s">
        <v>2396</v>
      </c>
    </row>
    <row r="713" spans="1:11" x14ac:dyDescent="0.35">
      <c r="A713" s="14" t="s">
        <v>2397</v>
      </c>
      <c r="B713" s="14" t="s">
        <v>364</v>
      </c>
      <c r="C713" s="14" t="s">
        <v>1240</v>
      </c>
      <c r="D713" s="14" t="s">
        <v>315</v>
      </c>
      <c r="E713" s="14" t="s">
        <v>126</v>
      </c>
      <c r="F713" s="14">
        <v>1</v>
      </c>
      <c r="G713" s="14">
        <v>112700</v>
      </c>
      <c r="H713" s="14">
        <v>15</v>
      </c>
      <c r="I713" s="14" t="s">
        <v>121</v>
      </c>
      <c r="J713" s="14" t="s">
        <v>115</v>
      </c>
      <c r="K713" s="14" t="s">
        <v>2398</v>
      </c>
    </row>
    <row r="714" spans="1:11" x14ac:dyDescent="0.35">
      <c r="A714" s="14" t="s">
        <v>2399</v>
      </c>
      <c r="B714" s="14" t="s">
        <v>2400</v>
      </c>
      <c r="C714" s="14" t="s">
        <v>573</v>
      </c>
      <c r="D714" s="14" t="s">
        <v>94</v>
      </c>
      <c r="E714" s="14" t="s">
        <v>113</v>
      </c>
      <c r="F714" s="14">
        <v>0</v>
      </c>
      <c r="G714" s="14" t="s">
        <v>2401</v>
      </c>
      <c r="H714" s="14" t="s">
        <v>81</v>
      </c>
      <c r="I714" s="14" t="s">
        <v>57</v>
      </c>
      <c r="J714" s="14" t="s">
        <v>83</v>
      </c>
      <c r="K714" s="14"/>
    </row>
    <row r="715" spans="1:11" x14ac:dyDescent="0.35">
      <c r="A715" s="14" t="s">
        <v>2402</v>
      </c>
      <c r="B715" s="14" t="s">
        <v>2403</v>
      </c>
      <c r="C715" s="14" t="s">
        <v>477</v>
      </c>
      <c r="D715" s="14" t="s">
        <v>231</v>
      </c>
      <c r="E715" s="14" t="s">
        <v>113</v>
      </c>
      <c r="F715" s="14">
        <v>1</v>
      </c>
      <c r="G715" s="14">
        <v>194010</v>
      </c>
      <c r="H715" s="14">
        <v>10</v>
      </c>
      <c r="I715" s="14" t="s">
        <v>378</v>
      </c>
      <c r="J715" s="14" t="s">
        <v>115</v>
      </c>
      <c r="K715" s="14"/>
    </row>
    <row r="716" spans="1:11" x14ac:dyDescent="0.35">
      <c r="A716" s="14" t="s">
        <v>2404</v>
      </c>
      <c r="B716" s="14" t="s">
        <v>2405</v>
      </c>
      <c r="C716" s="14" t="s">
        <v>1058</v>
      </c>
      <c r="D716" s="14" t="s">
        <v>255</v>
      </c>
      <c r="E716" s="14" t="s">
        <v>56</v>
      </c>
      <c r="F716" s="14">
        <v>3</v>
      </c>
      <c r="G716" s="14">
        <v>100450</v>
      </c>
      <c r="H716" s="14" t="s">
        <v>81</v>
      </c>
      <c r="I716" s="14" t="s">
        <v>114</v>
      </c>
      <c r="J716" s="14" t="s">
        <v>74</v>
      </c>
      <c r="K716" s="14" t="s">
        <v>2406</v>
      </c>
    </row>
    <row r="717" spans="1:11" x14ac:dyDescent="0.35">
      <c r="A717" s="14" t="s">
        <v>2407</v>
      </c>
      <c r="B717" s="14" t="s">
        <v>2408</v>
      </c>
      <c r="C717" s="14" t="s">
        <v>411</v>
      </c>
      <c r="D717" s="14" t="s">
        <v>240</v>
      </c>
      <c r="E717" s="14" t="s">
        <v>108</v>
      </c>
      <c r="F717" s="14">
        <v>0</v>
      </c>
      <c r="G717" s="14" t="s">
        <v>2409</v>
      </c>
      <c r="H717" s="14">
        <v>0</v>
      </c>
      <c r="I717" s="14" t="s">
        <v>95</v>
      </c>
      <c r="J717" s="14" t="s">
        <v>74</v>
      </c>
      <c r="K717" s="14" t="s">
        <v>2410</v>
      </c>
    </row>
    <row r="718" spans="1:11" x14ac:dyDescent="0.35">
      <c r="A718" s="14" t="s">
        <v>2411</v>
      </c>
      <c r="B718" s="14" t="s">
        <v>2412</v>
      </c>
      <c r="C718" s="14" t="s">
        <v>786</v>
      </c>
      <c r="D718" s="14" t="s">
        <v>71</v>
      </c>
      <c r="E718" s="14" t="s">
        <v>72</v>
      </c>
      <c r="F718" s="14">
        <v>1</v>
      </c>
      <c r="G718" s="14" t="s">
        <v>2413</v>
      </c>
      <c r="H718" s="14">
        <v>15</v>
      </c>
      <c r="I718" s="14" t="s">
        <v>65</v>
      </c>
      <c r="J718" s="14" t="s">
        <v>174</v>
      </c>
      <c r="K718" s="14" t="s">
        <v>2414</v>
      </c>
    </row>
    <row r="719" spans="1:11" x14ac:dyDescent="0.35">
      <c r="A719" s="14" t="s">
        <v>2415</v>
      </c>
      <c r="B719" s="14" t="s">
        <v>2416</v>
      </c>
      <c r="C719" s="14" t="s">
        <v>831</v>
      </c>
      <c r="D719" s="14" t="s">
        <v>163</v>
      </c>
      <c r="E719" s="14" t="s">
        <v>80</v>
      </c>
      <c r="F719" s="14">
        <v>1</v>
      </c>
      <c r="G719" s="14">
        <v>47230</v>
      </c>
      <c r="H719" s="14">
        <v>15</v>
      </c>
      <c r="I719" s="14" t="s">
        <v>95</v>
      </c>
      <c r="J719" s="14" t="s">
        <v>90</v>
      </c>
      <c r="K719" s="14" t="s">
        <v>2417</v>
      </c>
    </row>
    <row r="720" spans="1:11" x14ac:dyDescent="0.35">
      <c r="A720" s="14" t="s">
        <v>2418</v>
      </c>
      <c r="B720" s="14" t="s">
        <v>2419</v>
      </c>
      <c r="C720" s="14" t="s">
        <v>411</v>
      </c>
      <c r="D720" s="14" t="s">
        <v>1309</v>
      </c>
      <c r="E720" s="14" t="s">
        <v>56</v>
      </c>
      <c r="F720" s="14">
        <v>1</v>
      </c>
      <c r="G720" s="14">
        <v>67090</v>
      </c>
      <c r="H720" s="14"/>
      <c r="I720" s="14" t="s">
        <v>121</v>
      </c>
      <c r="J720" s="14" t="s">
        <v>149</v>
      </c>
      <c r="K720" s="14"/>
    </row>
    <row r="721" spans="1:11" x14ac:dyDescent="0.35">
      <c r="A721" s="14" t="s">
        <v>2420</v>
      </c>
      <c r="B721" s="14" t="s">
        <v>2421</v>
      </c>
      <c r="C721" s="14" t="s">
        <v>1244</v>
      </c>
      <c r="D721" s="14" t="s">
        <v>948</v>
      </c>
      <c r="E721" s="14" t="s">
        <v>113</v>
      </c>
      <c r="F721" s="14">
        <v>1</v>
      </c>
      <c r="G721" s="14">
        <v>218890</v>
      </c>
      <c r="H721" s="14"/>
      <c r="I721" s="14" t="s">
        <v>95</v>
      </c>
      <c r="J721" s="14" t="s">
        <v>115</v>
      </c>
      <c r="K721" s="14"/>
    </row>
    <row r="722" spans="1:11" x14ac:dyDescent="0.35">
      <c r="A722" s="14" t="s">
        <v>2422</v>
      </c>
      <c r="B722" s="14" t="s">
        <v>2423</v>
      </c>
      <c r="C722" s="14" t="s">
        <v>290</v>
      </c>
      <c r="D722" s="14" t="s">
        <v>463</v>
      </c>
      <c r="E722" s="14" t="s">
        <v>80</v>
      </c>
      <c r="F722" s="14">
        <v>-1</v>
      </c>
      <c r="G722" s="14">
        <v>31140</v>
      </c>
      <c r="H722" s="14">
        <v>15</v>
      </c>
      <c r="I722" s="14" t="s">
        <v>268</v>
      </c>
      <c r="J722" s="14" t="s">
        <v>90</v>
      </c>
      <c r="K722" s="14"/>
    </row>
    <row r="723" spans="1:11" x14ac:dyDescent="0.35">
      <c r="A723" s="14" t="s">
        <v>2424</v>
      </c>
      <c r="B723" s="14" t="s">
        <v>1655</v>
      </c>
      <c r="C723" s="14"/>
      <c r="D723" s="14" t="s">
        <v>550</v>
      </c>
      <c r="E723" s="14" t="s">
        <v>72</v>
      </c>
      <c r="F723" s="14">
        <v>1</v>
      </c>
      <c r="G723" s="14">
        <v>61290</v>
      </c>
      <c r="H723" s="14">
        <v>-5</v>
      </c>
      <c r="I723" s="14" t="s">
        <v>65</v>
      </c>
      <c r="J723" s="14" t="s">
        <v>66</v>
      </c>
      <c r="K723" s="14" t="s">
        <v>2425</v>
      </c>
    </row>
    <row r="724" spans="1:11" x14ac:dyDescent="0.35">
      <c r="A724" s="14" t="s">
        <v>2426</v>
      </c>
      <c r="B724" s="14" t="s">
        <v>2427</v>
      </c>
      <c r="C724" s="14" t="s">
        <v>87</v>
      </c>
      <c r="D724" s="14" t="s">
        <v>342</v>
      </c>
      <c r="E724" s="14" t="s">
        <v>108</v>
      </c>
      <c r="F724" s="14">
        <v>1</v>
      </c>
      <c r="G724" s="14">
        <v>218120</v>
      </c>
      <c r="H724" s="14">
        <v>15</v>
      </c>
      <c r="I724" s="14" t="s">
        <v>95</v>
      </c>
      <c r="J724" s="14" t="s">
        <v>66</v>
      </c>
      <c r="K724" s="14" t="s">
        <v>2428</v>
      </c>
    </row>
    <row r="725" spans="1:11" x14ac:dyDescent="0.35">
      <c r="A725" s="14" t="s">
        <v>2429</v>
      </c>
      <c r="B725" s="14" t="s">
        <v>2430</v>
      </c>
      <c r="C725" s="14" t="s">
        <v>1470</v>
      </c>
      <c r="D725" s="14" t="s">
        <v>63</v>
      </c>
      <c r="E725" s="14" t="s">
        <v>108</v>
      </c>
      <c r="F725" s="14">
        <v>2</v>
      </c>
      <c r="G725" s="14">
        <v>96380</v>
      </c>
      <c r="H725" s="14">
        <v>0</v>
      </c>
      <c r="I725" s="14" t="s">
        <v>268</v>
      </c>
      <c r="J725" s="14" t="s">
        <v>149</v>
      </c>
      <c r="K725" s="14"/>
    </row>
    <row r="726" spans="1:11" x14ac:dyDescent="0.35">
      <c r="A726" s="14" t="s">
        <v>2431</v>
      </c>
      <c r="B726" s="14" t="s">
        <v>2432</v>
      </c>
      <c r="C726" s="14" t="s">
        <v>477</v>
      </c>
      <c r="D726" s="14" t="s">
        <v>107</v>
      </c>
      <c r="E726" s="14" t="s">
        <v>56</v>
      </c>
      <c r="F726" s="14">
        <v>1</v>
      </c>
      <c r="G726" s="14">
        <v>213470</v>
      </c>
      <c r="H726" s="14">
        <v>-5</v>
      </c>
      <c r="I726" s="14" t="s">
        <v>121</v>
      </c>
      <c r="J726" s="14" t="s">
        <v>74</v>
      </c>
      <c r="K726" s="14" t="s">
        <v>2433</v>
      </c>
    </row>
    <row r="727" spans="1:11" x14ac:dyDescent="0.35">
      <c r="A727" s="14" t="s">
        <v>2434</v>
      </c>
      <c r="B727" s="14" t="s">
        <v>2435</v>
      </c>
      <c r="C727" s="14" t="s">
        <v>99</v>
      </c>
      <c r="D727" s="14" t="s">
        <v>196</v>
      </c>
      <c r="E727" s="14" t="s">
        <v>108</v>
      </c>
      <c r="F727" s="14">
        <v>0</v>
      </c>
      <c r="G727" s="14">
        <v>91130</v>
      </c>
      <c r="H727" s="14"/>
      <c r="I727" s="14" t="s">
        <v>250</v>
      </c>
      <c r="J727" s="14" t="s">
        <v>83</v>
      </c>
      <c r="K727" s="14"/>
    </row>
    <row r="728" spans="1:11" x14ac:dyDescent="0.35">
      <c r="A728" s="14" t="s">
        <v>2436</v>
      </c>
      <c r="B728" s="14" t="s">
        <v>2437</v>
      </c>
      <c r="C728" s="14" t="s">
        <v>1321</v>
      </c>
      <c r="D728" s="14" t="s">
        <v>576</v>
      </c>
      <c r="E728" s="14" t="s">
        <v>64</v>
      </c>
      <c r="F728" s="14">
        <v>1</v>
      </c>
      <c r="G728" s="14">
        <v>57960</v>
      </c>
      <c r="H728" s="14">
        <v>5</v>
      </c>
      <c r="I728" s="14" t="s">
        <v>95</v>
      </c>
      <c r="J728" s="14" t="s">
        <v>174</v>
      </c>
      <c r="K728" s="14" t="s">
        <v>2438</v>
      </c>
    </row>
    <row r="729" spans="1:11" x14ac:dyDescent="0.35">
      <c r="A729" s="14" t="s">
        <v>2439</v>
      </c>
      <c r="B729" s="14" t="s">
        <v>2440</v>
      </c>
      <c r="C729" s="14" t="s">
        <v>106</v>
      </c>
      <c r="D729" s="14" t="s">
        <v>295</v>
      </c>
      <c r="E729" s="14" t="s">
        <v>64</v>
      </c>
      <c r="F729" s="14">
        <v>1</v>
      </c>
      <c r="G729" s="14">
        <v>33330</v>
      </c>
      <c r="H729" s="14">
        <v>0</v>
      </c>
      <c r="I729" s="14" t="s">
        <v>73</v>
      </c>
      <c r="J729" s="14" t="s">
        <v>90</v>
      </c>
      <c r="K729" s="14" t="s">
        <v>2441</v>
      </c>
    </row>
    <row r="730" spans="1:11" x14ac:dyDescent="0.35">
      <c r="A730" s="14" t="s">
        <v>2442</v>
      </c>
      <c r="B730" s="14" t="s">
        <v>2443</v>
      </c>
      <c r="C730" s="14" t="s">
        <v>54</v>
      </c>
      <c r="D730" s="14" t="s">
        <v>948</v>
      </c>
      <c r="E730" s="14" t="s">
        <v>64</v>
      </c>
      <c r="F730" s="14">
        <v>1</v>
      </c>
      <c r="G730" s="14" t="s">
        <v>2444</v>
      </c>
      <c r="H730" s="14" t="s">
        <v>81</v>
      </c>
      <c r="I730" s="14" t="s">
        <v>82</v>
      </c>
      <c r="J730" s="14" t="s">
        <v>90</v>
      </c>
      <c r="K730" s="14" t="s">
        <v>2445</v>
      </c>
    </row>
    <row r="731" spans="1:11" x14ac:dyDescent="0.35">
      <c r="A731" s="14" t="s">
        <v>2446</v>
      </c>
      <c r="B731" s="14" t="s">
        <v>2447</v>
      </c>
      <c r="C731" s="14" t="s">
        <v>355</v>
      </c>
      <c r="D731" s="14" t="s">
        <v>112</v>
      </c>
      <c r="E731" s="14" t="s">
        <v>101</v>
      </c>
      <c r="F731" s="14">
        <v>3</v>
      </c>
      <c r="G731" s="14">
        <v>231480</v>
      </c>
      <c r="H731" s="14">
        <v>-5</v>
      </c>
      <c r="I731" s="14" t="s">
        <v>95</v>
      </c>
      <c r="J731" s="14" t="s">
        <v>90</v>
      </c>
      <c r="K731" s="14" t="s">
        <v>2448</v>
      </c>
    </row>
    <row r="732" spans="1:11" x14ac:dyDescent="0.35">
      <c r="A732" s="14" t="s">
        <v>2449</v>
      </c>
      <c r="B732" s="14" t="s">
        <v>328</v>
      </c>
      <c r="C732" s="14" t="s">
        <v>129</v>
      </c>
      <c r="D732" s="14" t="s">
        <v>154</v>
      </c>
      <c r="E732" s="14" t="s">
        <v>113</v>
      </c>
      <c r="F732" s="14">
        <v>1</v>
      </c>
      <c r="G732" s="14">
        <v>29510</v>
      </c>
      <c r="H732" s="14">
        <v>-5</v>
      </c>
      <c r="I732" s="14" t="s">
        <v>95</v>
      </c>
      <c r="J732" s="14" t="s">
        <v>83</v>
      </c>
      <c r="K732" s="14" t="s">
        <v>2450</v>
      </c>
    </row>
    <row r="733" spans="1:11" x14ac:dyDescent="0.35">
      <c r="A733" s="14" t="s">
        <v>2451</v>
      </c>
      <c r="B733" s="14" t="s">
        <v>2452</v>
      </c>
      <c r="C733" s="14" t="s">
        <v>1006</v>
      </c>
      <c r="D733" s="14" t="s">
        <v>79</v>
      </c>
      <c r="E733" s="14" t="s">
        <v>113</v>
      </c>
      <c r="F733" s="14">
        <v>2</v>
      </c>
      <c r="G733" s="14">
        <v>105810</v>
      </c>
      <c r="H733" s="14">
        <v>10</v>
      </c>
      <c r="I733" s="14" t="s">
        <v>114</v>
      </c>
      <c r="J733" s="14" t="s">
        <v>174</v>
      </c>
      <c r="K733" s="14" t="s">
        <v>2453</v>
      </c>
    </row>
    <row r="734" spans="1:11" x14ac:dyDescent="0.35">
      <c r="A734" s="14" t="s">
        <v>2454</v>
      </c>
      <c r="B734" s="14" t="s">
        <v>2455</v>
      </c>
      <c r="C734" s="14" t="s">
        <v>139</v>
      </c>
      <c r="D734" s="14" t="s">
        <v>529</v>
      </c>
      <c r="E734" s="14" t="s">
        <v>72</v>
      </c>
      <c r="F734" s="14">
        <v>3</v>
      </c>
      <c r="G734" s="14">
        <v>13950</v>
      </c>
      <c r="H734" s="14">
        <v>-5</v>
      </c>
      <c r="I734" s="14" t="s">
        <v>73</v>
      </c>
      <c r="J734" s="14" t="s">
        <v>74</v>
      </c>
      <c r="K734" s="14" t="s">
        <v>2456</v>
      </c>
    </row>
    <row r="735" spans="1:11" x14ac:dyDescent="0.35">
      <c r="A735" s="14" t="s">
        <v>2457</v>
      </c>
      <c r="B735" s="14" t="s">
        <v>2458</v>
      </c>
      <c r="C735" s="14" t="s">
        <v>674</v>
      </c>
      <c r="D735" s="14" t="s">
        <v>1309</v>
      </c>
      <c r="E735" s="14" t="s">
        <v>72</v>
      </c>
      <c r="F735" s="14">
        <v>3</v>
      </c>
      <c r="G735" s="14">
        <v>168740</v>
      </c>
      <c r="H735" s="14">
        <v>10</v>
      </c>
      <c r="I735" s="14" t="s">
        <v>95</v>
      </c>
      <c r="J735" s="14" t="s">
        <v>115</v>
      </c>
      <c r="K735" s="14" t="s">
        <v>2459</v>
      </c>
    </row>
    <row r="736" spans="1:11" x14ac:dyDescent="0.35">
      <c r="A736" s="14" t="s">
        <v>2460</v>
      </c>
      <c r="B736" s="14" t="s">
        <v>2461</v>
      </c>
      <c r="C736" s="14" t="s">
        <v>621</v>
      </c>
      <c r="D736" s="14" t="s">
        <v>144</v>
      </c>
      <c r="E736" s="14" t="s">
        <v>80</v>
      </c>
      <c r="F736" s="14">
        <v>3</v>
      </c>
      <c r="G736" s="14">
        <v>190990</v>
      </c>
      <c r="H736" s="14">
        <v>0</v>
      </c>
      <c r="I736" s="14" t="s">
        <v>89</v>
      </c>
      <c r="J736" s="14" t="s">
        <v>90</v>
      </c>
      <c r="K736" s="14"/>
    </row>
    <row r="737" spans="1:11" x14ac:dyDescent="0.35">
      <c r="A737" s="14" t="s">
        <v>2462</v>
      </c>
      <c r="B737" s="14" t="s">
        <v>984</v>
      </c>
      <c r="C737" s="14" t="s">
        <v>368</v>
      </c>
      <c r="D737" s="14" t="s">
        <v>196</v>
      </c>
      <c r="E737" s="14" t="s">
        <v>101</v>
      </c>
      <c r="F737" s="14">
        <v>-1</v>
      </c>
      <c r="G737" s="14" t="s">
        <v>2463</v>
      </c>
      <c r="H737" s="14">
        <v>0</v>
      </c>
      <c r="I737" s="14" t="s">
        <v>158</v>
      </c>
      <c r="J737" s="14" t="s">
        <v>174</v>
      </c>
      <c r="K737" s="14" t="s">
        <v>2464</v>
      </c>
    </row>
    <row r="738" spans="1:11" x14ac:dyDescent="0.35">
      <c r="A738" s="14" t="s">
        <v>2465</v>
      </c>
      <c r="B738" s="14" t="s">
        <v>1066</v>
      </c>
      <c r="C738" s="14" t="s">
        <v>1224</v>
      </c>
      <c r="D738" s="14" t="s">
        <v>88</v>
      </c>
      <c r="E738" s="14" t="s">
        <v>113</v>
      </c>
      <c r="F738" s="14">
        <v>-1</v>
      </c>
      <c r="G738" s="14">
        <v>185680</v>
      </c>
      <c r="H738" s="14">
        <v>5</v>
      </c>
      <c r="I738" s="14" t="s">
        <v>95</v>
      </c>
      <c r="J738" s="14" t="s">
        <v>149</v>
      </c>
      <c r="K738" s="14"/>
    </row>
    <row r="739" spans="1:11" x14ac:dyDescent="0.35">
      <c r="A739" s="14" t="s">
        <v>2466</v>
      </c>
      <c r="B739" s="14" t="s">
        <v>2467</v>
      </c>
      <c r="C739" s="14" t="s">
        <v>143</v>
      </c>
      <c r="D739" s="14" t="s">
        <v>948</v>
      </c>
      <c r="E739" s="14" t="s">
        <v>72</v>
      </c>
      <c r="F739" s="14">
        <v>2</v>
      </c>
      <c r="G739" s="14">
        <v>102480</v>
      </c>
      <c r="H739" s="14">
        <v>0</v>
      </c>
      <c r="I739" s="14" t="s">
        <v>378</v>
      </c>
      <c r="J739" s="14" t="s">
        <v>90</v>
      </c>
      <c r="K739" s="14"/>
    </row>
    <row r="740" spans="1:11" x14ac:dyDescent="0.35">
      <c r="A740" s="14" t="s">
        <v>2468</v>
      </c>
      <c r="B740" s="14" t="s">
        <v>2469</v>
      </c>
      <c r="C740" s="14" t="s">
        <v>791</v>
      </c>
      <c r="D740" s="14" t="s">
        <v>684</v>
      </c>
      <c r="E740" s="14" t="s">
        <v>101</v>
      </c>
      <c r="F740" s="14">
        <v>1</v>
      </c>
      <c r="G740" s="14" t="s">
        <v>2470</v>
      </c>
      <c r="H740" s="14">
        <v>0</v>
      </c>
      <c r="I740" s="14" t="s">
        <v>121</v>
      </c>
      <c r="J740" s="14" t="s">
        <v>66</v>
      </c>
      <c r="K740" s="14" t="s">
        <v>2471</v>
      </c>
    </row>
    <row r="741" spans="1:11" x14ac:dyDescent="0.35">
      <c r="A741" s="14" t="s">
        <v>2472</v>
      </c>
      <c r="B741" s="14" t="s">
        <v>2473</v>
      </c>
      <c r="C741" s="14" t="s">
        <v>831</v>
      </c>
      <c r="D741" s="14" t="s">
        <v>638</v>
      </c>
      <c r="E741" s="14" t="s">
        <v>101</v>
      </c>
      <c r="F741" s="14">
        <v>1</v>
      </c>
      <c r="G741" s="14" t="s">
        <v>2474</v>
      </c>
      <c r="H741" s="14">
        <v>0</v>
      </c>
      <c r="I741" s="14" t="s">
        <v>121</v>
      </c>
      <c r="J741" s="14" t="s">
        <v>66</v>
      </c>
      <c r="K741" s="14" t="s">
        <v>2475</v>
      </c>
    </row>
    <row r="742" spans="1:11" x14ac:dyDescent="0.35">
      <c r="A742" s="14" t="s">
        <v>2476</v>
      </c>
      <c r="B742" s="14" t="s">
        <v>2477</v>
      </c>
      <c r="C742" s="14" t="s">
        <v>277</v>
      </c>
      <c r="D742" s="14" t="s">
        <v>107</v>
      </c>
      <c r="E742" s="14" t="s">
        <v>113</v>
      </c>
      <c r="F742" s="14">
        <v>0</v>
      </c>
      <c r="G742" s="14">
        <v>244350</v>
      </c>
      <c r="H742" s="14" t="s">
        <v>81</v>
      </c>
      <c r="I742" s="14" t="s">
        <v>89</v>
      </c>
      <c r="J742" s="14" t="s">
        <v>66</v>
      </c>
      <c r="K742" s="14" t="s">
        <v>2478</v>
      </c>
    </row>
    <row r="743" spans="1:11" x14ac:dyDescent="0.35">
      <c r="A743" s="14" t="s">
        <v>2479</v>
      </c>
      <c r="B743" s="14" t="s">
        <v>2480</v>
      </c>
      <c r="C743" s="14" t="s">
        <v>396</v>
      </c>
      <c r="D743" s="14" t="s">
        <v>249</v>
      </c>
      <c r="E743" s="14" t="s">
        <v>64</v>
      </c>
      <c r="F743" s="14">
        <v>1</v>
      </c>
      <c r="G743" s="14">
        <v>22830</v>
      </c>
      <c r="H743" s="14">
        <v>5</v>
      </c>
      <c r="I743" s="14" t="s">
        <v>95</v>
      </c>
      <c r="J743" s="14" t="s">
        <v>74</v>
      </c>
      <c r="K743" s="14" t="s">
        <v>2481</v>
      </c>
    </row>
    <row r="744" spans="1:11" x14ac:dyDescent="0.35">
      <c r="A744" s="14" t="s">
        <v>2482</v>
      </c>
      <c r="B744" s="14" t="s">
        <v>2483</v>
      </c>
      <c r="C744" s="14" t="s">
        <v>93</v>
      </c>
      <c r="D744" s="14" t="s">
        <v>163</v>
      </c>
      <c r="E744" s="14" t="s">
        <v>108</v>
      </c>
      <c r="F744" s="14">
        <v>0</v>
      </c>
      <c r="G744" s="14">
        <v>154630</v>
      </c>
      <c r="H744" s="14">
        <v>-5</v>
      </c>
      <c r="I744" s="14" t="s">
        <v>57</v>
      </c>
      <c r="J744" s="14" t="s">
        <v>90</v>
      </c>
      <c r="K744" s="14" t="s">
        <v>2484</v>
      </c>
    </row>
    <row r="745" spans="1:11" x14ac:dyDescent="0.35">
      <c r="A745" s="14" t="s">
        <v>2485</v>
      </c>
      <c r="B745" s="14" t="s">
        <v>2486</v>
      </c>
      <c r="C745" s="14" t="s">
        <v>187</v>
      </c>
      <c r="D745" s="14" t="s">
        <v>348</v>
      </c>
      <c r="E745" s="14" t="s">
        <v>56</v>
      </c>
      <c r="F745" s="14">
        <v>-1</v>
      </c>
      <c r="G745" s="14">
        <v>151930</v>
      </c>
      <c r="H745" s="14">
        <v>5</v>
      </c>
      <c r="I745" s="14" t="s">
        <v>65</v>
      </c>
      <c r="J745" s="14" t="s">
        <v>58</v>
      </c>
      <c r="K745" s="14" t="s">
        <v>2487</v>
      </c>
    </row>
    <row r="746" spans="1:11" x14ac:dyDescent="0.35">
      <c r="A746" s="14" t="s">
        <v>2488</v>
      </c>
      <c r="B746" s="14" t="s">
        <v>2489</v>
      </c>
      <c r="C746" s="14" t="s">
        <v>389</v>
      </c>
      <c r="D746" s="14" t="s">
        <v>1544</v>
      </c>
      <c r="E746" s="14" t="s">
        <v>113</v>
      </c>
      <c r="F746" s="14">
        <v>1</v>
      </c>
      <c r="G746" s="14" t="s">
        <v>2490</v>
      </c>
      <c r="H746" s="14">
        <v>0</v>
      </c>
      <c r="I746" s="14" t="s">
        <v>65</v>
      </c>
      <c r="J746" s="14" t="s">
        <v>66</v>
      </c>
      <c r="K746" s="14" t="s">
        <v>2491</v>
      </c>
    </row>
    <row r="747" spans="1:11" x14ac:dyDescent="0.35">
      <c r="A747" s="14" t="s">
        <v>2492</v>
      </c>
      <c r="B747" s="14" t="s">
        <v>2493</v>
      </c>
      <c r="C747" s="14" t="s">
        <v>2494</v>
      </c>
      <c r="D747" s="14" t="s">
        <v>212</v>
      </c>
      <c r="E747" s="14" t="s">
        <v>113</v>
      </c>
      <c r="F747" s="14">
        <v>1</v>
      </c>
      <c r="G747" s="14">
        <v>137420</v>
      </c>
      <c r="H747" s="14">
        <v>0</v>
      </c>
      <c r="I747" s="14" t="s">
        <v>121</v>
      </c>
      <c r="J747" s="14" t="s">
        <v>66</v>
      </c>
      <c r="K747" s="14" t="s">
        <v>2495</v>
      </c>
    </row>
    <row r="748" spans="1:11" x14ac:dyDescent="0.35">
      <c r="A748" s="14" t="s">
        <v>2496</v>
      </c>
      <c r="B748" s="14" t="s">
        <v>2497</v>
      </c>
      <c r="C748" s="14" t="s">
        <v>573</v>
      </c>
      <c r="D748" s="14" t="s">
        <v>264</v>
      </c>
      <c r="E748" s="14" t="s">
        <v>72</v>
      </c>
      <c r="F748" s="14">
        <v>3</v>
      </c>
      <c r="G748" s="14">
        <v>23600</v>
      </c>
      <c r="H748" s="14">
        <v>0</v>
      </c>
      <c r="I748" s="14" t="s">
        <v>65</v>
      </c>
      <c r="J748" s="14" t="s">
        <v>174</v>
      </c>
      <c r="K748" s="14" t="s">
        <v>2498</v>
      </c>
    </row>
    <row r="749" spans="1:11" x14ac:dyDescent="0.35">
      <c r="A749" s="14" t="s">
        <v>2499</v>
      </c>
      <c r="B749" s="14" t="s">
        <v>712</v>
      </c>
      <c r="C749" s="14" t="s">
        <v>444</v>
      </c>
      <c r="D749" s="14" t="s">
        <v>432</v>
      </c>
      <c r="E749" s="14" t="s">
        <v>72</v>
      </c>
      <c r="F749" s="14">
        <v>2</v>
      </c>
      <c r="G749" s="14" t="s">
        <v>2500</v>
      </c>
      <c r="H749" s="14">
        <v>0</v>
      </c>
      <c r="I749" s="14" t="s">
        <v>424</v>
      </c>
      <c r="J749" s="14" t="s">
        <v>174</v>
      </c>
      <c r="K749" s="14" t="s">
        <v>2501</v>
      </c>
    </row>
    <row r="750" spans="1:11" x14ac:dyDescent="0.35">
      <c r="A750" s="14" t="s">
        <v>2502</v>
      </c>
      <c r="B750" s="14" t="s">
        <v>2503</v>
      </c>
      <c r="C750" s="14" t="s">
        <v>753</v>
      </c>
      <c r="D750" s="14" t="s">
        <v>638</v>
      </c>
      <c r="E750" s="14" t="s">
        <v>80</v>
      </c>
      <c r="F750" s="14">
        <v>2</v>
      </c>
      <c r="G750" s="14" t="s">
        <v>2504</v>
      </c>
      <c r="H750" s="14">
        <v>0</v>
      </c>
      <c r="I750" s="14" t="s">
        <v>82</v>
      </c>
      <c r="J750" s="14" t="s">
        <v>58</v>
      </c>
      <c r="K750" s="14" t="s">
        <v>2505</v>
      </c>
    </row>
    <row r="751" spans="1:11" x14ac:dyDescent="0.35">
      <c r="A751" s="14" t="s">
        <v>2506</v>
      </c>
      <c r="B751" s="14" t="s">
        <v>2507</v>
      </c>
      <c r="C751" s="14" t="s">
        <v>314</v>
      </c>
      <c r="D751" s="14" t="s">
        <v>216</v>
      </c>
      <c r="E751" s="14" t="s">
        <v>80</v>
      </c>
      <c r="F751" s="14">
        <v>2</v>
      </c>
      <c r="G751" s="14" t="s">
        <v>2508</v>
      </c>
      <c r="H751" s="14"/>
      <c r="I751" s="14" t="s">
        <v>73</v>
      </c>
      <c r="J751" s="14" t="s">
        <v>74</v>
      </c>
      <c r="K751" s="14" t="s">
        <v>2509</v>
      </c>
    </row>
    <row r="752" spans="1:11" x14ac:dyDescent="0.35">
      <c r="A752" s="14" t="s">
        <v>2510</v>
      </c>
      <c r="B752" s="14" t="s">
        <v>2511</v>
      </c>
      <c r="C752" s="14" t="s">
        <v>524</v>
      </c>
      <c r="D752" s="14" t="s">
        <v>342</v>
      </c>
      <c r="E752" s="14" t="s">
        <v>64</v>
      </c>
      <c r="F752" s="14">
        <v>2</v>
      </c>
      <c r="G752" s="14">
        <v>96320</v>
      </c>
      <c r="H752" s="14"/>
      <c r="I752" s="14" t="s">
        <v>95</v>
      </c>
      <c r="J752" s="14" t="s">
        <v>83</v>
      </c>
      <c r="K752" s="14"/>
    </row>
    <row r="753" spans="1:11" x14ac:dyDescent="0.35">
      <c r="A753" s="14" t="s">
        <v>2512</v>
      </c>
      <c r="B753" s="14" t="s">
        <v>2513</v>
      </c>
      <c r="C753" s="14" t="s">
        <v>1378</v>
      </c>
      <c r="D753" s="14" t="s">
        <v>196</v>
      </c>
      <c r="E753" s="14" t="s">
        <v>56</v>
      </c>
      <c r="F753" s="14">
        <v>1</v>
      </c>
      <c r="G753" s="14">
        <v>20770</v>
      </c>
      <c r="H753" s="14" t="s">
        <v>81</v>
      </c>
      <c r="I753" s="14" t="s">
        <v>424</v>
      </c>
      <c r="J753" s="14" t="s">
        <v>83</v>
      </c>
      <c r="K753" s="14"/>
    </row>
    <row r="754" spans="1:11" x14ac:dyDescent="0.35">
      <c r="A754" s="14" t="s">
        <v>2514</v>
      </c>
      <c r="B754" s="14" t="s">
        <v>2515</v>
      </c>
      <c r="C754" s="14" t="s">
        <v>753</v>
      </c>
      <c r="D754" s="14" t="s">
        <v>278</v>
      </c>
      <c r="E754" s="14" t="s">
        <v>113</v>
      </c>
      <c r="F754" s="14">
        <v>2</v>
      </c>
      <c r="G754" s="14">
        <v>23140</v>
      </c>
      <c r="H754" s="14">
        <v>5</v>
      </c>
      <c r="I754" s="14" t="s">
        <v>65</v>
      </c>
      <c r="J754" s="14" t="s">
        <v>74</v>
      </c>
      <c r="K754" s="14" t="s">
        <v>2516</v>
      </c>
    </row>
    <row r="755" spans="1:11" x14ac:dyDescent="0.35">
      <c r="A755" s="14" t="s">
        <v>2517</v>
      </c>
      <c r="B755" s="14" t="s">
        <v>2518</v>
      </c>
      <c r="C755" s="14" t="s">
        <v>1332</v>
      </c>
      <c r="D755" s="14" t="s">
        <v>684</v>
      </c>
      <c r="E755" s="14" t="s">
        <v>56</v>
      </c>
      <c r="F755" s="14">
        <v>0</v>
      </c>
      <c r="G755" s="14">
        <v>4480</v>
      </c>
      <c r="H755" s="14">
        <v>0</v>
      </c>
      <c r="I755" s="14" t="s">
        <v>114</v>
      </c>
      <c r="J755" s="14" t="s">
        <v>58</v>
      </c>
      <c r="K755" s="14" t="s">
        <v>2519</v>
      </c>
    </row>
    <row r="756" spans="1:11" x14ac:dyDescent="0.35">
      <c r="A756" s="14" t="s">
        <v>2520</v>
      </c>
      <c r="B756" s="14" t="s">
        <v>2521</v>
      </c>
      <c r="C756" s="14" t="s">
        <v>1240</v>
      </c>
      <c r="D756" s="14" t="s">
        <v>310</v>
      </c>
      <c r="E756" s="14" t="s">
        <v>80</v>
      </c>
      <c r="F756" s="14">
        <v>1</v>
      </c>
      <c r="G756" s="14" t="s">
        <v>2522</v>
      </c>
      <c r="H756" s="14">
        <v>5</v>
      </c>
      <c r="I756" s="14" t="s">
        <v>268</v>
      </c>
      <c r="J756" s="14" t="s">
        <v>149</v>
      </c>
      <c r="K756" s="14"/>
    </row>
    <row r="757" spans="1:11" x14ac:dyDescent="0.35">
      <c r="A757" s="14" t="s">
        <v>2523</v>
      </c>
      <c r="B757" s="14" t="s">
        <v>2524</v>
      </c>
      <c r="C757" s="14" t="s">
        <v>462</v>
      </c>
      <c r="D757" s="14" t="s">
        <v>948</v>
      </c>
      <c r="E757" s="14" t="s">
        <v>64</v>
      </c>
      <c r="F757" s="14">
        <v>2</v>
      </c>
      <c r="G757" s="14">
        <v>71850</v>
      </c>
      <c r="H757" s="14">
        <v>10</v>
      </c>
      <c r="I757" s="14" t="s">
        <v>65</v>
      </c>
      <c r="J757" s="14" t="s">
        <v>90</v>
      </c>
      <c r="K757" s="14"/>
    </row>
    <row r="758" spans="1:11" x14ac:dyDescent="0.35">
      <c r="A758" s="14" t="s">
        <v>2525</v>
      </c>
      <c r="B758" s="14" t="s">
        <v>2526</v>
      </c>
      <c r="C758" s="14" t="s">
        <v>1861</v>
      </c>
      <c r="D758" s="14" t="s">
        <v>342</v>
      </c>
      <c r="E758" s="14" t="s">
        <v>64</v>
      </c>
      <c r="F758" s="14">
        <v>1</v>
      </c>
      <c r="G758" s="14" t="s">
        <v>2527</v>
      </c>
      <c r="H758" s="14" t="s">
        <v>81</v>
      </c>
      <c r="I758" s="14" t="s">
        <v>378</v>
      </c>
      <c r="J758" s="14" t="s">
        <v>66</v>
      </c>
      <c r="K758" s="14" t="s">
        <v>2528</v>
      </c>
    </row>
    <row r="759" spans="1:11" x14ac:dyDescent="0.35">
      <c r="A759" s="14" t="s">
        <v>2529</v>
      </c>
      <c r="B759" s="14" t="s">
        <v>2530</v>
      </c>
      <c r="C759" s="14" t="s">
        <v>678</v>
      </c>
      <c r="D759" s="14" t="s">
        <v>231</v>
      </c>
      <c r="E759" s="14" t="s">
        <v>80</v>
      </c>
      <c r="F759" s="14">
        <v>2</v>
      </c>
      <c r="G759" s="14">
        <v>237960</v>
      </c>
      <c r="H759" s="14">
        <v>10</v>
      </c>
      <c r="I759" s="14" t="s">
        <v>114</v>
      </c>
      <c r="J759" s="14" t="s">
        <v>66</v>
      </c>
      <c r="K759" s="14" t="s">
        <v>2531</v>
      </c>
    </row>
    <row r="760" spans="1:11" x14ac:dyDescent="0.35">
      <c r="A760" s="14" t="s">
        <v>2532</v>
      </c>
      <c r="B760" s="14" t="s">
        <v>2533</v>
      </c>
      <c r="C760" s="14" t="s">
        <v>211</v>
      </c>
      <c r="D760" s="14" t="s">
        <v>1309</v>
      </c>
      <c r="E760" s="14" t="s">
        <v>108</v>
      </c>
      <c r="F760" s="14">
        <v>1</v>
      </c>
      <c r="G760" s="14">
        <v>135470</v>
      </c>
      <c r="H760" s="14">
        <v>5</v>
      </c>
      <c r="I760" s="14" t="s">
        <v>268</v>
      </c>
      <c r="J760" s="14" t="s">
        <v>58</v>
      </c>
      <c r="K760" s="14" t="s">
        <v>2534</v>
      </c>
    </row>
    <row r="761" spans="1:11" x14ac:dyDescent="0.35">
      <c r="A761" s="14" t="s">
        <v>2535</v>
      </c>
      <c r="B761" s="14" t="s">
        <v>2536</v>
      </c>
      <c r="C761" s="14" t="s">
        <v>1470</v>
      </c>
      <c r="D761" s="14" t="s">
        <v>179</v>
      </c>
      <c r="E761" s="14" t="s">
        <v>113</v>
      </c>
      <c r="F761" s="14">
        <v>1</v>
      </c>
      <c r="G761" s="14">
        <v>112260</v>
      </c>
      <c r="H761" s="14">
        <v>5</v>
      </c>
      <c r="I761" s="14" t="s">
        <v>57</v>
      </c>
      <c r="J761" s="14" t="s">
        <v>174</v>
      </c>
      <c r="K761" s="14" t="s">
        <v>2537</v>
      </c>
    </row>
    <row r="762" spans="1:11" x14ac:dyDescent="0.35">
      <c r="A762" s="14" t="s">
        <v>2538</v>
      </c>
      <c r="B762" s="14" t="s">
        <v>2539</v>
      </c>
      <c r="C762" s="14" t="s">
        <v>1305</v>
      </c>
      <c r="D762" s="14" t="s">
        <v>1309</v>
      </c>
      <c r="E762" s="14" t="s">
        <v>64</v>
      </c>
      <c r="F762" s="14">
        <v>3</v>
      </c>
      <c r="G762" s="14">
        <v>94020</v>
      </c>
      <c r="H762" s="14">
        <v>10</v>
      </c>
      <c r="I762" s="14" t="s">
        <v>57</v>
      </c>
      <c r="J762" s="14" t="s">
        <v>58</v>
      </c>
      <c r="K762" s="14" t="s">
        <v>2540</v>
      </c>
    </row>
    <row r="763" spans="1:11" x14ac:dyDescent="0.35">
      <c r="A763" s="14" t="s">
        <v>2541</v>
      </c>
      <c r="B763" s="14" t="s">
        <v>2542</v>
      </c>
      <c r="C763" s="14" t="s">
        <v>637</v>
      </c>
      <c r="D763" s="14" t="s">
        <v>342</v>
      </c>
      <c r="E763" s="14" t="s">
        <v>72</v>
      </c>
      <c r="F763" s="14">
        <v>1</v>
      </c>
      <c r="G763" s="14" t="s">
        <v>2543</v>
      </c>
      <c r="H763" s="14" t="s">
        <v>81</v>
      </c>
      <c r="I763" s="14" t="s">
        <v>158</v>
      </c>
      <c r="J763" s="14" t="s">
        <v>149</v>
      </c>
      <c r="K763" s="14"/>
    </row>
    <row r="764" spans="1:11" x14ac:dyDescent="0.35">
      <c r="A764" s="14" t="s">
        <v>2544</v>
      </c>
      <c r="B764" s="14" t="s">
        <v>2545</v>
      </c>
      <c r="C764" s="14" t="s">
        <v>562</v>
      </c>
      <c r="D764" s="14" t="s">
        <v>167</v>
      </c>
      <c r="E764" s="14" t="s">
        <v>72</v>
      </c>
      <c r="F764" s="14">
        <v>3</v>
      </c>
      <c r="G764" s="14" t="s">
        <v>2546</v>
      </c>
      <c r="H764" s="14">
        <v>-5</v>
      </c>
      <c r="I764" s="14" t="s">
        <v>89</v>
      </c>
      <c r="J764" s="14" t="s">
        <v>174</v>
      </c>
      <c r="K764" s="14" t="s">
        <v>2547</v>
      </c>
    </row>
    <row r="765" spans="1:11" x14ac:dyDescent="0.35">
      <c r="A765" s="14" t="s">
        <v>2548</v>
      </c>
      <c r="B765" s="14" t="s">
        <v>2549</v>
      </c>
      <c r="C765" s="14" t="s">
        <v>368</v>
      </c>
      <c r="D765" s="14" t="s">
        <v>154</v>
      </c>
      <c r="E765" s="14" t="s">
        <v>113</v>
      </c>
      <c r="F765" s="14">
        <v>-1</v>
      </c>
      <c r="G765" s="14">
        <v>23280</v>
      </c>
      <c r="H765" s="14">
        <v>10</v>
      </c>
      <c r="I765" s="14" t="s">
        <v>73</v>
      </c>
      <c r="J765" s="14" t="s">
        <v>58</v>
      </c>
      <c r="K765" s="14" t="s">
        <v>2550</v>
      </c>
    </row>
    <row r="766" spans="1:11" x14ac:dyDescent="0.35">
      <c r="A766" s="14" t="s">
        <v>2551</v>
      </c>
      <c r="B766" s="14" t="s">
        <v>2552</v>
      </c>
      <c r="C766" s="14" t="s">
        <v>791</v>
      </c>
      <c r="D766" s="14" t="s">
        <v>458</v>
      </c>
      <c r="E766" s="14" t="s">
        <v>113</v>
      </c>
      <c r="F766" s="14">
        <v>1</v>
      </c>
      <c r="G766" s="14">
        <v>17450</v>
      </c>
      <c r="H766" s="14">
        <v>0</v>
      </c>
      <c r="I766" s="14" t="s">
        <v>65</v>
      </c>
      <c r="J766" s="14" t="s">
        <v>90</v>
      </c>
      <c r="K766" s="14" t="s">
        <v>2553</v>
      </c>
    </row>
    <row r="767" spans="1:11" x14ac:dyDescent="0.35">
      <c r="A767" s="14" t="s">
        <v>2554</v>
      </c>
      <c r="B767" s="14" t="s">
        <v>2555</v>
      </c>
      <c r="C767" s="14" t="s">
        <v>750</v>
      </c>
      <c r="D767" s="14" t="s">
        <v>1544</v>
      </c>
      <c r="E767" s="14" t="s">
        <v>80</v>
      </c>
      <c r="F767" s="14">
        <v>1</v>
      </c>
      <c r="G767" s="14">
        <v>49330</v>
      </c>
      <c r="H767" s="14">
        <v>-5</v>
      </c>
      <c r="I767" s="14" t="s">
        <v>95</v>
      </c>
      <c r="J767" s="14" t="s">
        <v>149</v>
      </c>
      <c r="K767" s="14"/>
    </row>
    <row r="768" spans="1:11" x14ac:dyDescent="0.35">
      <c r="A768" s="14" t="s">
        <v>2556</v>
      </c>
      <c r="B768" s="14" t="s">
        <v>2557</v>
      </c>
      <c r="C768" s="14" t="s">
        <v>579</v>
      </c>
      <c r="D768" s="14" t="s">
        <v>255</v>
      </c>
      <c r="E768" s="14" t="s">
        <v>56</v>
      </c>
      <c r="F768" s="14">
        <v>3</v>
      </c>
      <c r="G768" s="14" t="s">
        <v>2558</v>
      </c>
      <c r="H768" s="14">
        <v>0</v>
      </c>
      <c r="I768" s="14" t="s">
        <v>95</v>
      </c>
      <c r="J768" s="14" t="s">
        <v>149</v>
      </c>
      <c r="K768" s="14"/>
    </row>
    <row r="769" spans="1:11" x14ac:dyDescent="0.35">
      <c r="A769" s="14" t="s">
        <v>2559</v>
      </c>
      <c r="B769" s="14" t="s">
        <v>2560</v>
      </c>
      <c r="C769" s="14" t="s">
        <v>1009</v>
      </c>
      <c r="D769" s="14" t="s">
        <v>163</v>
      </c>
      <c r="E769" s="14" t="s">
        <v>126</v>
      </c>
      <c r="F769" s="14">
        <v>1</v>
      </c>
      <c r="G769" s="14" t="s">
        <v>2561</v>
      </c>
      <c r="H769" s="14">
        <v>10</v>
      </c>
      <c r="I769" s="14" t="s">
        <v>121</v>
      </c>
      <c r="J769" s="14" t="s">
        <v>90</v>
      </c>
      <c r="K769" s="14"/>
    </row>
    <row r="770" spans="1:11" x14ac:dyDescent="0.35">
      <c r="A770" s="14" t="s">
        <v>2562</v>
      </c>
      <c r="B770" s="14" t="s">
        <v>2563</v>
      </c>
      <c r="C770" s="14" t="s">
        <v>62</v>
      </c>
      <c r="D770" s="14" t="s">
        <v>520</v>
      </c>
      <c r="E770" s="14" t="s">
        <v>56</v>
      </c>
      <c r="F770" s="14">
        <v>2</v>
      </c>
      <c r="G770" s="14">
        <v>222120</v>
      </c>
      <c r="H770" s="14" t="s">
        <v>81</v>
      </c>
      <c r="I770" s="14" t="s">
        <v>250</v>
      </c>
      <c r="J770" s="14" t="s">
        <v>90</v>
      </c>
      <c r="K770" s="14"/>
    </row>
    <row r="771" spans="1:11" x14ac:dyDescent="0.35">
      <c r="A771" s="14" t="s">
        <v>2564</v>
      </c>
      <c r="B771" s="14" t="s">
        <v>2565</v>
      </c>
      <c r="C771" s="14" t="s">
        <v>62</v>
      </c>
      <c r="D771" s="14" t="s">
        <v>259</v>
      </c>
      <c r="E771" s="14" t="s">
        <v>108</v>
      </c>
      <c r="F771" s="14">
        <v>-1</v>
      </c>
      <c r="G771" s="14">
        <v>119540</v>
      </c>
      <c r="H771" s="14">
        <v>0</v>
      </c>
      <c r="I771" s="14" t="s">
        <v>89</v>
      </c>
      <c r="J771" s="14" t="s">
        <v>90</v>
      </c>
      <c r="K771" s="14" t="s">
        <v>2566</v>
      </c>
    </row>
    <row r="772" spans="1:11" x14ac:dyDescent="0.35">
      <c r="A772" s="14" t="s">
        <v>2567</v>
      </c>
      <c r="B772" s="14" t="s">
        <v>2568</v>
      </c>
      <c r="C772" s="14" t="s">
        <v>637</v>
      </c>
      <c r="D772" s="14" t="s">
        <v>163</v>
      </c>
      <c r="E772" s="14" t="s">
        <v>108</v>
      </c>
      <c r="F772" s="14">
        <v>-1</v>
      </c>
      <c r="G772" s="14">
        <v>164900</v>
      </c>
      <c r="H772" s="14">
        <v>15</v>
      </c>
      <c r="I772" s="14" t="s">
        <v>114</v>
      </c>
      <c r="J772" s="14" t="s">
        <v>74</v>
      </c>
      <c r="K772" s="14" t="s">
        <v>2569</v>
      </c>
    </row>
    <row r="773" spans="1:11" x14ac:dyDescent="0.35">
      <c r="A773" s="14" t="s">
        <v>2570</v>
      </c>
      <c r="B773" s="14" t="s">
        <v>2571</v>
      </c>
      <c r="C773" s="14" t="s">
        <v>562</v>
      </c>
      <c r="D773" s="14" t="s">
        <v>472</v>
      </c>
      <c r="E773" s="14" t="s">
        <v>80</v>
      </c>
      <c r="F773" s="14">
        <v>1</v>
      </c>
      <c r="G773" s="14">
        <v>169250</v>
      </c>
      <c r="H773" s="14" t="s">
        <v>81</v>
      </c>
      <c r="I773" s="14" t="s">
        <v>121</v>
      </c>
      <c r="J773" s="14" t="s">
        <v>74</v>
      </c>
      <c r="K773" s="14" t="s">
        <v>2572</v>
      </c>
    </row>
    <row r="774" spans="1:11" x14ac:dyDescent="0.35">
      <c r="A774" s="14" t="s">
        <v>2573</v>
      </c>
      <c r="B774" s="14" t="s">
        <v>1473</v>
      </c>
      <c r="C774" s="14" t="s">
        <v>915</v>
      </c>
      <c r="D774" s="14" t="s">
        <v>348</v>
      </c>
      <c r="E774" s="14" t="s">
        <v>80</v>
      </c>
      <c r="F774" s="14">
        <v>1</v>
      </c>
      <c r="G774" s="14">
        <v>194340</v>
      </c>
      <c r="H774" s="14"/>
      <c r="I774" s="14" t="s">
        <v>73</v>
      </c>
      <c r="J774" s="14" t="s">
        <v>174</v>
      </c>
      <c r="K774" s="14" t="s">
        <v>2574</v>
      </c>
    </row>
    <row r="775" spans="1:11" x14ac:dyDescent="0.35">
      <c r="A775" s="14" t="s">
        <v>2575</v>
      </c>
      <c r="B775" s="14" t="s">
        <v>2576</v>
      </c>
      <c r="C775" s="14" t="s">
        <v>187</v>
      </c>
      <c r="D775" s="14" t="s">
        <v>255</v>
      </c>
      <c r="E775" s="14" t="s">
        <v>80</v>
      </c>
      <c r="F775" s="14">
        <v>3</v>
      </c>
      <c r="G775" s="14">
        <v>219310</v>
      </c>
      <c r="H775" s="14">
        <v>0</v>
      </c>
      <c r="I775" s="14" t="s">
        <v>158</v>
      </c>
      <c r="J775" s="14" t="s">
        <v>83</v>
      </c>
      <c r="K775" s="14"/>
    </row>
    <row r="776" spans="1:11" x14ac:dyDescent="0.35">
      <c r="A776" s="14" t="s">
        <v>2577</v>
      </c>
      <c r="B776" s="14" t="s">
        <v>2578</v>
      </c>
      <c r="C776" s="14" t="s">
        <v>1058</v>
      </c>
      <c r="D776" s="14" t="s">
        <v>360</v>
      </c>
      <c r="E776" s="14" t="s">
        <v>64</v>
      </c>
      <c r="F776" s="14">
        <v>2</v>
      </c>
      <c r="G776" s="14">
        <v>179600</v>
      </c>
      <c r="H776" s="14">
        <v>0</v>
      </c>
      <c r="I776" s="14" t="s">
        <v>268</v>
      </c>
      <c r="J776" s="14" t="s">
        <v>149</v>
      </c>
      <c r="K776" s="14" t="s">
        <v>2579</v>
      </c>
    </row>
    <row r="777" spans="1:11" x14ac:dyDescent="0.35">
      <c r="A777" s="14" t="s">
        <v>2580</v>
      </c>
      <c r="B777" s="14" t="s">
        <v>2581</v>
      </c>
      <c r="C777" s="14" t="s">
        <v>309</v>
      </c>
      <c r="D777" s="14" t="s">
        <v>192</v>
      </c>
      <c r="E777" s="14" t="s">
        <v>64</v>
      </c>
      <c r="F777" s="14">
        <v>1</v>
      </c>
      <c r="G777" s="14" t="s">
        <v>2582</v>
      </c>
      <c r="H777" s="14">
        <v>15</v>
      </c>
      <c r="I777" s="14" t="s">
        <v>73</v>
      </c>
      <c r="J777" s="14" t="s">
        <v>58</v>
      </c>
      <c r="K777" s="14" t="s">
        <v>2583</v>
      </c>
    </row>
    <row r="778" spans="1:11" x14ac:dyDescent="0.35">
      <c r="A778" s="14" t="s">
        <v>2584</v>
      </c>
      <c r="B778" s="14" t="s">
        <v>914</v>
      </c>
      <c r="C778" s="14" t="s">
        <v>1075</v>
      </c>
      <c r="D778" s="14" t="s">
        <v>100</v>
      </c>
      <c r="E778" s="14" t="s">
        <v>80</v>
      </c>
      <c r="F778" s="14">
        <v>2</v>
      </c>
      <c r="G778" s="14">
        <v>180200</v>
      </c>
      <c r="H778" s="14">
        <v>0</v>
      </c>
      <c r="I778" s="14" t="s">
        <v>95</v>
      </c>
      <c r="J778" s="14" t="s">
        <v>58</v>
      </c>
      <c r="K778" s="14" t="s">
        <v>2585</v>
      </c>
    </row>
    <row r="779" spans="1:11" x14ac:dyDescent="0.35">
      <c r="A779" s="14" t="s">
        <v>2586</v>
      </c>
      <c r="B779" s="14" t="s">
        <v>2587</v>
      </c>
      <c r="C779" s="14" t="s">
        <v>220</v>
      </c>
      <c r="D779" s="14" t="s">
        <v>71</v>
      </c>
      <c r="E779" s="14" t="s">
        <v>101</v>
      </c>
      <c r="F779" s="14">
        <v>1</v>
      </c>
      <c r="G779" s="14">
        <v>10860</v>
      </c>
      <c r="H779" s="14">
        <v>15</v>
      </c>
      <c r="I779" s="14" t="s">
        <v>121</v>
      </c>
      <c r="J779" s="14" t="s">
        <v>74</v>
      </c>
      <c r="K779" s="14" t="s">
        <v>2588</v>
      </c>
    </row>
    <row r="780" spans="1:11" x14ac:dyDescent="0.35">
      <c r="A780" s="14" t="s">
        <v>2589</v>
      </c>
      <c r="B780" s="14" t="s">
        <v>2590</v>
      </c>
      <c r="C780" s="14" t="s">
        <v>573</v>
      </c>
      <c r="D780" s="14" t="s">
        <v>295</v>
      </c>
      <c r="E780" s="14" t="s">
        <v>113</v>
      </c>
      <c r="F780" s="14">
        <v>1</v>
      </c>
      <c r="G780" s="14">
        <v>77780</v>
      </c>
      <c r="H780" s="14">
        <v>5</v>
      </c>
      <c r="I780" s="14" t="s">
        <v>121</v>
      </c>
      <c r="J780" s="14" t="s">
        <v>74</v>
      </c>
      <c r="K780" s="14" t="s">
        <v>2591</v>
      </c>
    </row>
    <row r="781" spans="1:11" x14ac:dyDescent="0.35">
      <c r="A781" s="14" t="s">
        <v>2592</v>
      </c>
      <c r="B781" s="14" t="s">
        <v>2593</v>
      </c>
      <c r="C781" s="14" t="s">
        <v>1013</v>
      </c>
      <c r="D781" s="14" t="s">
        <v>432</v>
      </c>
      <c r="E781" s="14" t="s">
        <v>113</v>
      </c>
      <c r="F781" s="14">
        <v>1</v>
      </c>
      <c r="G781" s="14" t="s">
        <v>2594</v>
      </c>
      <c r="H781" s="14" t="s">
        <v>81</v>
      </c>
      <c r="I781" s="14" t="s">
        <v>57</v>
      </c>
      <c r="J781" s="14" t="s">
        <v>83</v>
      </c>
      <c r="K781" s="14"/>
    </row>
    <row r="782" spans="1:11" x14ac:dyDescent="0.35">
      <c r="A782" s="14" t="s">
        <v>2595</v>
      </c>
      <c r="B782" s="14" t="s">
        <v>2421</v>
      </c>
      <c r="C782" s="14" t="s">
        <v>178</v>
      </c>
      <c r="D782" s="14" t="s">
        <v>576</v>
      </c>
      <c r="E782" s="14" t="s">
        <v>56</v>
      </c>
      <c r="F782" s="14">
        <v>2</v>
      </c>
      <c r="G782" s="14">
        <v>60390</v>
      </c>
      <c r="H782" s="14" t="s">
        <v>81</v>
      </c>
      <c r="I782" s="14" t="s">
        <v>121</v>
      </c>
      <c r="J782" s="14" t="s">
        <v>115</v>
      </c>
      <c r="K782" s="14" t="s">
        <v>2596</v>
      </c>
    </row>
    <row r="783" spans="1:11" x14ac:dyDescent="0.35">
      <c r="A783" s="14" t="s">
        <v>2597</v>
      </c>
      <c r="B783" s="14" t="s">
        <v>2598</v>
      </c>
      <c r="C783" s="14" t="s">
        <v>1861</v>
      </c>
      <c r="D783" s="14" t="s">
        <v>112</v>
      </c>
      <c r="E783" s="14" t="s">
        <v>113</v>
      </c>
      <c r="F783" s="14">
        <v>2</v>
      </c>
      <c r="G783" s="14" t="s">
        <v>2599</v>
      </c>
      <c r="H783" s="14"/>
      <c r="I783" s="14" t="s">
        <v>378</v>
      </c>
      <c r="J783" s="14" t="s">
        <v>90</v>
      </c>
      <c r="K783" s="14" t="s">
        <v>2600</v>
      </c>
    </row>
    <row r="784" spans="1:11" x14ac:dyDescent="0.35">
      <c r="A784" s="14" t="s">
        <v>2601</v>
      </c>
      <c r="B784" s="14" t="s">
        <v>2602</v>
      </c>
      <c r="C784" s="14" t="s">
        <v>400</v>
      </c>
      <c r="D784" s="14" t="s">
        <v>94</v>
      </c>
      <c r="E784" s="14" t="s">
        <v>64</v>
      </c>
      <c r="F784" s="14">
        <v>1</v>
      </c>
      <c r="G784" s="14">
        <v>95820</v>
      </c>
      <c r="H784" s="14">
        <v>5</v>
      </c>
      <c r="I784" s="14" t="s">
        <v>65</v>
      </c>
      <c r="J784" s="14" t="s">
        <v>66</v>
      </c>
      <c r="K784" s="14" t="s">
        <v>2603</v>
      </c>
    </row>
    <row r="785" spans="1:11" x14ac:dyDescent="0.35">
      <c r="A785" s="14" t="s">
        <v>2604</v>
      </c>
      <c r="B785" s="14" t="s">
        <v>2605</v>
      </c>
      <c r="C785" s="14" t="s">
        <v>915</v>
      </c>
      <c r="D785" s="14" t="s">
        <v>163</v>
      </c>
      <c r="E785" s="14" t="s">
        <v>108</v>
      </c>
      <c r="F785" s="14">
        <v>3</v>
      </c>
      <c r="G785" s="14">
        <v>247000</v>
      </c>
      <c r="H785" s="14">
        <v>0</v>
      </c>
      <c r="I785" s="14" t="s">
        <v>121</v>
      </c>
      <c r="J785" s="14" t="s">
        <v>66</v>
      </c>
      <c r="K785" s="14" t="s">
        <v>2606</v>
      </c>
    </row>
    <row r="786" spans="1:11" x14ac:dyDescent="0.35">
      <c r="A786" s="14" t="s">
        <v>2607</v>
      </c>
      <c r="B786" s="14" t="s">
        <v>1627</v>
      </c>
      <c r="C786" s="14" t="s">
        <v>1829</v>
      </c>
      <c r="D786" s="14" t="s">
        <v>463</v>
      </c>
      <c r="E786" s="14" t="s">
        <v>108</v>
      </c>
      <c r="F786" s="14">
        <v>2</v>
      </c>
      <c r="G786" s="14">
        <v>82760</v>
      </c>
      <c r="H786" s="14">
        <v>5</v>
      </c>
      <c r="I786" s="14" t="s">
        <v>65</v>
      </c>
      <c r="J786" s="14" t="s">
        <v>149</v>
      </c>
      <c r="K786" s="14"/>
    </row>
    <row r="787" spans="1:11" x14ac:dyDescent="0.35">
      <c r="A787" s="14" t="s">
        <v>2608</v>
      </c>
      <c r="B787" s="14" t="s">
        <v>2609</v>
      </c>
      <c r="C787" s="14" t="s">
        <v>791</v>
      </c>
      <c r="D787" s="14" t="s">
        <v>216</v>
      </c>
      <c r="E787" s="14" t="s">
        <v>113</v>
      </c>
      <c r="F787" s="14">
        <v>1</v>
      </c>
      <c r="G787" s="14">
        <v>169830</v>
      </c>
      <c r="H787" s="14">
        <v>0</v>
      </c>
      <c r="I787" s="14" t="s">
        <v>114</v>
      </c>
      <c r="J787" s="14" t="s">
        <v>174</v>
      </c>
      <c r="K787" s="14" t="s">
        <v>2610</v>
      </c>
    </row>
    <row r="788" spans="1:11" x14ac:dyDescent="0.35">
      <c r="A788" s="14" t="s">
        <v>2611</v>
      </c>
      <c r="B788" s="14" t="s">
        <v>2612</v>
      </c>
      <c r="C788" s="14" t="s">
        <v>1502</v>
      </c>
      <c r="D788" s="14" t="s">
        <v>472</v>
      </c>
      <c r="E788" s="14" t="s">
        <v>101</v>
      </c>
      <c r="F788" s="14">
        <v>1</v>
      </c>
      <c r="G788" s="14">
        <v>148690</v>
      </c>
      <c r="H788" s="14">
        <v>5</v>
      </c>
      <c r="I788" s="14" t="s">
        <v>65</v>
      </c>
      <c r="J788" s="14" t="s">
        <v>90</v>
      </c>
      <c r="K788" s="14"/>
    </row>
    <row r="789" spans="1:11" x14ac:dyDescent="0.35">
      <c r="A789" s="14" t="s">
        <v>2613</v>
      </c>
      <c r="B789" s="14" t="s">
        <v>2614</v>
      </c>
      <c r="C789" s="14" t="s">
        <v>306</v>
      </c>
      <c r="D789" s="14" t="s">
        <v>144</v>
      </c>
      <c r="E789" s="14" t="s">
        <v>56</v>
      </c>
      <c r="F789" s="14">
        <v>1</v>
      </c>
      <c r="G789" s="14">
        <v>119810</v>
      </c>
      <c r="H789" s="14">
        <v>5</v>
      </c>
      <c r="I789" s="14" t="s">
        <v>73</v>
      </c>
      <c r="J789" s="14" t="s">
        <v>149</v>
      </c>
      <c r="K789" s="14"/>
    </row>
    <row r="790" spans="1:11" x14ac:dyDescent="0.35">
      <c r="A790" s="14" t="s">
        <v>2615</v>
      </c>
      <c r="B790" s="14" t="s">
        <v>2616</v>
      </c>
      <c r="C790" s="14" t="s">
        <v>183</v>
      </c>
      <c r="D790" s="14" t="s">
        <v>916</v>
      </c>
      <c r="E790" s="14" t="s">
        <v>113</v>
      </c>
      <c r="F790" s="14">
        <v>-1</v>
      </c>
      <c r="G790" s="14" t="s">
        <v>2617</v>
      </c>
      <c r="H790" s="14">
        <v>15</v>
      </c>
      <c r="I790" s="14" t="s">
        <v>114</v>
      </c>
      <c r="J790" s="14" t="s">
        <v>66</v>
      </c>
      <c r="K790" s="14" t="s">
        <v>2618</v>
      </c>
    </row>
    <row r="791" spans="1:11" x14ac:dyDescent="0.35">
      <c r="A791" s="14" t="s">
        <v>2619</v>
      </c>
      <c r="B791" s="14" t="s">
        <v>2620</v>
      </c>
      <c r="C791" s="14" t="s">
        <v>234</v>
      </c>
      <c r="D791" s="14" t="s">
        <v>255</v>
      </c>
      <c r="E791" s="14" t="s">
        <v>108</v>
      </c>
      <c r="F791" s="14">
        <v>1</v>
      </c>
      <c r="G791" s="14" t="s">
        <v>2621</v>
      </c>
      <c r="H791" s="14" t="s">
        <v>81</v>
      </c>
      <c r="I791" s="14" t="s">
        <v>57</v>
      </c>
      <c r="J791" s="14" t="s">
        <v>83</v>
      </c>
      <c r="K791" s="14"/>
    </row>
    <row r="792" spans="1:11" x14ac:dyDescent="0.35">
      <c r="A792" s="14" t="s">
        <v>2622</v>
      </c>
      <c r="B792" s="14" t="s">
        <v>2623</v>
      </c>
      <c r="C792" s="14" t="s">
        <v>1486</v>
      </c>
      <c r="D792" s="14" t="s">
        <v>100</v>
      </c>
      <c r="E792" s="14" t="s">
        <v>113</v>
      </c>
      <c r="F792" s="14">
        <v>1</v>
      </c>
      <c r="G792" s="14" t="s">
        <v>2624</v>
      </c>
      <c r="H792" s="14">
        <v>15</v>
      </c>
      <c r="I792" s="14" t="s">
        <v>114</v>
      </c>
      <c r="J792" s="14" t="s">
        <v>149</v>
      </c>
      <c r="K792" s="14"/>
    </row>
    <row r="793" spans="1:11" x14ac:dyDescent="0.35">
      <c r="A793" s="14" t="s">
        <v>2625</v>
      </c>
      <c r="B793" s="14" t="s">
        <v>2626</v>
      </c>
      <c r="C793" s="14" t="s">
        <v>1584</v>
      </c>
      <c r="D793" s="14" t="s">
        <v>342</v>
      </c>
      <c r="E793" s="14" t="s">
        <v>80</v>
      </c>
      <c r="F793" s="14">
        <v>1</v>
      </c>
      <c r="G793" s="14">
        <v>59090</v>
      </c>
      <c r="H793" s="14">
        <v>15</v>
      </c>
      <c r="I793" s="14" t="s">
        <v>268</v>
      </c>
      <c r="J793" s="14" t="s">
        <v>174</v>
      </c>
      <c r="K793" s="14" t="s">
        <v>2627</v>
      </c>
    </row>
    <row r="794" spans="1:11" x14ac:dyDescent="0.35">
      <c r="A794" s="14" t="s">
        <v>2628</v>
      </c>
      <c r="B794" s="14" t="s">
        <v>2629</v>
      </c>
      <c r="C794" s="14" t="s">
        <v>347</v>
      </c>
      <c r="D794" s="14" t="s">
        <v>458</v>
      </c>
      <c r="E794" s="14" t="s">
        <v>64</v>
      </c>
      <c r="F794" s="14">
        <v>0</v>
      </c>
      <c r="G794" s="14" t="s">
        <v>2630</v>
      </c>
      <c r="H794" s="14">
        <v>15</v>
      </c>
      <c r="I794" s="14" t="s">
        <v>121</v>
      </c>
      <c r="J794" s="14" t="s">
        <v>83</v>
      </c>
      <c r="K794" s="14"/>
    </row>
    <row r="795" spans="1:11" x14ac:dyDescent="0.35">
      <c r="A795" s="14" t="s">
        <v>2631</v>
      </c>
      <c r="B795" s="14" t="s">
        <v>2632</v>
      </c>
      <c r="C795" s="14" t="s">
        <v>661</v>
      </c>
      <c r="D795" s="14" t="s">
        <v>226</v>
      </c>
      <c r="E795" s="14" t="s">
        <v>113</v>
      </c>
      <c r="F795" s="14">
        <v>0</v>
      </c>
      <c r="G795" s="14" t="s">
        <v>2633</v>
      </c>
      <c r="H795" s="14"/>
      <c r="I795" s="14" t="s">
        <v>95</v>
      </c>
      <c r="J795" s="14" t="s">
        <v>149</v>
      </c>
      <c r="K795" s="14" t="s">
        <v>2634</v>
      </c>
    </row>
    <row r="796" spans="1:11" x14ac:dyDescent="0.35">
      <c r="A796" s="14" t="s">
        <v>2635</v>
      </c>
      <c r="B796" s="14" t="s">
        <v>2636</v>
      </c>
      <c r="C796" s="14" t="s">
        <v>444</v>
      </c>
      <c r="D796" s="14" t="s">
        <v>163</v>
      </c>
      <c r="E796" s="14" t="s">
        <v>113</v>
      </c>
      <c r="F796" s="14">
        <v>3</v>
      </c>
      <c r="G796" s="14">
        <v>89590</v>
      </c>
      <c r="H796" s="14"/>
      <c r="I796" s="14" t="s">
        <v>268</v>
      </c>
      <c r="J796" s="14" t="s">
        <v>83</v>
      </c>
      <c r="K796" s="14"/>
    </row>
    <row r="797" spans="1:11" x14ac:dyDescent="0.35">
      <c r="A797" s="14" t="s">
        <v>2637</v>
      </c>
      <c r="B797" s="14" t="s">
        <v>2638</v>
      </c>
      <c r="C797" s="14" t="s">
        <v>298</v>
      </c>
      <c r="D797" s="14" t="s">
        <v>550</v>
      </c>
      <c r="E797" s="14" t="s">
        <v>72</v>
      </c>
      <c r="F797" s="14">
        <v>3</v>
      </c>
      <c r="G797" s="14">
        <v>115070</v>
      </c>
      <c r="H797" s="14">
        <v>5</v>
      </c>
      <c r="I797" s="14" t="s">
        <v>378</v>
      </c>
      <c r="J797" s="14" t="s">
        <v>58</v>
      </c>
      <c r="K797" s="14" t="s">
        <v>2639</v>
      </c>
    </row>
    <row r="798" spans="1:11" x14ac:dyDescent="0.35">
      <c r="A798" s="14" t="s">
        <v>2640</v>
      </c>
      <c r="B798" s="14" t="s">
        <v>1905</v>
      </c>
      <c r="C798" s="14" t="s">
        <v>78</v>
      </c>
      <c r="D798" s="14" t="s">
        <v>55</v>
      </c>
      <c r="E798" s="14" t="s">
        <v>108</v>
      </c>
      <c r="F798" s="14">
        <v>2</v>
      </c>
      <c r="G798" s="14" t="s">
        <v>2641</v>
      </c>
      <c r="H798" s="14">
        <v>15</v>
      </c>
      <c r="I798" s="14" t="s">
        <v>73</v>
      </c>
      <c r="J798" s="14" t="s">
        <v>90</v>
      </c>
      <c r="K798" s="14" t="s">
        <v>2642</v>
      </c>
    </row>
    <row r="799" spans="1:11" x14ac:dyDescent="0.35">
      <c r="A799" s="14" t="s">
        <v>2643</v>
      </c>
      <c r="B799" s="14" t="s">
        <v>2644</v>
      </c>
      <c r="C799" s="14"/>
      <c r="D799" s="14" t="s">
        <v>482</v>
      </c>
      <c r="E799" s="14" t="s">
        <v>64</v>
      </c>
      <c r="F799" s="14">
        <v>-1</v>
      </c>
      <c r="G799" s="14">
        <v>19500</v>
      </c>
      <c r="H799" s="14">
        <v>15</v>
      </c>
      <c r="I799" s="14" t="s">
        <v>57</v>
      </c>
      <c r="J799" s="14" t="s">
        <v>74</v>
      </c>
      <c r="K799" s="14" t="s">
        <v>2645</v>
      </c>
    </row>
    <row r="800" spans="1:11" x14ac:dyDescent="0.35">
      <c r="A800" s="14" t="s">
        <v>2646</v>
      </c>
      <c r="B800" s="14" t="s">
        <v>2647</v>
      </c>
      <c r="C800" s="14" t="s">
        <v>277</v>
      </c>
      <c r="D800" s="14" t="s">
        <v>154</v>
      </c>
      <c r="E800" s="14" t="s">
        <v>64</v>
      </c>
      <c r="F800" s="14">
        <v>3</v>
      </c>
      <c r="G800" s="14">
        <v>49260</v>
      </c>
      <c r="H800" s="14">
        <v>-5</v>
      </c>
      <c r="I800" s="14" t="s">
        <v>121</v>
      </c>
      <c r="J800" s="14" t="s">
        <v>149</v>
      </c>
      <c r="K800" s="14"/>
    </row>
    <row r="801" spans="1:11" x14ac:dyDescent="0.35">
      <c r="A801" s="14" t="s">
        <v>2648</v>
      </c>
      <c r="B801" s="14" t="s">
        <v>2649</v>
      </c>
      <c r="C801" s="14" t="s">
        <v>106</v>
      </c>
      <c r="D801" s="14" t="s">
        <v>576</v>
      </c>
      <c r="E801" s="14" t="s">
        <v>56</v>
      </c>
      <c r="F801" s="14">
        <v>2</v>
      </c>
      <c r="G801" s="14">
        <v>226560</v>
      </c>
      <c r="H801" s="14" t="s">
        <v>81</v>
      </c>
      <c r="I801" s="14" t="s">
        <v>57</v>
      </c>
      <c r="J801" s="14" t="s">
        <v>58</v>
      </c>
      <c r="K801" s="14" t="s">
        <v>2650</v>
      </c>
    </row>
    <row r="802" spans="1:11" x14ac:dyDescent="0.35">
      <c r="A802" s="14" t="s">
        <v>2651</v>
      </c>
      <c r="B802" s="14" t="s">
        <v>2652</v>
      </c>
      <c r="C802" s="14" t="s">
        <v>341</v>
      </c>
      <c r="D802" s="14" t="s">
        <v>94</v>
      </c>
      <c r="E802" s="14" t="s">
        <v>113</v>
      </c>
      <c r="F802" s="14">
        <v>3</v>
      </c>
      <c r="G802" s="14">
        <v>23730</v>
      </c>
      <c r="H802" s="14">
        <v>5</v>
      </c>
      <c r="I802" s="14" t="s">
        <v>89</v>
      </c>
      <c r="J802" s="14" t="s">
        <v>74</v>
      </c>
      <c r="K802" s="14" t="s">
        <v>2653</v>
      </c>
    </row>
    <row r="803" spans="1:11" x14ac:dyDescent="0.35">
      <c r="A803" s="14" t="s">
        <v>2654</v>
      </c>
      <c r="B803" s="14" t="s">
        <v>2655</v>
      </c>
      <c r="C803" s="14" t="s">
        <v>248</v>
      </c>
      <c r="D803" s="14" t="s">
        <v>79</v>
      </c>
      <c r="E803" s="14" t="s">
        <v>64</v>
      </c>
      <c r="F803" s="14">
        <v>2</v>
      </c>
      <c r="G803" s="14" t="s">
        <v>2656</v>
      </c>
      <c r="H803" s="14"/>
      <c r="I803" s="14" t="s">
        <v>73</v>
      </c>
      <c r="J803" s="14" t="s">
        <v>83</v>
      </c>
      <c r="K803" s="14" t="s">
        <v>2657</v>
      </c>
    </row>
    <row r="804" spans="1:11" x14ac:dyDescent="0.35">
      <c r="A804" s="14" t="s">
        <v>2658</v>
      </c>
      <c r="B804" s="14" t="s">
        <v>2659</v>
      </c>
      <c r="C804" s="14" t="s">
        <v>143</v>
      </c>
      <c r="D804" s="14" t="s">
        <v>315</v>
      </c>
      <c r="E804" s="14" t="s">
        <v>72</v>
      </c>
      <c r="F804" s="14">
        <v>0</v>
      </c>
      <c r="G804" s="14" t="s">
        <v>2660</v>
      </c>
      <c r="H804" s="14" t="s">
        <v>81</v>
      </c>
      <c r="I804" s="14" t="s">
        <v>114</v>
      </c>
      <c r="J804" s="14" t="s">
        <v>174</v>
      </c>
      <c r="K804" s="14" t="s">
        <v>2661</v>
      </c>
    </row>
    <row r="805" spans="1:11" x14ac:dyDescent="0.35">
      <c r="A805" s="14" t="s">
        <v>2662</v>
      </c>
      <c r="B805" s="14" t="s">
        <v>2663</v>
      </c>
      <c r="C805" s="14" t="s">
        <v>341</v>
      </c>
      <c r="D805" s="14" t="s">
        <v>120</v>
      </c>
      <c r="E805" s="14" t="s">
        <v>108</v>
      </c>
      <c r="F805" s="14">
        <v>1</v>
      </c>
      <c r="G805" s="14">
        <v>15740</v>
      </c>
      <c r="H805" s="14">
        <v>0</v>
      </c>
      <c r="I805" s="14" t="s">
        <v>158</v>
      </c>
      <c r="J805" s="14" t="s">
        <v>83</v>
      </c>
      <c r="K805" s="14"/>
    </row>
    <row r="806" spans="1:11" x14ac:dyDescent="0.35">
      <c r="A806" s="14" t="s">
        <v>2664</v>
      </c>
      <c r="B806" s="14" t="s">
        <v>2665</v>
      </c>
      <c r="C806" s="14" t="s">
        <v>1829</v>
      </c>
      <c r="D806" s="14" t="s">
        <v>278</v>
      </c>
      <c r="E806" s="14" t="s">
        <v>56</v>
      </c>
      <c r="F806" s="14">
        <v>0</v>
      </c>
      <c r="G806" s="14">
        <v>115020</v>
      </c>
      <c r="H806" s="14">
        <v>5</v>
      </c>
      <c r="I806" s="14" t="s">
        <v>73</v>
      </c>
      <c r="J806" s="14" t="s">
        <v>149</v>
      </c>
      <c r="K806" s="14" t="s">
        <v>2666</v>
      </c>
    </row>
    <row r="807" spans="1:11" x14ac:dyDescent="0.35">
      <c r="A807" s="14" t="s">
        <v>2667</v>
      </c>
      <c r="B807" s="14" t="s">
        <v>2668</v>
      </c>
      <c r="C807" s="14" t="s">
        <v>573</v>
      </c>
      <c r="D807" s="14" t="s">
        <v>163</v>
      </c>
      <c r="E807" s="14" t="s">
        <v>72</v>
      </c>
      <c r="F807" s="14">
        <v>0</v>
      </c>
      <c r="G807" s="14" t="s">
        <v>2669</v>
      </c>
      <c r="H807" s="14"/>
      <c r="I807" s="14" t="s">
        <v>121</v>
      </c>
      <c r="J807" s="14" t="s">
        <v>149</v>
      </c>
      <c r="K807" s="14" t="s">
        <v>2670</v>
      </c>
    </row>
    <row r="808" spans="1:11" x14ac:dyDescent="0.35">
      <c r="A808" s="14" t="s">
        <v>2671</v>
      </c>
      <c r="B808" s="14" t="s">
        <v>2672</v>
      </c>
      <c r="C808" s="14" t="s">
        <v>70</v>
      </c>
      <c r="D808" s="14" t="s">
        <v>329</v>
      </c>
      <c r="E808" s="14" t="s">
        <v>64</v>
      </c>
      <c r="F808" s="14">
        <v>1</v>
      </c>
      <c r="G808" s="14" t="s">
        <v>2673</v>
      </c>
      <c r="H808" s="14">
        <v>10</v>
      </c>
      <c r="I808" s="14" t="s">
        <v>73</v>
      </c>
      <c r="J808" s="14" t="s">
        <v>149</v>
      </c>
      <c r="K808" s="14"/>
    </row>
    <row r="809" spans="1:11" x14ac:dyDescent="0.35">
      <c r="A809" s="14" t="s">
        <v>2674</v>
      </c>
      <c r="B809" s="14" t="s">
        <v>2675</v>
      </c>
      <c r="C809" s="14" t="s">
        <v>1224</v>
      </c>
      <c r="D809" s="14" t="s">
        <v>107</v>
      </c>
      <c r="E809" s="14" t="s">
        <v>72</v>
      </c>
      <c r="F809" s="14">
        <v>0</v>
      </c>
      <c r="G809" s="14">
        <v>248200</v>
      </c>
      <c r="H809" s="14">
        <v>15</v>
      </c>
      <c r="I809" s="14" t="s">
        <v>95</v>
      </c>
      <c r="J809" s="14" t="s">
        <v>90</v>
      </c>
      <c r="K809" s="14" t="s">
        <v>2676</v>
      </c>
    </row>
    <row r="810" spans="1:11" x14ac:dyDescent="0.35">
      <c r="A810" s="14" t="s">
        <v>2677</v>
      </c>
      <c r="B810" s="14" t="s">
        <v>2678</v>
      </c>
      <c r="C810" s="14" t="s">
        <v>162</v>
      </c>
      <c r="D810" s="14" t="s">
        <v>196</v>
      </c>
      <c r="E810" s="14" t="s">
        <v>72</v>
      </c>
      <c r="F810" s="14">
        <v>2</v>
      </c>
      <c r="G810" s="14">
        <v>179060</v>
      </c>
      <c r="H810" s="14">
        <v>5</v>
      </c>
      <c r="I810" s="14" t="s">
        <v>73</v>
      </c>
      <c r="J810" s="14" t="s">
        <v>74</v>
      </c>
      <c r="K810" s="14" t="s">
        <v>2679</v>
      </c>
    </row>
    <row r="811" spans="1:11" x14ac:dyDescent="0.35">
      <c r="A811" s="14" t="s">
        <v>2680</v>
      </c>
      <c r="B811" s="14" t="s">
        <v>2681</v>
      </c>
      <c r="C811" s="14" t="s">
        <v>359</v>
      </c>
      <c r="D811" s="14" t="s">
        <v>163</v>
      </c>
      <c r="E811" s="14" t="s">
        <v>72</v>
      </c>
      <c r="F811" s="14">
        <v>1</v>
      </c>
      <c r="G811" s="14">
        <v>186810</v>
      </c>
      <c r="H811" s="14">
        <v>0</v>
      </c>
      <c r="I811" s="14" t="s">
        <v>121</v>
      </c>
      <c r="J811" s="14" t="s">
        <v>115</v>
      </c>
      <c r="K811" s="14" t="s">
        <v>2682</v>
      </c>
    </row>
    <row r="812" spans="1:11" x14ac:dyDescent="0.35">
      <c r="A812" s="14" t="s">
        <v>2683</v>
      </c>
      <c r="B812" s="14" t="s">
        <v>2684</v>
      </c>
      <c r="C812" s="14" t="s">
        <v>359</v>
      </c>
      <c r="D812" s="14" t="s">
        <v>135</v>
      </c>
      <c r="E812" s="14" t="s">
        <v>64</v>
      </c>
      <c r="F812" s="14">
        <v>1</v>
      </c>
      <c r="G812" s="14">
        <v>20380</v>
      </c>
      <c r="H812" s="14" t="s">
        <v>81</v>
      </c>
      <c r="I812" s="14" t="s">
        <v>424</v>
      </c>
      <c r="J812" s="14" t="s">
        <v>66</v>
      </c>
      <c r="K812" s="14" t="s">
        <v>2685</v>
      </c>
    </row>
    <row r="813" spans="1:11" x14ac:dyDescent="0.35">
      <c r="A813" s="14" t="s">
        <v>2686</v>
      </c>
      <c r="B813" s="14" t="s">
        <v>2687</v>
      </c>
      <c r="C813" s="14" t="s">
        <v>254</v>
      </c>
      <c r="D813" s="14" t="s">
        <v>360</v>
      </c>
      <c r="E813" s="14" t="s">
        <v>64</v>
      </c>
      <c r="F813" s="14">
        <v>1</v>
      </c>
      <c r="G813" s="14" t="s">
        <v>2688</v>
      </c>
      <c r="H813" s="14">
        <v>0</v>
      </c>
      <c r="I813" s="14" t="s">
        <v>95</v>
      </c>
      <c r="J813" s="14" t="s">
        <v>74</v>
      </c>
      <c r="K813" s="14" t="s">
        <v>2689</v>
      </c>
    </row>
    <row r="814" spans="1:11" x14ac:dyDescent="0.35">
      <c r="A814" s="14" t="s">
        <v>2690</v>
      </c>
      <c r="B814" s="14" t="s">
        <v>2691</v>
      </c>
      <c r="C814" s="14" t="s">
        <v>407</v>
      </c>
      <c r="D814" s="14" t="s">
        <v>948</v>
      </c>
      <c r="E814" s="14" t="s">
        <v>126</v>
      </c>
      <c r="F814" s="14">
        <v>-1</v>
      </c>
      <c r="G814" s="14">
        <v>124660</v>
      </c>
      <c r="H814" s="14">
        <v>5</v>
      </c>
      <c r="I814" s="14" t="s">
        <v>65</v>
      </c>
      <c r="J814" s="14" t="s">
        <v>66</v>
      </c>
      <c r="K814" s="14" t="s">
        <v>2692</v>
      </c>
    </row>
    <row r="815" spans="1:11" x14ac:dyDescent="0.35">
      <c r="A815" s="14" t="s">
        <v>2693</v>
      </c>
      <c r="B815" s="14" t="s">
        <v>2694</v>
      </c>
      <c r="C815" s="14" t="s">
        <v>645</v>
      </c>
      <c r="D815" s="14" t="s">
        <v>342</v>
      </c>
      <c r="E815" s="14" t="s">
        <v>80</v>
      </c>
      <c r="F815" s="14">
        <v>2</v>
      </c>
      <c r="G815" s="14">
        <v>55670</v>
      </c>
      <c r="H815" s="14" t="s">
        <v>81</v>
      </c>
      <c r="I815" s="14" t="s">
        <v>121</v>
      </c>
      <c r="J815" s="14" t="s">
        <v>149</v>
      </c>
      <c r="K815" s="14"/>
    </row>
    <row r="816" spans="1:11" x14ac:dyDescent="0.35">
      <c r="A816" s="14" t="s">
        <v>2695</v>
      </c>
      <c r="B816" s="14" t="s">
        <v>2336</v>
      </c>
      <c r="C816" s="14" t="s">
        <v>534</v>
      </c>
      <c r="D816" s="14" t="s">
        <v>167</v>
      </c>
      <c r="E816" s="14" t="s">
        <v>101</v>
      </c>
      <c r="F816" s="14">
        <v>-1</v>
      </c>
      <c r="G816" s="14">
        <v>15440</v>
      </c>
      <c r="H816" s="14">
        <v>5</v>
      </c>
      <c r="I816" s="14" t="s">
        <v>121</v>
      </c>
      <c r="J816" s="14" t="s">
        <v>90</v>
      </c>
      <c r="K816" s="14" t="s">
        <v>2696</v>
      </c>
    </row>
    <row r="817" spans="1:11" x14ac:dyDescent="0.35">
      <c r="A817" s="14" t="s">
        <v>2697</v>
      </c>
      <c r="B817" s="14" t="s">
        <v>2698</v>
      </c>
      <c r="C817" s="14" t="s">
        <v>491</v>
      </c>
      <c r="D817" s="14" t="s">
        <v>55</v>
      </c>
      <c r="E817" s="14" t="s">
        <v>113</v>
      </c>
      <c r="F817" s="14">
        <v>0</v>
      </c>
      <c r="G817" s="14">
        <v>29660</v>
      </c>
      <c r="H817" s="14"/>
      <c r="I817" s="14" t="s">
        <v>114</v>
      </c>
      <c r="J817" s="14" t="s">
        <v>74</v>
      </c>
      <c r="K817" s="14" t="s">
        <v>2699</v>
      </c>
    </row>
    <row r="818" spans="1:11" x14ac:dyDescent="0.35">
      <c r="A818" s="14" t="s">
        <v>2700</v>
      </c>
      <c r="B818" s="14" t="s">
        <v>2701</v>
      </c>
      <c r="C818" s="14" t="s">
        <v>162</v>
      </c>
      <c r="D818" s="14" t="s">
        <v>255</v>
      </c>
      <c r="E818" s="14" t="s">
        <v>113</v>
      </c>
      <c r="F818" s="14">
        <v>1</v>
      </c>
      <c r="G818" s="14" t="s">
        <v>2702</v>
      </c>
      <c r="H818" s="14">
        <v>-5</v>
      </c>
      <c r="I818" s="14" t="s">
        <v>250</v>
      </c>
      <c r="J818" s="14" t="s">
        <v>83</v>
      </c>
      <c r="K818" s="14"/>
    </row>
    <row r="819" spans="1:11" x14ac:dyDescent="0.35">
      <c r="A819" s="14" t="s">
        <v>2703</v>
      </c>
      <c r="B819" s="14" t="s">
        <v>2704</v>
      </c>
      <c r="C819" s="14" t="s">
        <v>162</v>
      </c>
      <c r="D819" s="14" t="s">
        <v>472</v>
      </c>
      <c r="E819" s="14" t="s">
        <v>64</v>
      </c>
      <c r="F819" s="14">
        <v>1</v>
      </c>
      <c r="G819" s="14">
        <v>123590</v>
      </c>
      <c r="H819" s="14"/>
      <c r="I819" s="14" t="s">
        <v>250</v>
      </c>
      <c r="J819" s="14" t="s">
        <v>66</v>
      </c>
      <c r="K819" s="14" t="s">
        <v>2705</v>
      </c>
    </row>
    <row r="820" spans="1:11" x14ac:dyDescent="0.35">
      <c r="A820" s="14" t="s">
        <v>2706</v>
      </c>
      <c r="B820" s="14" t="s">
        <v>2707</v>
      </c>
      <c r="C820" s="14" t="s">
        <v>211</v>
      </c>
      <c r="D820" s="14" t="s">
        <v>736</v>
      </c>
      <c r="E820" s="14" t="s">
        <v>80</v>
      </c>
      <c r="F820" s="14">
        <v>2</v>
      </c>
      <c r="G820" s="14">
        <v>143400</v>
      </c>
      <c r="H820" s="14">
        <v>5</v>
      </c>
      <c r="I820" s="14" t="s">
        <v>158</v>
      </c>
      <c r="J820" s="14" t="s">
        <v>149</v>
      </c>
      <c r="K820" s="14" t="s">
        <v>2708</v>
      </c>
    </row>
    <row r="821" spans="1:11" x14ac:dyDescent="0.35">
      <c r="A821" s="14" t="s">
        <v>2709</v>
      </c>
      <c r="B821" s="14" t="s">
        <v>186</v>
      </c>
      <c r="C821" s="14" t="s">
        <v>799</v>
      </c>
      <c r="D821" s="14" t="s">
        <v>550</v>
      </c>
      <c r="E821" s="14" t="s">
        <v>72</v>
      </c>
      <c r="F821" s="14">
        <v>-1</v>
      </c>
      <c r="G821" s="14" t="s">
        <v>2710</v>
      </c>
      <c r="H821" s="14" t="s">
        <v>81</v>
      </c>
      <c r="I821" s="14" t="s">
        <v>73</v>
      </c>
      <c r="J821" s="14" t="s">
        <v>83</v>
      </c>
      <c r="K821" s="14"/>
    </row>
    <row r="822" spans="1:11" x14ac:dyDescent="0.35">
      <c r="A822" s="14" t="s">
        <v>2711</v>
      </c>
      <c r="B822" s="14" t="s">
        <v>2712</v>
      </c>
      <c r="C822" s="14" t="s">
        <v>153</v>
      </c>
      <c r="D822" s="14" t="s">
        <v>329</v>
      </c>
      <c r="E822" s="14" t="s">
        <v>101</v>
      </c>
      <c r="F822" s="14">
        <v>2</v>
      </c>
      <c r="G822" s="14">
        <v>75750</v>
      </c>
      <c r="H822" s="14"/>
      <c r="I822" s="14" t="s">
        <v>73</v>
      </c>
      <c r="J822" s="14" t="s">
        <v>66</v>
      </c>
      <c r="K822" s="14" t="s">
        <v>2713</v>
      </c>
    </row>
    <row r="823" spans="1:11" x14ac:dyDescent="0.35">
      <c r="A823" s="14" t="s">
        <v>2714</v>
      </c>
      <c r="B823" s="14" t="s">
        <v>1138</v>
      </c>
      <c r="C823" s="14"/>
      <c r="D823" s="14" t="s">
        <v>638</v>
      </c>
      <c r="E823" s="14" t="s">
        <v>126</v>
      </c>
      <c r="F823" s="14">
        <v>3</v>
      </c>
      <c r="G823" s="14">
        <v>170720</v>
      </c>
      <c r="H823" s="14" t="s">
        <v>81</v>
      </c>
      <c r="I823" s="14" t="s">
        <v>95</v>
      </c>
      <c r="J823" s="14" t="s">
        <v>115</v>
      </c>
      <c r="K823" s="14"/>
    </row>
    <row r="824" spans="1:11" x14ac:dyDescent="0.35">
      <c r="A824" s="14" t="s">
        <v>2715</v>
      </c>
      <c r="B824" s="14" t="s">
        <v>2716</v>
      </c>
      <c r="C824" s="14" t="s">
        <v>1829</v>
      </c>
      <c r="D824" s="14" t="s">
        <v>278</v>
      </c>
      <c r="E824" s="14" t="s">
        <v>108</v>
      </c>
      <c r="F824" s="14">
        <v>2</v>
      </c>
      <c r="G824" s="14" t="s">
        <v>2717</v>
      </c>
      <c r="H824" s="14">
        <v>15</v>
      </c>
      <c r="I824" s="14" t="s">
        <v>114</v>
      </c>
      <c r="J824" s="14" t="s">
        <v>66</v>
      </c>
      <c r="K824" s="14" t="s">
        <v>2718</v>
      </c>
    </row>
    <row r="825" spans="1:11" x14ac:dyDescent="0.35">
      <c r="A825" s="14" t="s">
        <v>2719</v>
      </c>
      <c r="B825" s="14" t="s">
        <v>2720</v>
      </c>
      <c r="C825" s="14" t="s">
        <v>267</v>
      </c>
      <c r="D825" s="14" t="s">
        <v>179</v>
      </c>
      <c r="E825" s="14" t="s">
        <v>72</v>
      </c>
      <c r="F825" s="14">
        <v>2</v>
      </c>
      <c r="G825" s="14" t="s">
        <v>2721</v>
      </c>
      <c r="H825" s="14">
        <v>-5</v>
      </c>
      <c r="I825" s="14" t="s">
        <v>73</v>
      </c>
      <c r="J825" s="14" t="s">
        <v>149</v>
      </c>
      <c r="K825" s="14"/>
    </row>
    <row r="826" spans="1:11" x14ac:dyDescent="0.35">
      <c r="A826" s="14" t="s">
        <v>2722</v>
      </c>
      <c r="B826" s="14" t="s">
        <v>2723</v>
      </c>
      <c r="C826" s="14" t="s">
        <v>294</v>
      </c>
      <c r="D826" s="14" t="s">
        <v>916</v>
      </c>
      <c r="E826" s="14" t="s">
        <v>126</v>
      </c>
      <c r="F826" s="14">
        <v>0</v>
      </c>
      <c r="G826" s="14">
        <v>75710</v>
      </c>
      <c r="H826" s="14">
        <v>0</v>
      </c>
      <c r="I826" s="14" t="s">
        <v>378</v>
      </c>
      <c r="J826" s="14" t="s">
        <v>149</v>
      </c>
      <c r="K826" s="14" t="s">
        <v>2724</v>
      </c>
    </row>
    <row r="827" spans="1:11" x14ac:dyDescent="0.35">
      <c r="A827" s="14" t="s">
        <v>2725</v>
      </c>
      <c r="B827" s="14" t="s">
        <v>2726</v>
      </c>
      <c r="C827" s="14" t="s">
        <v>491</v>
      </c>
      <c r="D827" s="14" t="s">
        <v>255</v>
      </c>
      <c r="E827" s="14" t="s">
        <v>80</v>
      </c>
      <c r="F827" s="14">
        <v>2</v>
      </c>
      <c r="G827" s="14" t="s">
        <v>2727</v>
      </c>
      <c r="H827" s="14">
        <v>-5</v>
      </c>
      <c r="I827" s="14" t="s">
        <v>57</v>
      </c>
      <c r="J827" s="14" t="s">
        <v>90</v>
      </c>
      <c r="K827" s="14"/>
    </row>
    <row r="828" spans="1:11" x14ac:dyDescent="0.35">
      <c r="A828" s="14" t="s">
        <v>2728</v>
      </c>
      <c r="B828" s="14" t="s">
        <v>2729</v>
      </c>
      <c r="C828" s="14" t="s">
        <v>411</v>
      </c>
      <c r="D828" s="14" t="s">
        <v>360</v>
      </c>
      <c r="E828" s="14" t="s">
        <v>101</v>
      </c>
      <c r="F828" s="14">
        <v>1</v>
      </c>
      <c r="G828" s="14">
        <v>57600</v>
      </c>
      <c r="H828" s="14">
        <v>10</v>
      </c>
      <c r="I828" s="14" t="s">
        <v>95</v>
      </c>
      <c r="J828" s="14" t="s">
        <v>66</v>
      </c>
      <c r="K828" s="14" t="s">
        <v>2730</v>
      </c>
    </row>
    <row r="829" spans="1:11" x14ac:dyDescent="0.35">
      <c r="A829" s="14" t="s">
        <v>2731</v>
      </c>
      <c r="B829" s="14" t="s">
        <v>1912</v>
      </c>
      <c r="C829" s="14" t="s">
        <v>1378</v>
      </c>
      <c r="D829" s="14" t="s">
        <v>88</v>
      </c>
      <c r="E829" s="14" t="s">
        <v>64</v>
      </c>
      <c r="F829" s="14">
        <v>1</v>
      </c>
      <c r="G829" s="14">
        <v>112350</v>
      </c>
      <c r="H829" s="14">
        <v>10</v>
      </c>
      <c r="I829" s="14" t="s">
        <v>121</v>
      </c>
      <c r="J829" s="14" t="s">
        <v>115</v>
      </c>
      <c r="K829" s="14"/>
    </row>
    <row r="830" spans="1:11" x14ac:dyDescent="0.35">
      <c r="A830" s="14" t="s">
        <v>2732</v>
      </c>
      <c r="B830" s="14" t="s">
        <v>2733</v>
      </c>
      <c r="C830" s="14" t="s">
        <v>1075</v>
      </c>
      <c r="D830" s="14" t="s">
        <v>916</v>
      </c>
      <c r="E830" s="14" t="s">
        <v>101</v>
      </c>
      <c r="F830" s="14">
        <v>0</v>
      </c>
      <c r="G830" s="14" t="s">
        <v>2734</v>
      </c>
      <c r="H830" s="14">
        <v>0</v>
      </c>
      <c r="I830" s="14" t="s">
        <v>378</v>
      </c>
      <c r="J830" s="14" t="s">
        <v>174</v>
      </c>
      <c r="K830" s="14" t="s">
        <v>2735</v>
      </c>
    </row>
    <row r="831" spans="1:11" x14ac:dyDescent="0.35">
      <c r="A831" s="14" t="s">
        <v>2736</v>
      </c>
      <c r="B831" s="14" t="s">
        <v>2737</v>
      </c>
      <c r="C831" s="14" t="s">
        <v>504</v>
      </c>
      <c r="D831" s="14" t="s">
        <v>192</v>
      </c>
      <c r="E831" s="14" t="s">
        <v>64</v>
      </c>
      <c r="F831" s="14">
        <v>0</v>
      </c>
      <c r="G831" s="14">
        <v>83190</v>
      </c>
      <c r="H831" s="14">
        <v>15</v>
      </c>
      <c r="I831" s="14" t="s">
        <v>424</v>
      </c>
      <c r="J831" s="14" t="s">
        <v>58</v>
      </c>
      <c r="K831" s="14" t="s">
        <v>2738</v>
      </c>
    </row>
    <row r="832" spans="1:11" x14ac:dyDescent="0.35">
      <c r="A832" s="14" t="s">
        <v>2739</v>
      </c>
      <c r="B832" s="14" t="s">
        <v>2740</v>
      </c>
      <c r="C832" s="14"/>
      <c r="D832" s="14" t="s">
        <v>638</v>
      </c>
      <c r="E832" s="14" t="s">
        <v>101</v>
      </c>
      <c r="F832" s="14">
        <v>1</v>
      </c>
      <c r="G832" s="14">
        <v>200860</v>
      </c>
      <c r="H832" s="14">
        <v>10</v>
      </c>
      <c r="I832" s="14" t="s">
        <v>73</v>
      </c>
      <c r="J832" s="14" t="s">
        <v>174</v>
      </c>
      <c r="K832" s="14" t="s">
        <v>2741</v>
      </c>
    </row>
    <row r="833" spans="1:11" x14ac:dyDescent="0.35">
      <c r="A833" s="14" t="s">
        <v>2742</v>
      </c>
      <c r="B833" s="14" t="s">
        <v>2704</v>
      </c>
      <c r="C833" s="14" t="s">
        <v>1006</v>
      </c>
      <c r="D833" s="14" t="s">
        <v>207</v>
      </c>
      <c r="E833" s="14" t="s">
        <v>108</v>
      </c>
      <c r="F833" s="14">
        <v>2</v>
      </c>
      <c r="G833" s="14" t="s">
        <v>2743</v>
      </c>
      <c r="H833" s="14">
        <v>-5</v>
      </c>
      <c r="I833" s="14" t="s">
        <v>250</v>
      </c>
      <c r="J833" s="14" t="s">
        <v>90</v>
      </c>
      <c r="K833" s="14" t="s">
        <v>2744</v>
      </c>
    </row>
    <row r="834" spans="1:11" x14ac:dyDescent="0.35">
      <c r="A834" s="14" t="s">
        <v>2745</v>
      </c>
      <c r="B834" s="14" t="s">
        <v>2746</v>
      </c>
      <c r="C834" s="14" t="s">
        <v>87</v>
      </c>
      <c r="D834" s="14" t="s">
        <v>348</v>
      </c>
      <c r="E834" s="14" t="s">
        <v>108</v>
      </c>
      <c r="F834" s="14">
        <v>1</v>
      </c>
      <c r="G834" s="14" t="s">
        <v>2747</v>
      </c>
      <c r="H834" s="14" t="s">
        <v>81</v>
      </c>
      <c r="I834" s="14" t="s">
        <v>121</v>
      </c>
      <c r="J834" s="14" t="s">
        <v>58</v>
      </c>
      <c r="K834" s="14" t="s">
        <v>2748</v>
      </c>
    </row>
    <row r="835" spans="1:11" x14ac:dyDescent="0.35">
      <c r="A835" s="14" t="s">
        <v>2749</v>
      </c>
      <c r="B835" s="14" t="s">
        <v>2750</v>
      </c>
      <c r="C835" s="14" t="s">
        <v>439</v>
      </c>
      <c r="D835" s="14" t="s">
        <v>916</v>
      </c>
      <c r="E835" s="14" t="s">
        <v>101</v>
      </c>
      <c r="F835" s="14">
        <v>1</v>
      </c>
      <c r="G835" s="14" t="s">
        <v>2751</v>
      </c>
      <c r="H835" s="14">
        <v>15</v>
      </c>
      <c r="I835" s="14" t="s">
        <v>95</v>
      </c>
      <c r="J835" s="14" t="s">
        <v>66</v>
      </c>
      <c r="K835" s="14" t="s">
        <v>2752</v>
      </c>
    </row>
    <row r="836" spans="1:11" x14ac:dyDescent="0.35">
      <c r="A836" s="14" t="s">
        <v>2753</v>
      </c>
      <c r="B836" s="14" t="s">
        <v>2754</v>
      </c>
      <c r="C836" s="14" t="s">
        <v>811</v>
      </c>
      <c r="D836" s="14" t="s">
        <v>390</v>
      </c>
      <c r="E836" s="14" t="s">
        <v>80</v>
      </c>
      <c r="F836" s="14">
        <v>1</v>
      </c>
      <c r="G836" s="14" t="s">
        <v>2755</v>
      </c>
      <c r="H836" s="14">
        <v>0</v>
      </c>
      <c r="I836" s="14" t="s">
        <v>250</v>
      </c>
      <c r="J836" s="14" t="s">
        <v>90</v>
      </c>
      <c r="K836" s="14"/>
    </row>
    <row r="837" spans="1:11" x14ac:dyDescent="0.35">
      <c r="A837" s="14" t="s">
        <v>2756</v>
      </c>
      <c r="B837" s="14" t="s">
        <v>2757</v>
      </c>
      <c r="C837" s="14" t="s">
        <v>1861</v>
      </c>
      <c r="D837" s="14" t="s">
        <v>79</v>
      </c>
      <c r="E837" s="14" t="s">
        <v>108</v>
      </c>
      <c r="F837" s="14">
        <v>2</v>
      </c>
      <c r="G837" s="14">
        <v>200320</v>
      </c>
      <c r="H837" s="14">
        <v>5</v>
      </c>
      <c r="I837" s="14" t="s">
        <v>89</v>
      </c>
      <c r="J837" s="14" t="s">
        <v>149</v>
      </c>
      <c r="K837" s="14" t="s">
        <v>2758</v>
      </c>
    </row>
    <row r="838" spans="1:11" x14ac:dyDescent="0.35">
      <c r="A838" s="14" t="s">
        <v>2759</v>
      </c>
      <c r="B838" s="14" t="s">
        <v>2220</v>
      </c>
      <c r="C838" s="14" t="s">
        <v>220</v>
      </c>
      <c r="D838" s="14" t="s">
        <v>163</v>
      </c>
      <c r="E838" s="14" t="s">
        <v>101</v>
      </c>
      <c r="F838" s="14">
        <v>1</v>
      </c>
      <c r="G838" s="14">
        <v>210050</v>
      </c>
      <c r="H838" s="14"/>
      <c r="I838" s="14" t="s">
        <v>250</v>
      </c>
      <c r="J838" s="14" t="s">
        <v>174</v>
      </c>
      <c r="K838" s="14" t="s">
        <v>2760</v>
      </c>
    </row>
    <row r="839" spans="1:11" x14ac:dyDescent="0.35">
      <c r="A839" s="14" t="s">
        <v>2761</v>
      </c>
      <c r="B839" s="14" t="s">
        <v>2762</v>
      </c>
      <c r="C839" s="14" t="s">
        <v>498</v>
      </c>
      <c r="D839" s="14" t="s">
        <v>240</v>
      </c>
      <c r="E839" s="14" t="s">
        <v>101</v>
      </c>
      <c r="F839" s="14">
        <v>2</v>
      </c>
      <c r="G839" s="14">
        <v>175020</v>
      </c>
      <c r="H839" s="14">
        <v>15</v>
      </c>
      <c r="I839" s="14" t="s">
        <v>57</v>
      </c>
      <c r="J839" s="14" t="s">
        <v>90</v>
      </c>
      <c r="K839" s="14" t="s">
        <v>2763</v>
      </c>
    </row>
    <row r="840" spans="1:11" x14ac:dyDescent="0.35">
      <c r="A840" s="14" t="s">
        <v>2764</v>
      </c>
      <c r="B840" s="14" t="s">
        <v>2765</v>
      </c>
      <c r="C840" s="14" t="s">
        <v>890</v>
      </c>
      <c r="D840" s="14" t="s">
        <v>360</v>
      </c>
      <c r="E840" s="14" t="s">
        <v>64</v>
      </c>
      <c r="F840" s="14">
        <v>1</v>
      </c>
      <c r="G840" s="14">
        <v>63980</v>
      </c>
      <c r="H840" s="14">
        <v>15</v>
      </c>
      <c r="I840" s="14" t="s">
        <v>73</v>
      </c>
      <c r="J840" s="14" t="s">
        <v>115</v>
      </c>
      <c r="K840" s="14"/>
    </row>
    <row r="841" spans="1:11" x14ac:dyDescent="0.35">
      <c r="A841" s="14" t="s">
        <v>2766</v>
      </c>
      <c r="B841" s="14" t="s">
        <v>2767</v>
      </c>
      <c r="C841" s="14" t="s">
        <v>1025</v>
      </c>
      <c r="D841" s="14" t="s">
        <v>212</v>
      </c>
      <c r="E841" s="14" t="s">
        <v>101</v>
      </c>
      <c r="F841" s="14">
        <v>-1</v>
      </c>
      <c r="G841" s="14">
        <v>128150</v>
      </c>
      <c r="H841" s="14">
        <v>-5</v>
      </c>
      <c r="I841" s="14" t="s">
        <v>114</v>
      </c>
      <c r="J841" s="14" t="s">
        <v>58</v>
      </c>
      <c r="K841" s="14" t="s">
        <v>2768</v>
      </c>
    </row>
    <row r="842" spans="1:11" x14ac:dyDescent="0.35">
      <c r="A842" s="14" t="s">
        <v>2769</v>
      </c>
      <c r="B842" s="14" t="s">
        <v>2770</v>
      </c>
      <c r="C842" s="14" t="s">
        <v>859</v>
      </c>
      <c r="D842" s="14" t="s">
        <v>432</v>
      </c>
      <c r="E842" s="14" t="s">
        <v>56</v>
      </c>
      <c r="F842" s="14">
        <v>2</v>
      </c>
      <c r="G842" s="14">
        <v>110500</v>
      </c>
      <c r="H842" s="14">
        <v>10</v>
      </c>
      <c r="I842" s="14" t="s">
        <v>158</v>
      </c>
      <c r="J842" s="14" t="s">
        <v>66</v>
      </c>
      <c r="K842" s="14" t="s">
        <v>2771</v>
      </c>
    </row>
    <row r="843" spans="1:11" x14ac:dyDescent="0.35">
      <c r="A843" s="14" t="s">
        <v>2772</v>
      </c>
      <c r="B843" s="14" t="s">
        <v>2773</v>
      </c>
      <c r="C843" s="14" t="s">
        <v>396</v>
      </c>
      <c r="D843" s="14" t="s">
        <v>144</v>
      </c>
      <c r="E843" s="14" t="s">
        <v>126</v>
      </c>
      <c r="F843" s="14">
        <v>1</v>
      </c>
      <c r="G843" s="14" t="s">
        <v>2774</v>
      </c>
      <c r="H843" s="14">
        <v>0</v>
      </c>
      <c r="I843" s="14" t="s">
        <v>268</v>
      </c>
      <c r="J843" s="14" t="s">
        <v>74</v>
      </c>
      <c r="K843" s="14" t="s">
        <v>2775</v>
      </c>
    </row>
    <row r="844" spans="1:11" x14ac:dyDescent="0.35">
      <c r="A844" s="14" t="s">
        <v>2776</v>
      </c>
      <c r="B844" s="14" t="s">
        <v>2777</v>
      </c>
      <c r="C844" s="14" t="s">
        <v>758</v>
      </c>
      <c r="D844" s="14" t="s">
        <v>172</v>
      </c>
      <c r="E844" s="14" t="s">
        <v>64</v>
      </c>
      <c r="F844" s="14">
        <v>2</v>
      </c>
      <c r="G844" s="14">
        <v>173730</v>
      </c>
      <c r="H844" s="14">
        <v>0</v>
      </c>
      <c r="I844" s="14" t="s">
        <v>73</v>
      </c>
      <c r="J844" s="14" t="s">
        <v>74</v>
      </c>
      <c r="K844" s="14" t="s">
        <v>2778</v>
      </c>
    </row>
    <row r="845" spans="1:11" x14ac:dyDescent="0.35">
      <c r="A845" s="14" t="s">
        <v>2779</v>
      </c>
      <c r="B845" s="14" t="s">
        <v>2780</v>
      </c>
      <c r="C845" s="14" t="s">
        <v>558</v>
      </c>
      <c r="D845" s="14" t="s">
        <v>154</v>
      </c>
      <c r="E845" s="14" t="s">
        <v>101</v>
      </c>
      <c r="F845" s="14">
        <v>1</v>
      </c>
      <c r="G845" s="14">
        <v>191560</v>
      </c>
      <c r="H845" s="14">
        <v>15</v>
      </c>
      <c r="I845" s="14" t="s">
        <v>95</v>
      </c>
      <c r="J845" s="14" t="s">
        <v>149</v>
      </c>
      <c r="K845" s="14" t="s">
        <v>2781</v>
      </c>
    </row>
    <row r="846" spans="1:11" x14ac:dyDescent="0.35">
      <c r="A846" s="14" t="s">
        <v>2782</v>
      </c>
      <c r="B846" s="14" t="s">
        <v>2783</v>
      </c>
      <c r="C846" s="14" t="s">
        <v>645</v>
      </c>
      <c r="D846" s="14" t="s">
        <v>550</v>
      </c>
      <c r="E846" s="14" t="s">
        <v>64</v>
      </c>
      <c r="F846" s="14">
        <v>1</v>
      </c>
      <c r="G846" s="14">
        <v>244060</v>
      </c>
      <c r="H846" s="14">
        <v>-5</v>
      </c>
      <c r="I846" s="14" t="s">
        <v>65</v>
      </c>
      <c r="J846" s="14" t="s">
        <v>90</v>
      </c>
      <c r="K846" s="14"/>
    </row>
    <row r="847" spans="1:11" x14ac:dyDescent="0.35">
      <c r="A847" s="14" t="s">
        <v>2784</v>
      </c>
      <c r="B847" s="14" t="s">
        <v>2785</v>
      </c>
      <c r="C847" s="14" t="s">
        <v>187</v>
      </c>
      <c r="D847" s="14" t="s">
        <v>1309</v>
      </c>
      <c r="E847" s="14" t="s">
        <v>126</v>
      </c>
      <c r="F847" s="14">
        <v>0</v>
      </c>
      <c r="G847" s="14">
        <v>74050</v>
      </c>
      <c r="H847" s="14" t="s">
        <v>81</v>
      </c>
      <c r="I847" s="14" t="s">
        <v>424</v>
      </c>
      <c r="J847" s="14" t="s">
        <v>90</v>
      </c>
      <c r="K847" s="14" t="s">
        <v>2786</v>
      </c>
    </row>
    <row r="848" spans="1:11" x14ac:dyDescent="0.35">
      <c r="A848" s="14" t="s">
        <v>2787</v>
      </c>
      <c r="B848" s="14" t="s">
        <v>2788</v>
      </c>
      <c r="C848" s="14" t="s">
        <v>254</v>
      </c>
      <c r="D848" s="14" t="s">
        <v>172</v>
      </c>
      <c r="E848" s="14" t="s">
        <v>108</v>
      </c>
      <c r="F848" s="14">
        <v>2</v>
      </c>
      <c r="G848" s="14">
        <v>81120</v>
      </c>
      <c r="H848" s="14">
        <v>15</v>
      </c>
      <c r="I848" s="14" t="s">
        <v>95</v>
      </c>
      <c r="J848" s="14" t="s">
        <v>66</v>
      </c>
      <c r="K848" s="14" t="s">
        <v>2789</v>
      </c>
    </row>
    <row r="849" spans="1:11" x14ac:dyDescent="0.35">
      <c r="A849" s="14" t="s">
        <v>2790</v>
      </c>
      <c r="B849" s="14" t="s">
        <v>2791</v>
      </c>
      <c r="C849" s="14" t="s">
        <v>301</v>
      </c>
      <c r="D849" s="14" t="s">
        <v>163</v>
      </c>
      <c r="E849" s="14" t="s">
        <v>108</v>
      </c>
      <c r="F849" s="14">
        <v>3</v>
      </c>
      <c r="G849" s="14">
        <v>43500</v>
      </c>
      <c r="H849" s="14">
        <v>10</v>
      </c>
      <c r="I849" s="14" t="s">
        <v>95</v>
      </c>
      <c r="J849" s="14" t="s">
        <v>115</v>
      </c>
      <c r="K849" s="14" t="s">
        <v>2792</v>
      </c>
    </row>
    <row r="850" spans="1:11" x14ac:dyDescent="0.35">
      <c r="A850" s="14" t="s">
        <v>2793</v>
      </c>
      <c r="B850" s="14" t="s">
        <v>2794</v>
      </c>
      <c r="C850" s="14" t="s">
        <v>511</v>
      </c>
      <c r="D850" s="14" t="s">
        <v>342</v>
      </c>
      <c r="E850" s="14" t="s">
        <v>108</v>
      </c>
      <c r="F850" s="14">
        <v>2</v>
      </c>
      <c r="G850" s="14">
        <v>105290</v>
      </c>
      <c r="H850" s="14"/>
      <c r="I850" s="14" t="s">
        <v>121</v>
      </c>
      <c r="J850" s="14" t="s">
        <v>66</v>
      </c>
      <c r="K850" s="14" t="s">
        <v>2795</v>
      </c>
    </row>
    <row r="851" spans="1:11" x14ac:dyDescent="0.35">
      <c r="A851" s="14" t="s">
        <v>2796</v>
      </c>
      <c r="B851" s="14" t="s">
        <v>2797</v>
      </c>
      <c r="C851" s="14" t="s">
        <v>2494</v>
      </c>
      <c r="D851" s="14" t="s">
        <v>100</v>
      </c>
      <c r="E851" s="14" t="s">
        <v>101</v>
      </c>
      <c r="F851" s="14">
        <v>3</v>
      </c>
      <c r="G851" s="14">
        <v>54760</v>
      </c>
      <c r="H851" s="14"/>
      <c r="I851" s="14" t="s">
        <v>73</v>
      </c>
      <c r="J851" s="14" t="s">
        <v>66</v>
      </c>
      <c r="K851" s="14" t="s">
        <v>2798</v>
      </c>
    </row>
    <row r="852" spans="1:11" x14ac:dyDescent="0.35">
      <c r="A852" s="14" t="s">
        <v>2799</v>
      </c>
      <c r="B852" s="14" t="s">
        <v>2800</v>
      </c>
      <c r="C852" s="14" t="s">
        <v>368</v>
      </c>
      <c r="D852" s="14" t="s">
        <v>192</v>
      </c>
      <c r="E852" s="14" t="s">
        <v>101</v>
      </c>
      <c r="F852" s="14">
        <v>3</v>
      </c>
      <c r="G852" s="14">
        <v>196270</v>
      </c>
      <c r="H852" s="14">
        <v>10</v>
      </c>
      <c r="I852" s="14" t="s">
        <v>73</v>
      </c>
      <c r="J852" s="14" t="s">
        <v>83</v>
      </c>
      <c r="K852" s="14" t="s">
        <v>2801</v>
      </c>
    </row>
    <row r="853" spans="1:11" x14ac:dyDescent="0.35">
      <c r="A853" s="14" t="s">
        <v>2802</v>
      </c>
      <c r="B853" s="14" t="s">
        <v>2803</v>
      </c>
      <c r="C853" s="14" t="s">
        <v>106</v>
      </c>
      <c r="D853" s="14" t="s">
        <v>1309</v>
      </c>
      <c r="E853" s="14" t="s">
        <v>64</v>
      </c>
      <c r="F853" s="14">
        <v>3</v>
      </c>
      <c r="G853" s="14">
        <v>233490</v>
      </c>
      <c r="H853" s="14">
        <v>0</v>
      </c>
      <c r="I853" s="14" t="s">
        <v>268</v>
      </c>
      <c r="J853" s="14" t="s">
        <v>90</v>
      </c>
      <c r="K853" s="14"/>
    </row>
    <row r="854" spans="1:11" x14ac:dyDescent="0.35">
      <c r="A854" s="14" t="s">
        <v>2804</v>
      </c>
      <c r="B854" s="14" t="s">
        <v>2805</v>
      </c>
      <c r="C854" s="14" t="s">
        <v>211</v>
      </c>
      <c r="D854" s="14" t="s">
        <v>112</v>
      </c>
      <c r="E854" s="14" t="s">
        <v>126</v>
      </c>
      <c r="F854" s="14">
        <v>0</v>
      </c>
      <c r="G854" s="14">
        <v>237790</v>
      </c>
      <c r="H854" s="14">
        <v>0</v>
      </c>
      <c r="I854" s="14" t="s">
        <v>121</v>
      </c>
      <c r="J854" s="14" t="s">
        <v>66</v>
      </c>
      <c r="K854" s="14" t="s">
        <v>2806</v>
      </c>
    </row>
    <row r="855" spans="1:11" x14ac:dyDescent="0.35">
      <c r="A855" s="14" t="s">
        <v>2807</v>
      </c>
      <c r="B855" s="14" t="s">
        <v>2808</v>
      </c>
      <c r="C855" s="14" t="s">
        <v>1470</v>
      </c>
      <c r="D855" s="14" t="s">
        <v>71</v>
      </c>
      <c r="E855" s="14" t="s">
        <v>72</v>
      </c>
      <c r="F855" s="14">
        <v>1</v>
      </c>
      <c r="G855" s="14">
        <v>175290</v>
      </c>
      <c r="H855" s="14">
        <v>-5</v>
      </c>
      <c r="I855" s="14" t="s">
        <v>121</v>
      </c>
      <c r="J855" s="14" t="s">
        <v>115</v>
      </c>
      <c r="K855" s="14" t="s">
        <v>2809</v>
      </c>
    </row>
    <row r="856" spans="1:11" x14ac:dyDescent="0.35">
      <c r="A856" s="14" t="s">
        <v>2810</v>
      </c>
      <c r="B856" s="14" t="s">
        <v>2811</v>
      </c>
      <c r="C856" s="14" t="s">
        <v>178</v>
      </c>
      <c r="D856" s="14" t="s">
        <v>463</v>
      </c>
      <c r="E856" s="14" t="s">
        <v>64</v>
      </c>
      <c r="F856" s="14">
        <v>0</v>
      </c>
      <c r="G856" s="14">
        <v>47690</v>
      </c>
      <c r="H856" s="14" t="s">
        <v>81</v>
      </c>
      <c r="I856" s="14" t="s">
        <v>378</v>
      </c>
      <c r="J856" s="14" t="s">
        <v>74</v>
      </c>
      <c r="K856" s="14" t="s">
        <v>2812</v>
      </c>
    </row>
    <row r="857" spans="1:11" x14ac:dyDescent="0.35">
      <c r="A857" s="14" t="s">
        <v>2813</v>
      </c>
      <c r="B857" s="14" t="s">
        <v>2814</v>
      </c>
      <c r="C857" s="14" t="s">
        <v>973</v>
      </c>
      <c r="D857" s="14" t="s">
        <v>216</v>
      </c>
      <c r="E857" s="14" t="s">
        <v>113</v>
      </c>
      <c r="F857" s="14">
        <v>3</v>
      </c>
      <c r="G857" s="14" t="s">
        <v>2815</v>
      </c>
      <c r="H857" s="14">
        <v>15</v>
      </c>
      <c r="I857" s="14" t="s">
        <v>95</v>
      </c>
      <c r="J857" s="14" t="s">
        <v>66</v>
      </c>
      <c r="K857" s="14" t="s">
        <v>2816</v>
      </c>
    </row>
    <row r="858" spans="1:11" x14ac:dyDescent="0.35">
      <c r="A858" s="14" t="s">
        <v>2817</v>
      </c>
      <c r="B858" s="14" t="s">
        <v>2818</v>
      </c>
      <c r="C858" s="14" t="s">
        <v>1142</v>
      </c>
      <c r="D858" s="14" t="s">
        <v>458</v>
      </c>
      <c r="E858" s="14" t="s">
        <v>80</v>
      </c>
      <c r="F858" s="14">
        <v>0</v>
      </c>
      <c r="G858" s="14">
        <v>25690</v>
      </c>
      <c r="H858" s="14">
        <v>5</v>
      </c>
      <c r="I858" s="14" t="s">
        <v>73</v>
      </c>
      <c r="J858" s="14" t="s">
        <v>90</v>
      </c>
      <c r="K858" s="14" t="s">
        <v>2819</v>
      </c>
    </row>
    <row r="859" spans="1:11" x14ac:dyDescent="0.35">
      <c r="A859" s="14" t="s">
        <v>2820</v>
      </c>
      <c r="B859" s="14" t="s">
        <v>2821</v>
      </c>
      <c r="C859" s="14" t="s">
        <v>811</v>
      </c>
      <c r="D859" s="14" t="s">
        <v>120</v>
      </c>
      <c r="E859" s="14" t="s">
        <v>80</v>
      </c>
      <c r="F859" s="14">
        <v>-1</v>
      </c>
      <c r="G859" s="14">
        <v>204030</v>
      </c>
      <c r="H859" s="14">
        <v>0</v>
      </c>
      <c r="I859" s="14" t="s">
        <v>268</v>
      </c>
      <c r="J859" s="14" t="s">
        <v>66</v>
      </c>
      <c r="K859" s="14" t="s">
        <v>2822</v>
      </c>
    </row>
    <row r="860" spans="1:11" x14ac:dyDescent="0.35">
      <c r="A860" s="14" t="s">
        <v>2823</v>
      </c>
      <c r="B860" s="14" t="s">
        <v>2824</v>
      </c>
      <c r="C860" s="14" t="s">
        <v>333</v>
      </c>
      <c r="D860" s="14" t="s">
        <v>259</v>
      </c>
      <c r="E860" s="14" t="s">
        <v>126</v>
      </c>
      <c r="F860" s="14">
        <v>1</v>
      </c>
      <c r="G860" s="14">
        <v>132070</v>
      </c>
      <c r="H860" s="14">
        <v>5</v>
      </c>
      <c r="I860" s="14" t="s">
        <v>57</v>
      </c>
      <c r="J860" s="14" t="s">
        <v>74</v>
      </c>
      <c r="K860" s="14" t="s">
        <v>2825</v>
      </c>
    </row>
    <row r="861" spans="1:11" x14ac:dyDescent="0.35">
      <c r="A861" s="14" t="s">
        <v>2826</v>
      </c>
      <c r="B861" s="14" t="s">
        <v>1602</v>
      </c>
      <c r="C861" s="14" t="s">
        <v>727</v>
      </c>
      <c r="D861" s="14" t="s">
        <v>120</v>
      </c>
      <c r="E861" s="14" t="s">
        <v>113</v>
      </c>
      <c r="F861" s="14">
        <v>0</v>
      </c>
      <c r="G861" s="14">
        <v>177830</v>
      </c>
      <c r="H861" s="14">
        <v>-5</v>
      </c>
      <c r="I861" s="14" t="s">
        <v>121</v>
      </c>
      <c r="J861" s="14" t="s">
        <v>58</v>
      </c>
      <c r="K861" s="14" t="s">
        <v>2827</v>
      </c>
    </row>
    <row r="862" spans="1:11" x14ac:dyDescent="0.35">
      <c r="A862" s="14" t="s">
        <v>2828</v>
      </c>
      <c r="B862" s="14" t="s">
        <v>2829</v>
      </c>
      <c r="C862" s="14" t="s">
        <v>267</v>
      </c>
      <c r="D862" s="14" t="s">
        <v>240</v>
      </c>
      <c r="E862" s="14" t="s">
        <v>126</v>
      </c>
      <c r="F862" s="14">
        <v>0</v>
      </c>
      <c r="G862" s="14">
        <v>168440</v>
      </c>
      <c r="H862" s="14">
        <v>10</v>
      </c>
      <c r="I862" s="14" t="s">
        <v>82</v>
      </c>
      <c r="J862" s="14" t="s">
        <v>90</v>
      </c>
      <c r="K862" s="14" t="s">
        <v>2830</v>
      </c>
    </row>
    <row r="863" spans="1:11" x14ac:dyDescent="0.35">
      <c r="A863" s="14" t="s">
        <v>2831</v>
      </c>
      <c r="B863" s="14" t="s">
        <v>2832</v>
      </c>
      <c r="C863" s="14" t="s">
        <v>859</v>
      </c>
      <c r="D863" s="14" t="s">
        <v>144</v>
      </c>
      <c r="E863" s="14" t="s">
        <v>101</v>
      </c>
      <c r="F863" s="14">
        <v>1</v>
      </c>
      <c r="G863" s="14">
        <v>96790</v>
      </c>
      <c r="H863" s="14">
        <v>15</v>
      </c>
      <c r="I863" s="14" t="s">
        <v>121</v>
      </c>
      <c r="J863" s="14" t="s">
        <v>74</v>
      </c>
      <c r="K863" s="14" t="s">
        <v>2833</v>
      </c>
    </row>
    <row r="864" spans="1:11" x14ac:dyDescent="0.35">
      <c r="A864" s="14" t="s">
        <v>2834</v>
      </c>
      <c r="B864" s="14" t="s">
        <v>1776</v>
      </c>
      <c r="C864" s="14"/>
      <c r="D864" s="14" t="s">
        <v>154</v>
      </c>
      <c r="E864" s="14" t="s">
        <v>56</v>
      </c>
      <c r="F864" s="14">
        <v>3</v>
      </c>
      <c r="G864" s="14">
        <v>182290</v>
      </c>
      <c r="H864" s="14">
        <v>5</v>
      </c>
      <c r="I864" s="14" t="s">
        <v>65</v>
      </c>
      <c r="J864" s="14" t="s">
        <v>74</v>
      </c>
      <c r="K864" s="14" t="s">
        <v>2835</v>
      </c>
    </row>
    <row r="865" spans="1:11" x14ac:dyDescent="0.35">
      <c r="A865" s="14" t="s">
        <v>2836</v>
      </c>
      <c r="B865" s="14" t="s">
        <v>2837</v>
      </c>
      <c r="C865" s="14" t="s">
        <v>973</v>
      </c>
      <c r="D865" s="14" t="s">
        <v>360</v>
      </c>
      <c r="E865" s="14" t="s">
        <v>80</v>
      </c>
      <c r="F865" s="14">
        <v>1</v>
      </c>
      <c r="G865" s="14">
        <v>143070</v>
      </c>
      <c r="H865" s="14">
        <v>0</v>
      </c>
      <c r="I865" s="14" t="s">
        <v>95</v>
      </c>
      <c r="J865" s="14" t="s">
        <v>83</v>
      </c>
      <c r="K865" s="14" t="s">
        <v>2838</v>
      </c>
    </row>
    <row r="866" spans="1:11" x14ac:dyDescent="0.35">
      <c r="A866" s="14" t="s">
        <v>2839</v>
      </c>
      <c r="B866" s="14" t="s">
        <v>2840</v>
      </c>
      <c r="C866" s="14" t="s">
        <v>341</v>
      </c>
      <c r="D866" s="14" t="s">
        <v>278</v>
      </c>
      <c r="E866" s="14" t="s">
        <v>113</v>
      </c>
      <c r="F866" s="14">
        <v>1</v>
      </c>
      <c r="G866" s="14">
        <v>20140</v>
      </c>
      <c r="H866" s="14"/>
      <c r="I866" s="14" t="s">
        <v>121</v>
      </c>
      <c r="J866" s="14" t="s">
        <v>149</v>
      </c>
      <c r="K866" s="14" t="s">
        <v>2841</v>
      </c>
    </row>
    <row r="867" spans="1:11" x14ac:dyDescent="0.35">
      <c r="A867" s="14" t="s">
        <v>2842</v>
      </c>
      <c r="B867" s="14" t="s">
        <v>2843</v>
      </c>
      <c r="C867" s="14" t="s">
        <v>1013</v>
      </c>
      <c r="D867" s="14" t="s">
        <v>192</v>
      </c>
      <c r="E867" s="14" t="s">
        <v>113</v>
      </c>
      <c r="F867" s="14">
        <v>2</v>
      </c>
      <c r="G867" s="14">
        <v>107150</v>
      </c>
      <c r="H867" s="14">
        <v>15</v>
      </c>
      <c r="I867" s="14" t="s">
        <v>73</v>
      </c>
      <c r="J867" s="14" t="s">
        <v>74</v>
      </c>
      <c r="K867" s="14" t="s">
        <v>2844</v>
      </c>
    </row>
    <row r="868" spans="1:11" x14ac:dyDescent="0.35">
      <c r="A868" s="14" t="s">
        <v>2845</v>
      </c>
      <c r="B868" s="14" t="s">
        <v>594</v>
      </c>
      <c r="C868" s="14" t="s">
        <v>468</v>
      </c>
      <c r="D868" s="14" t="s">
        <v>163</v>
      </c>
      <c r="E868" s="14" t="s">
        <v>72</v>
      </c>
      <c r="F868" s="14">
        <v>3</v>
      </c>
      <c r="G868" s="14">
        <v>188710</v>
      </c>
      <c r="H868" s="14">
        <v>0</v>
      </c>
      <c r="I868" s="14" t="s">
        <v>95</v>
      </c>
      <c r="J868" s="14" t="s">
        <v>174</v>
      </c>
      <c r="K868" s="14" t="s">
        <v>2846</v>
      </c>
    </row>
    <row r="869" spans="1:11" x14ac:dyDescent="0.35">
      <c r="A869" s="14" t="s">
        <v>2847</v>
      </c>
      <c r="B869" s="14" t="s">
        <v>2170</v>
      </c>
      <c r="C869" s="14" t="s">
        <v>124</v>
      </c>
      <c r="D869" s="14" t="s">
        <v>329</v>
      </c>
      <c r="E869" s="14" t="s">
        <v>101</v>
      </c>
      <c r="F869" s="14">
        <v>-1</v>
      </c>
      <c r="G869" s="14" t="s">
        <v>2848</v>
      </c>
      <c r="H869" s="14">
        <v>10</v>
      </c>
      <c r="I869" s="14" t="s">
        <v>121</v>
      </c>
      <c r="J869" s="14" t="s">
        <v>58</v>
      </c>
      <c r="K869" s="14" t="s">
        <v>2849</v>
      </c>
    </row>
    <row r="870" spans="1:11" x14ac:dyDescent="0.35">
      <c r="A870" s="14" t="s">
        <v>2850</v>
      </c>
      <c r="B870" s="14" t="s">
        <v>2851</v>
      </c>
      <c r="C870" s="14" t="s">
        <v>495</v>
      </c>
      <c r="D870" s="14" t="s">
        <v>172</v>
      </c>
      <c r="E870" s="14" t="s">
        <v>108</v>
      </c>
      <c r="F870" s="14">
        <v>2</v>
      </c>
      <c r="G870" s="14" t="s">
        <v>2852</v>
      </c>
      <c r="H870" s="14">
        <v>0</v>
      </c>
      <c r="I870" s="14" t="s">
        <v>158</v>
      </c>
      <c r="J870" s="14" t="s">
        <v>115</v>
      </c>
      <c r="K870" s="14" t="s">
        <v>2853</v>
      </c>
    </row>
    <row r="871" spans="1:11" x14ac:dyDescent="0.35">
      <c r="A871" s="14" t="s">
        <v>2854</v>
      </c>
      <c r="B871" s="14" t="s">
        <v>2855</v>
      </c>
      <c r="C871" s="14" t="s">
        <v>1305</v>
      </c>
      <c r="D871" s="14" t="s">
        <v>100</v>
      </c>
      <c r="E871" s="14" t="s">
        <v>64</v>
      </c>
      <c r="F871" s="14">
        <v>0</v>
      </c>
      <c r="G871" s="14" t="s">
        <v>2856</v>
      </c>
      <c r="H871" s="14">
        <v>0</v>
      </c>
      <c r="I871" s="14" t="s">
        <v>121</v>
      </c>
      <c r="J871" s="14" t="s">
        <v>115</v>
      </c>
      <c r="K871" s="14"/>
    </row>
    <row r="872" spans="1:11" x14ac:dyDescent="0.35">
      <c r="A872" s="14" t="s">
        <v>2857</v>
      </c>
      <c r="B872" s="14" t="s">
        <v>2858</v>
      </c>
      <c r="C872" s="14" t="s">
        <v>285</v>
      </c>
      <c r="D872" s="14" t="s">
        <v>207</v>
      </c>
      <c r="E872" s="14" t="s">
        <v>56</v>
      </c>
      <c r="F872" s="14">
        <v>3</v>
      </c>
      <c r="G872" s="14">
        <v>47640</v>
      </c>
      <c r="H872" s="14">
        <v>15</v>
      </c>
      <c r="I872" s="14" t="s">
        <v>250</v>
      </c>
      <c r="J872" s="14" t="s">
        <v>90</v>
      </c>
      <c r="K872" s="14"/>
    </row>
    <row r="873" spans="1:11" x14ac:dyDescent="0.35">
      <c r="A873" s="14" t="s">
        <v>2859</v>
      </c>
      <c r="B873" s="14" t="s">
        <v>1905</v>
      </c>
      <c r="C873" s="14" t="s">
        <v>1018</v>
      </c>
      <c r="D873" s="14" t="s">
        <v>179</v>
      </c>
      <c r="E873" s="14" t="s">
        <v>64</v>
      </c>
      <c r="F873" s="14">
        <v>1</v>
      </c>
      <c r="G873" s="14">
        <v>11430</v>
      </c>
      <c r="H873" s="14">
        <v>0</v>
      </c>
      <c r="I873" s="14" t="s">
        <v>121</v>
      </c>
      <c r="J873" s="14" t="s">
        <v>83</v>
      </c>
      <c r="K873" s="14"/>
    </row>
    <row r="874" spans="1:11" x14ac:dyDescent="0.35">
      <c r="A874" s="14" t="s">
        <v>2860</v>
      </c>
      <c r="B874" s="14" t="s">
        <v>2861</v>
      </c>
      <c r="C874" s="14" t="s">
        <v>211</v>
      </c>
      <c r="D874" s="14" t="s">
        <v>55</v>
      </c>
      <c r="E874" s="14" t="s">
        <v>56</v>
      </c>
      <c r="F874" s="14">
        <v>1</v>
      </c>
      <c r="G874" s="14" t="s">
        <v>2862</v>
      </c>
      <c r="H874" s="14">
        <v>0</v>
      </c>
      <c r="I874" s="14" t="s">
        <v>121</v>
      </c>
      <c r="J874" s="14" t="s">
        <v>115</v>
      </c>
      <c r="K874" s="14"/>
    </row>
    <row r="875" spans="1:11" x14ac:dyDescent="0.35">
      <c r="A875" s="14" t="s">
        <v>2863</v>
      </c>
      <c r="B875" s="14" t="s">
        <v>2864</v>
      </c>
      <c r="C875" s="14" t="s">
        <v>903</v>
      </c>
      <c r="D875" s="14" t="s">
        <v>55</v>
      </c>
      <c r="E875" s="14" t="s">
        <v>101</v>
      </c>
      <c r="F875" s="14">
        <v>0</v>
      </c>
      <c r="G875" s="14">
        <v>49520</v>
      </c>
      <c r="H875" s="14">
        <v>10</v>
      </c>
      <c r="I875" s="14" t="s">
        <v>95</v>
      </c>
      <c r="J875" s="14" t="s">
        <v>90</v>
      </c>
      <c r="K875" s="14"/>
    </row>
    <row r="876" spans="1:11" x14ac:dyDescent="0.35">
      <c r="A876" s="14" t="s">
        <v>2865</v>
      </c>
      <c r="B876" s="14" t="s">
        <v>2866</v>
      </c>
      <c r="C876" s="14" t="s">
        <v>1097</v>
      </c>
      <c r="D876" s="14" t="s">
        <v>736</v>
      </c>
      <c r="E876" s="14" t="s">
        <v>113</v>
      </c>
      <c r="F876" s="14">
        <v>1</v>
      </c>
      <c r="G876" s="14" t="s">
        <v>2867</v>
      </c>
      <c r="H876" s="14">
        <v>10</v>
      </c>
      <c r="I876" s="14" t="s">
        <v>424</v>
      </c>
      <c r="J876" s="14" t="s">
        <v>174</v>
      </c>
      <c r="K876" s="14" t="s">
        <v>2868</v>
      </c>
    </row>
    <row r="877" spans="1:11" x14ac:dyDescent="0.35">
      <c r="A877" s="14" t="s">
        <v>2869</v>
      </c>
      <c r="B877" s="14" t="s">
        <v>300</v>
      </c>
      <c r="C877" s="14" t="s">
        <v>1486</v>
      </c>
      <c r="D877" s="14" t="s">
        <v>172</v>
      </c>
      <c r="E877" s="14" t="s">
        <v>56</v>
      </c>
      <c r="F877" s="14">
        <v>1</v>
      </c>
      <c r="G877" s="14">
        <v>40230</v>
      </c>
      <c r="H877" s="14">
        <v>0</v>
      </c>
      <c r="I877" s="14" t="s">
        <v>121</v>
      </c>
      <c r="J877" s="14" t="s">
        <v>174</v>
      </c>
      <c r="K877" s="14" t="s">
        <v>2870</v>
      </c>
    </row>
    <row r="878" spans="1:11" x14ac:dyDescent="0.35">
      <c r="A878" s="14" t="s">
        <v>2871</v>
      </c>
      <c r="B878" s="14" t="s">
        <v>2872</v>
      </c>
      <c r="C878" s="14" t="s">
        <v>153</v>
      </c>
      <c r="D878" s="14" t="s">
        <v>529</v>
      </c>
      <c r="E878" s="14" t="s">
        <v>101</v>
      </c>
      <c r="F878" s="14">
        <v>1</v>
      </c>
      <c r="G878" s="14">
        <v>23570</v>
      </c>
      <c r="H878" s="14">
        <v>15</v>
      </c>
      <c r="I878" s="14" t="s">
        <v>121</v>
      </c>
      <c r="J878" s="14" t="s">
        <v>115</v>
      </c>
      <c r="K878" s="14"/>
    </row>
    <row r="879" spans="1:11" x14ac:dyDescent="0.35">
      <c r="A879" s="14" t="s">
        <v>2873</v>
      </c>
      <c r="B879" s="14" t="s">
        <v>2874</v>
      </c>
      <c r="C879" s="14" t="s">
        <v>325</v>
      </c>
      <c r="D879" s="14" t="s">
        <v>736</v>
      </c>
      <c r="E879" s="14" t="s">
        <v>72</v>
      </c>
      <c r="F879" s="14">
        <v>1</v>
      </c>
      <c r="G879" s="14">
        <v>151170</v>
      </c>
      <c r="H879" s="14"/>
      <c r="I879" s="14" t="s">
        <v>114</v>
      </c>
      <c r="J879" s="14" t="s">
        <v>115</v>
      </c>
      <c r="K879" s="14"/>
    </row>
    <row r="880" spans="1:11" x14ac:dyDescent="0.35">
      <c r="A880" s="14" t="s">
        <v>2875</v>
      </c>
      <c r="B880" s="14" t="s">
        <v>2876</v>
      </c>
      <c r="C880" s="14" t="s">
        <v>678</v>
      </c>
      <c r="D880" s="14" t="s">
        <v>529</v>
      </c>
      <c r="E880" s="14" t="s">
        <v>64</v>
      </c>
      <c r="F880" s="14">
        <v>3</v>
      </c>
      <c r="G880" s="14">
        <v>199410</v>
      </c>
      <c r="H880" s="14" t="s">
        <v>81</v>
      </c>
      <c r="I880" s="14" t="s">
        <v>73</v>
      </c>
      <c r="J880" s="14" t="s">
        <v>66</v>
      </c>
      <c r="K880" s="14" t="s">
        <v>2877</v>
      </c>
    </row>
    <row r="881" spans="1:11" x14ac:dyDescent="0.35">
      <c r="A881" s="14" t="s">
        <v>2878</v>
      </c>
      <c r="B881" s="14" t="s">
        <v>1062</v>
      </c>
      <c r="C881" s="14" t="s">
        <v>314</v>
      </c>
      <c r="D881" s="14" t="s">
        <v>240</v>
      </c>
      <c r="E881" s="14" t="s">
        <v>80</v>
      </c>
      <c r="F881" s="14">
        <v>1</v>
      </c>
      <c r="G881" s="14" t="s">
        <v>2879</v>
      </c>
      <c r="H881" s="14" t="s">
        <v>81</v>
      </c>
      <c r="I881" s="14" t="s">
        <v>57</v>
      </c>
      <c r="J881" s="14" t="s">
        <v>115</v>
      </c>
      <c r="K881" s="14" t="s">
        <v>2880</v>
      </c>
    </row>
    <row r="882" spans="1:11" x14ac:dyDescent="0.35">
      <c r="A882" s="14" t="s">
        <v>2881</v>
      </c>
      <c r="B882" s="14" t="s">
        <v>2882</v>
      </c>
      <c r="C882" s="14" t="s">
        <v>645</v>
      </c>
      <c r="D882" s="14" t="s">
        <v>212</v>
      </c>
      <c r="E882" s="14" t="s">
        <v>64</v>
      </c>
      <c r="F882" s="14">
        <v>1</v>
      </c>
      <c r="G882" s="14">
        <v>131650</v>
      </c>
      <c r="H882" s="14">
        <v>0</v>
      </c>
      <c r="I882" s="14" t="s">
        <v>121</v>
      </c>
      <c r="J882" s="14" t="s">
        <v>149</v>
      </c>
      <c r="K882" s="14"/>
    </row>
    <row r="883" spans="1:11" x14ac:dyDescent="0.35">
      <c r="A883" s="14" t="s">
        <v>2883</v>
      </c>
      <c r="B883" s="14" t="s">
        <v>2884</v>
      </c>
      <c r="C883" s="14"/>
      <c r="D883" s="14" t="s">
        <v>172</v>
      </c>
      <c r="E883" s="14" t="s">
        <v>101</v>
      </c>
      <c r="F883" s="14">
        <v>2</v>
      </c>
      <c r="G883" s="14">
        <v>25270</v>
      </c>
      <c r="H883" s="14">
        <v>-5</v>
      </c>
      <c r="I883" s="14" t="s">
        <v>121</v>
      </c>
      <c r="J883" s="14" t="s">
        <v>58</v>
      </c>
      <c r="K883" s="14" t="s">
        <v>2885</v>
      </c>
    </row>
    <row r="884" spans="1:11" x14ac:dyDescent="0.35">
      <c r="A884" s="14" t="s">
        <v>2886</v>
      </c>
      <c r="B884" s="14" t="s">
        <v>2887</v>
      </c>
      <c r="C884" s="14" t="s">
        <v>491</v>
      </c>
      <c r="D884" s="14" t="s">
        <v>435</v>
      </c>
      <c r="E884" s="14" t="s">
        <v>108</v>
      </c>
      <c r="F884" s="14">
        <v>-1</v>
      </c>
      <c r="G884" s="14">
        <v>182370</v>
      </c>
      <c r="H884" s="14">
        <v>5</v>
      </c>
      <c r="I884" s="14" t="s">
        <v>95</v>
      </c>
      <c r="J884" s="14" t="s">
        <v>115</v>
      </c>
      <c r="K884" s="14" t="s">
        <v>2888</v>
      </c>
    </row>
    <row r="885" spans="1:11" x14ac:dyDescent="0.35">
      <c r="A885" s="14" t="s">
        <v>2889</v>
      </c>
      <c r="B885" s="14" t="s">
        <v>2890</v>
      </c>
      <c r="C885" s="14" t="s">
        <v>613</v>
      </c>
      <c r="D885" s="14" t="s">
        <v>529</v>
      </c>
      <c r="E885" s="14" t="s">
        <v>108</v>
      </c>
      <c r="F885" s="14">
        <v>1</v>
      </c>
      <c r="G885" s="14">
        <v>50330</v>
      </c>
      <c r="H885" s="14">
        <v>0</v>
      </c>
      <c r="I885" s="14" t="s">
        <v>82</v>
      </c>
      <c r="J885" s="14" t="s">
        <v>90</v>
      </c>
      <c r="K885" s="14" t="s">
        <v>2891</v>
      </c>
    </row>
    <row r="886" spans="1:11" x14ac:dyDescent="0.35">
      <c r="A886" s="14" t="s">
        <v>2892</v>
      </c>
      <c r="B886" s="14" t="s">
        <v>2893</v>
      </c>
      <c r="C886" s="14" t="s">
        <v>457</v>
      </c>
      <c r="D886" s="14" t="s">
        <v>445</v>
      </c>
      <c r="E886" s="14" t="s">
        <v>101</v>
      </c>
      <c r="F886" s="14">
        <v>1</v>
      </c>
      <c r="G886" s="14">
        <v>174980</v>
      </c>
      <c r="H886" s="14">
        <v>15</v>
      </c>
      <c r="I886" s="14" t="s">
        <v>73</v>
      </c>
      <c r="J886" s="14" t="s">
        <v>83</v>
      </c>
      <c r="K886" s="14" t="s">
        <v>2894</v>
      </c>
    </row>
    <row r="887" spans="1:11" x14ac:dyDescent="0.35">
      <c r="A887" s="14" t="s">
        <v>2895</v>
      </c>
      <c r="B887" s="14" t="s">
        <v>2896</v>
      </c>
      <c r="C887" s="14"/>
      <c r="D887" s="14" t="s">
        <v>264</v>
      </c>
      <c r="E887" s="14" t="s">
        <v>64</v>
      </c>
      <c r="F887" s="14">
        <v>0</v>
      </c>
      <c r="G887" s="14" t="s">
        <v>2897</v>
      </c>
      <c r="H887" s="14">
        <v>5</v>
      </c>
      <c r="I887" s="14" t="s">
        <v>121</v>
      </c>
      <c r="J887" s="14" t="s">
        <v>90</v>
      </c>
      <c r="K887" s="14" t="s">
        <v>2898</v>
      </c>
    </row>
    <row r="888" spans="1:11" x14ac:dyDescent="0.35">
      <c r="A888" s="14" t="s">
        <v>2899</v>
      </c>
      <c r="B888" s="14" t="s">
        <v>2900</v>
      </c>
      <c r="C888" s="14" t="s">
        <v>661</v>
      </c>
      <c r="D888" s="14" t="s">
        <v>329</v>
      </c>
      <c r="E888" s="14" t="s">
        <v>56</v>
      </c>
      <c r="F888" s="14">
        <v>3</v>
      </c>
      <c r="G888" s="14">
        <v>155740</v>
      </c>
      <c r="H888" s="14">
        <v>-5</v>
      </c>
      <c r="I888" s="14" t="s">
        <v>424</v>
      </c>
      <c r="J888" s="14" t="s">
        <v>149</v>
      </c>
      <c r="K888" s="14"/>
    </row>
    <row r="889" spans="1:11" x14ac:dyDescent="0.35">
      <c r="A889" s="14" t="s">
        <v>2854</v>
      </c>
      <c r="B889" s="14" t="s">
        <v>2855</v>
      </c>
      <c r="C889" s="14" t="s">
        <v>1305</v>
      </c>
      <c r="D889" s="14" t="s">
        <v>100</v>
      </c>
      <c r="E889" s="14" t="s">
        <v>64</v>
      </c>
      <c r="F889" s="14">
        <v>0</v>
      </c>
      <c r="G889" s="14" t="s">
        <v>2856</v>
      </c>
      <c r="H889" s="14">
        <v>0</v>
      </c>
      <c r="I889" s="14" t="s">
        <v>121</v>
      </c>
      <c r="J889" s="14" t="s">
        <v>115</v>
      </c>
      <c r="K889" s="14"/>
    </row>
    <row r="890" spans="1:11" x14ac:dyDescent="0.35">
      <c r="A890" s="14" t="s">
        <v>2901</v>
      </c>
      <c r="B890" s="14" t="s">
        <v>2902</v>
      </c>
      <c r="C890" s="14" t="s">
        <v>753</v>
      </c>
      <c r="D890" s="14" t="s">
        <v>63</v>
      </c>
      <c r="E890" s="14" t="s">
        <v>108</v>
      </c>
      <c r="F890" s="14">
        <v>1</v>
      </c>
      <c r="G890" s="14" t="s">
        <v>2903</v>
      </c>
      <c r="H890" s="14">
        <v>-5</v>
      </c>
      <c r="I890" s="14" t="s">
        <v>121</v>
      </c>
      <c r="J890" s="14" t="s">
        <v>149</v>
      </c>
      <c r="K890" s="14"/>
    </row>
    <row r="891" spans="1:11" x14ac:dyDescent="0.35">
      <c r="A891" s="14" t="s">
        <v>2904</v>
      </c>
      <c r="B891" s="14" t="s">
        <v>2905</v>
      </c>
      <c r="C891" s="14" t="s">
        <v>534</v>
      </c>
      <c r="D891" s="14" t="s">
        <v>278</v>
      </c>
      <c r="E891" s="14" t="s">
        <v>64</v>
      </c>
      <c r="F891" s="14">
        <v>1</v>
      </c>
      <c r="G891" s="14" t="s">
        <v>2906</v>
      </c>
      <c r="H891" s="14"/>
      <c r="I891" s="14" t="s">
        <v>378</v>
      </c>
      <c r="J891" s="14" t="s">
        <v>90</v>
      </c>
      <c r="K891" s="14" t="s">
        <v>2907</v>
      </c>
    </row>
    <row r="892" spans="1:11" x14ac:dyDescent="0.35">
      <c r="A892" s="14" t="s">
        <v>2908</v>
      </c>
      <c r="B892" s="14" t="s">
        <v>2909</v>
      </c>
      <c r="C892" s="14" t="s">
        <v>263</v>
      </c>
      <c r="D892" s="14" t="s">
        <v>482</v>
      </c>
      <c r="E892" s="14" t="s">
        <v>72</v>
      </c>
      <c r="F892" s="14">
        <v>1</v>
      </c>
      <c r="G892" s="14" t="s">
        <v>2910</v>
      </c>
      <c r="H892" s="14">
        <v>-5</v>
      </c>
      <c r="I892" s="14" t="s">
        <v>73</v>
      </c>
      <c r="J892" s="14" t="s">
        <v>66</v>
      </c>
      <c r="K892" s="14" t="s">
        <v>2911</v>
      </c>
    </row>
    <row r="893" spans="1:11" x14ac:dyDescent="0.35">
      <c r="A893" s="14" t="s">
        <v>2912</v>
      </c>
      <c r="B893" s="14" t="s">
        <v>2913</v>
      </c>
      <c r="C893" s="14" t="s">
        <v>450</v>
      </c>
      <c r="D893" s="14" t="s">
        <v>100</v>
      </c>
      <c r="E893" s="14" t="s">
        <v>101</v>
      </c>
      <c r="F893" s="14">
        <v>-1</v>
      </c>
      <c r="G893" s="14" t="s">
        <v>2914</v>
      </c>
      <c r="H893" s="14">
        <v>0</v>
      </c>
      <c r="I893" s="14" t="s">
        <v>73</v>
      </c>
      <c r="J893" s="14" t="s">
        <v>74</v>
      </c>
      <c r="K893" s="14" t="s">
        <v>2915</v>
      </c>
    </row>
    <row r="894" spans="1:11" x14ac:dyDescent="0.35">
      <c r="A894" s="14" t="s">
        <v>2916</v>
      </c>
      <c r="B894" s="14" t="s">
        <v>2917</v>
      </c>
      <c r="C894" s="14" t="s">
        <v>468</v>
      </c>
      <c r="D894" s="14" t="s">
        <v>278</v>
      </c>
      <c r="E894" s="14" t="s">
        <v>126</v>
      </c>
      <c r="F894" s="14">
        <v>1</v>
      </c>
      <c r="G894" s="14">
        <v>58260</v>
      </c>
      <c r="H894" s="14">
        <v>5</v>
      </c>
      <c r="I894" s="14" t="s">
        <v>73</v>
      </c>
      <c r="J894" s="14" t="s">
        <v>83</v>
      </c>
      <c r="K894" s="14" t="s">
        <v>2918</v>
      </c>
    </row>
    <row r="895" spans="1:11" x14ac:dyDescent="0.35">
      <c r="A895" s="14" t="s">
        <v>2919</v>
      </c>
      <c r="B895" s="14" t="s">
        <v>2461</v>
      </c>
      <c r="C895" s="14" t="s">
        <v>254</v>
      </c>
      <c r="D895" s="14" t="s">
        <v>179</v>
      </c>
      <c r="E895" s="14" t="s">
        <v>126</v>
      </c>
      <c r="F895" s="14">
        <v>1</v>
      </c>
      <c r="G895" s="14" t="s">
        <v>2920</v>
      </c>
      <c r="H895" s="14">
        <v>15</v>
      </c>
      <c r="I895" s="14" t="s">
        <v>95</v>
      </c>
      <c r="J895" s="14" t="s">
        <v>83</v>
      </c>
      <c r="K895" s="14" t="s">
        <v>2921</v>
      </c>
    </row>
    <row r="896" spans="1:11" x14ac:dyDescent="0.35">
      <c r="A896" s="14" t="s">
        <v>2922</v>
      </c>
      <c r="B896" s="14" t="s">
        <v>2923</v>
      </c>
      <c r="C896" s="14" t="s">
        <v>148</v>
      </c>
      <c r="D896" s="14" t="s">
        <v>163</v>
      </c>
      <c r="E896" s="14" t="s">
        <v>126</v>
      </c>
      <c r="F896" s="14">
        <v>3</v>
      </c>
      <c r="G896" s="14" t="s">
        <v>2924</v>
      </c>
      <c r="H896" s="14">
        <v>15</v>
      </c>
      <c r="I896" s="14" t="s">
        <v>378</v>
      </c>
      <c r="J896" s="14" t="s">
        <v>83</v>
      </c>
      <c r="K896" s="14" t="s">
        <v>2925</v>
      </c>
    </row>
    <row r="897" spans="1:11" x14ac:dyDescent="0.35">
      <c r="A897" s="14" t="s">
        <v>2926</v>
      </c>
      <c r="B897" s="14" t="s">
        <v>1458</v>
      </c>
      <c r="C897" s="14" t="s">
        <v>758</v>
      </c>
      <c r="D897" s="14" t="s">
        <v>472</v>
      </c>
      <c r="E897" s="14" t="s">
        <v>101</v>
      </c>
      <c r="F897" s="14">
        <v>1</v>
      </c>
      <c r="G897" s="14" t="s">
        <v>2927</v>
      </c>
      <c r="H897" s="14">
        <v>0</v>
      </c>
      <c r="I897" s="14" t="s">
        <v>73</v>
      </c>
      <c r="J897" s="14" t="s">
        <v>66</v>
      </c>
      <c r="K897" s="14" t="s">
        <v>2928</v>
      </c>
    </row>
    <row r="898" spans="1:11" x14ac:dyDescent="0.35">
      <c r="A898" s="14" t="s">
        <v>2929</v>
      </c>
      <c r="B898" s="14" t="s">
        <v>2930</v>
      </c>
      <c r="C898" s="14" t="s">
        <v>129</v>
      </c>
      <c r="D898" s="14" t="s">
        <v>207</v>
      </c>
      <c r="E898" s="14" t="s">
        <v>80</v>
      </c>
      <c r="F898" s="14">
        <v>1</v>
      </c>
      <c r="G898" s="14" t="s">
        <v>2931</v>
      </c>
      <c r="H898" s="14">
        <v>0</v>
      </c>
      <c r="I898" s="14" t="s">
        <v>121</v>
      </c>
      <c r="J898" s="14" t="s">
        <v>90</v>
      </c>
      <c r="K898" s="14" t="s">
        <v>2932</v>
      </c>
    </row>
    <row r="899" spans="1:11" x14ac:dyDescent="0.35">
      <c r="A899" s="14" t="s">
        <v>2933</v>
      </c>
      <c r="B899" s="14" t="s">
        <v>2934</v>
      </c>
      <c r="C899" s="14" t="s">
        <v>314</v>
      </c>
      <c r="D899" s="14" t="s">
        <v>196</v>
      </c>
      <c r="E899" s="14" t="s">
        <v>64</v>
      </c>
      <c r="F899" s="14">
        <v>1</v>
      </c>
      <c r="G899" s="14">
        <v>75510</v>
      </c>
      <c r="H899" s="14">
        <v>-5</v>
      </c>
      <c r="I899" s="14" t="s">
        <v>378</v>
      </c>
      <c r="J899" s="14" t="s">
        <v>90</v>
      </c>
      <c r="K899" s="14" t="s">
        <v>2935</v>
      </c>
    </row>
    <row r="900" spans="1:11" x14ac:dyDescent="0.35">
      <c r="A900" s="14" t="s">
        <v>2936</v>
      </c>
      <c r="B900" s="14" t="s">
        <v>1250</v>
      </c>
      <c r="C900" s="14" t="s">
        <v>854</v>
      </c>
      <c r="D900" s="14" t="s">
        <v>144</v>
      </c>
      <c r="E900" s="14" t="s">
        <v>108</v>
      </c>
      <c r="F900" s="14">
        <v>-1</v>
      </c>
      <c r="G900" s="14">
        <v>198560</v>
      </c>
      <c r="H900" s="14">
        <v>0</v>
      </c>
      <c r="I900" s="14" t="s">
        <v>121</v>
      </c>
      <c r="J900" s="14" t="s">
        <v>174</v>
      </c>
      <c r="K900" s="14" t="s">
        <v>2937</v>
      </c>
    </row>
    <row r="901" spans="1:11" x14ac:dyDescent="0.35">
      <c r="A901" s="14" t="s">
        <v>2938</v>
      </c>
      <c r="B901" s="14" t="s">
        <v>1308</v>
      </c>
      <c r="C901" s="14" t="s">
        <v>562</v>
      </c>
      <c r="D901" s="14" t="s">
        <v>360</v>
      </c>
      <c r="E901" s="14" t="s">
        <v>126</v>
      </c>
      <c r="F901" s="14">
        <v>0</v>
      </c>
      <c r="G901" s="14" t="s">
        <v>2939</v>
      </c>
      <c r="H901" s="14">
        <v>5</v>
      </c>
      <c r="I901" s="14" t="s">
        <v>73</v>
      </c>
      <c r="J901" s="14" t="s">
        <v>74</v>
      </c>
      <c r="K901" s="14" t="s">
        <v>2940</v>
      </c>
    </row>
    <row r="902" spans="1:11" x14ac:dyDescent="0.35">
      <c r="A902" s="14" t="s">
        <v>2941</v>
      </c>
      <c r="B902" s="14" t="s">
        <v>2942</v>
      </c>
      <c r="C902" s="14" t="s">
        <v>491</v>
      </c>
      <c r="D902" s="14" t="s">
        <v>125</v>
      </c>
      <c r="E902" s="14" t="s">
        <v>56</v>
      </c>
      <c r="F902" s="14">
        <v>1</v>
      </c>
      <c r="G902" s="14" t="s">
        <v>2943</v>
      </c>
      <c r="H902" s="14">
        <v>-5</v>
      </c>
      <c r="I902" s="14" t="s">
        <v>121</v>
      </c>
      <c r="J902" s="14" t="s">
        <v>74</v>
      </c>
      <c r="K902" s="14" t="s">
        <v>2944</v>
      </c>
    </row>
    <row r="903" spans="1:11" x14ac:dyDescent="0.35">
      <c r="A903" s="14" t="s">
        <v>2945</v>
      </c>
      <c r="B903" s="14" t="s">
        <v>2946</v>
      </c>
      <c r="C903" s="14" t="s">
        <v>162</v>
      </c>
      <c r="D903" s="14" t="s">
        <v>207</v>
      </c>
      <c r="E903" s="14" t="s">
        <v>56</v>
      </c>
      <c r="F903" s="14">
        <v>1</v>
      </c>
      <c r="G903" s="14" t="s">
        <v>2947</v>
      </c>
      <c r="H903" s="14">
        <v>0</v>
      </c>
      <c r="I903" s="14" t="s">
        <v>121</v>
      </c>
      <c r="J903" s="14" t="s">
        <v>74</v>
      </c>
      <c r="K903" s="14" t="s">
        <v>2948</v>
      </c>
    </row>
    <row r="904" spans="1:11" x14ac:dyDescent="0.35">
      <c r="A904" s="14" t="s">
        <v>2949</v>
      </c>
      <c r="B904" s="14" t="s">
        <v>2950</v>
      </c>
      <c r="C904" s="14" t="s">
        <v>854</v>
      </c>
      <c r="D904" s="14" t="s">
        <v>231</v>
      </c>
      <c r="E904" s="14" t="s">
        <v>64</v>
      </c>
      <c r="F904" s="14">
        <v>3</v>
      </c>
      <c r="G904" s="14">
        <v>196130</v>
      </c>
      <c r="H904" s="14" t="s">
        <v>81</v>
      </c>
      <c r="I904" s="14" t="s">
        <v>268</v>
      </c>
      <c r="J904" s="14" t="s">
        <v>66</v>
      </c>
      <c r="K904" s="14" t="s">
        <v>2951</v>
      </c>
    </row>
    <row r="905" spans="1:11" x14ac:dyDescent="0.35">
      <c r="A905" s="14" t="s">
        <v>2952</v>
      </c>
      <c r="B905" s="14" t="s">
        <v>2953</v>
      </c>
      <c r="C905" s="14" t="s">
        <v>162</v>
      </c>
      <c r="D905" s="14" t="s">
        <v>295</v>
      </c>
      <c r="E905" s="14" t="s">
        <v>80</v>
      </c>
      <c r="F905" s="14">
        <v>2</v>
      </c>
      <c r="G905" s="14" t="s">
        <v>2954</v>
      </c>
      <c r="H905" s="14"/>
      <c r="I905" s="14" t="s">
        <v>65</v>
      </c>
      <c r="J905" s="14" t="s">
        <v>66</v>
      </c>
      <c r="K905" s="14" t="s">
        <v>2955</v>
      </c>
    </row>
    <row r="906" spans="1:11" x14ac:dyDescent="0.35">
      <c r="A906" s="14" t="s">
        <v>2956</v>
      </c>
      <c r="B906" s="14" t="s">
        <v>2957</v>
      </c>
      <c r="C906" s="14" t="s">
        <v>1254</v>
      </c>
      <c r="D906" s="14" t="s">
        <v>1544</v>
      </c>
      <c r="E906" s="14" t="s">
        <v>126</v>
      </c>
      <c r="F906" s="14">
        <v>1</v>
      </c>
      <c r="G906" s="14" t="s">
        <v>2958</v>
      </c>
      <c r="H906" s="14">
        <v>5</v>
      </c>
      <c r="I906" s="14" t="s">
        <v>89</v>
      </c>
      <c r="J906" s="14" t="s">
        <v>83</v>
      </c>
      <c r="K906" s="14" t="s">
        <v>2959</v>
      </c>
    </row>
    <row r="907" spans="1:11" x14ac:dyDescent="0.35">
      <c r="A907" s="14" t="s">
        <v>2960</v>
      </c>
      <c r="B907" s="14" t="s">
        <v>2961</v>
      </c>
      <c r="C907" s="14" t="s">
        <v>602</v>
      </c>
      <c r="D907" s="14" t="s">
        <v>144</v>
      </c>
      <c r="E907" s="14" t="s">
        <v>56</v>
      </c>
      <c r="F907" s="14">
        <v>1</v>
      </c>
      <c r="G907" s="14">
        <v>143000</v>
      </c>
      <c r="H907" s="14">
        <v>10</v>
      </c>
      <c r="I907" s="14" t="s">
        <v>378</v>
      </c>
      <c r="J907" s="14" t="s">
        <v>90</v>
      </c>
      <c r="K907" s="14"/>
    </row>
    <row r="908" spans="1:11" x14ac:dyDescent="0.35">
      <c r="A908" s="14" t="s">
        <v>2962</v>
      </c>
      <c r="B908" s="14" t="s">
        <v>2963</v>
      </c>
      <c r="C908" s="14" t="s">
        <v>99</v>
      </c>
      <c r="D908" s="14" t="s">
        <v>390</v>
      </c>
      <c r="E908" s="14" t="s">
        <v>72</v>
      </c>
      <c r="F908" s="14">
        <v>1</v>
      </c>
      <c r="G908" s="14">
        <v>212510</v>
      </c>
      <c r="H908" s="14">
        <v>0</v>
      </c>
      <c r="I908" s="14" t="s">
        <v>95</v>
      </c>
      <c r="J908" s="14" t="s">
        <v>58</v>
      </c>
      <c r="K908" s="14" t="s">
        <v>2964</v>
      </c>
    </row>
    <row r="909" spans="1:11" x14ac:dyDescent="0.35">
      <c r="A909" s="14" t="s">
        <v>2965</v>
      </c>
      <c r="B909" s="14" t="s">
        <v>2966</v>
      </c>
      <c r="C909" s="14" t="s">
        <v>903</v>
      </c>
      <c r="D909" s="14" t="s">
        <v>463</v>
      </c>
      <c r="E909" s="14" t="s">
        <v>108</v>
      </c>
      <c r="F909" s="14">
        <v>1</v>
      </c>
      <c r="G909" s="14">
        <v>210930</v>
      </c>
      <c r="H909" s="14">
        <v>15</v>
      </c>
      <c r="I909" s="14" t="s">
        <v>73</v>
      </c>
      <c r="J909" s="14" t="s">
        <v>115</v>
      </c>
      <c r="K909" s="14" t="s">
        <v>2967</v>
      </c>
    </row>
    <row r="910" spans="1:11" x14ac:dyDescent="0.35">
      <c r="A910" s="14" t="s">
        <v>2968</v>
      </c>
      <c r="B910" s="14" t="s">
        <v>2616</v>
      </c>
      <c r="C910" s="14" t="s">
        <v>368</v>
      </c>
      <c r="D910" s="14" t="s">
        <v>315</v>
      </c>
      <c r="E910" s="14" t="s">
        <v>126</v>
      </c>
      <c r="F910" s="14">
        <v>-1</v>
      </c>
      <c r="G910" s="14">
        <v>193520</v>
      </c>
      <c r="H910" s="14">
        <v>15</v>
      </c>
      <c r="I910" s="14" t="s">
        <v>268</v>
      </c>
      <c r="J910" s="14" t="s">
        <v>115</v>
      </c>
      <c r="K910" s="14"/>
    </row>
    <row r="911" spans="1:11" x14ac:dyDescent="0.35">
      <c r="A911" s="14" t="s">
        <v>2969</v>
      </c>
      <c r="B911" s="14" t="s">
        <v>2970</v>
      </c>
      <c r="C911" s="14" t="s">
        <v>211</v>
      </c>
      <c r="D911" s="14" t="s">
        <v>310</v>
      </c>
      <c r="E911" s="14" t="s">
        <v>80</v>
      </c>
      <c r="F911" s="14">
        <v>2</v>
      </c>
      <c r="G911" s="14">
        <v>141800</v>
      </c>
      <c r="H911" s="14"/>
      <c r="I911" s="14" t="s">
        <v>73</v>
      </c>
      <c r="J911" s="14" t="s">
        <v>58</v>
      </c>
      <c r="K911" s="14" t="s">
        <v>2971</v>
      </c>
    </row>
    <row r="912" spans="1:11" x14ac:dyDescent="0.35">
      <c r="A912" s="14" t="s">
        <v>2972</v>
      </c>
      <c r="B912" s="14" t="s">
        <v>594</v>
      </c>
      <c r="C912" s="14" t="s">
        <v>534</v>
      </c>
      <c r="D912" s="14" t="s">
        <v>684</v>
      </c>
      <c r="E912" s="14" t="s">
        <v>126</v>
      </c>
      <c r="F912" s="14">
        <v>2</v>
      </c>
      <c r="G912" s="14">
        <v>126730</v>
      </c>
      <c r="H912" s="14">
        <v>-5</v>
      </c>
      <c r="I912" s="14" t="s">
        <v>424</v>
      </c>
      <c r="J912" s="14" t="s">
        <v>66</v>
      </c>
      <c r="K912" s="14" t="s">
        <v>2973</v>
      </c>
    </row>
    <row r="913" spans="1:11" x14ac:dyDescent="0.35">
      <c r="A913" s="14" t="s">
        <v>2974</v>
      </c>
      <c r="B913" s="14" t="s">
        <v>2975</v>
      </c>
      <c r="C913" s="14" t="s">
        <v>187</v>
      </c>
      <c r="D913" s="14" t="s">
        <v>255</v>
      </c>
      <c r="E913" s="14" t="s">
        <v>56</v>
      </c>
      <c r="F913" s="14">
        <v>1</v>
      </c>
      <c r="G913" s="14">
        <v>187780</v>
      </c>
      <c r="H913" s="14">
        <v>0</v>
      </c>
      <c r="I913" s="14" t="s">
        <v>95</v>
      </c>
      <c r="J913" s="14" t="s">
        <v>74</v>
      </c>
      <c r="K913" s="14" t="s">
        <v>2976</v>
      </c>
    </row>
    <row r="914" spans="1:11" x14ac:dyDescent="0.35">
      <c r="A914" s="14" t="s">
        <v>2977</v>
      </c>
      <c r="B914" s="14" t="s">
        <v>2978</v>
      </c>
      <c r="C914" s="14" t="s">
        <v>54</v>
      </c>
      <c r="D914" s="14" t="s">
        <v>989</v>
      </c>
      <c r="E914" s="14" t="s">
        <v>56</v>
      </c>
      <c r="F914" s="14">
        <v>0</v>
      </c>
      <c r="G914" s="14">
        <v>9780</v>
      </c>
      <c r="H914" s="14"/>
      <c r="I914" s="14" t="s">
        <v>95</v>
      </c>
      <c r="J914" s="14" t="s">
        <v>149</v>
      </c>
      <c r="K914" s="14" t="s">
        <v>2979</v>
      </c>
    </row>
    <row r="915" spans="1:11" x14ac:dyDescent="0.35">
      <c r="A915" s="14" t="s">
        <v>2980</v>
      </c>
      <c r="B915" s="14" t="s">
        <v>2981</v>
      </c>
      <c r="C915" s="14" t="s">
        <v>462</v>
      </c>
      <c r="D915" s="14" t="s">
        <v>418</v>
      </c>
      <c r="E915" s="14" t="s">
        <v>113</v>
      </c>
      <c r="F915" s="14">
        <v>1</v>
      </c>
      <c r="G915" s="14">
        <v>65850</v>
      </c>
      <c r="H915" s="14">
        <v>15</v>
      </c>
      <c r="I915" s="14" t="s">
        <v>95</v>
      </c>
      <c r="J915" s="14" t="s">
        <v>90</v>
      </c>
      <c r="K915" s="14"/>
    </row>
    <row r="916" spans="1:11" x14ac:dyDescent="0.35">
      <c r="A916" s="14" t="s">
        <v>2982</v>
      </c>
      <c r="B916" s="14" t="s">
        <v>2983</v>
      </c>
      <c r="C916" s="14" t="s">
        <v>1018</v>
      </c>
      <c r="D916" s="14" t="s">
        <v>529</v>
      </c>
      <c r="E916" s="14" t="s">
        <v>80</v>
      </c>
      <c r="F916" s="14">
        <v>3</v>
      </c>
      <c r="G916" s="14" t="s">
        <v>2984</v>
      </c>
      <c r="H916" s="14">
        <v>0</v>
      </c>
      <c r="I916" s="14" t="s">
        <v>114</v>
      </c>
      <c r="J916" s="14" t="s">
        <v>83</v>
      </c>
      <c r="K916" s="14"/>
    </row>
    <row r="917" spans="1:11" x14ac:dyDescent="0.35">
      <c r="A917" s="14" t="s">
        <v>2985</v>
      </c>
      <c r="B917" s="14" t="s">
        <v>2986</v>
      </c>
      <c r="C917" s="14" t="s">
        <v>129</v>
      </c>
      <c r="D917" s="14" t="s">
        <v>231</v>
      </c>
      <c r="E917" s="14" t="s">
        <v>101</v>
      </c>
      <c r="F917" s="14">
        <v>1</v>
      </c>
      <c r="G917" s="14">
        <v>166150</v>
      </c>
      <c r="H917" s="14">
        <v>5</v>
      </c>
      <c r="I917" s="14" t="s">
        <v>65</v>
      </c>
      <c r="J917" s="14" t="s">
        <v>83</v>
      </c>
      <c r="K917" s="14"/>
    </row>
    <row r="918" spans="1:11" x14ac:dyDescent="0.35">
      <c r="A918" s="14" t="s">
        <v>2987</v>
      </c>
      <c r="B918" s="14" t="s">
        <v>2988</v>
      </c>
      <c r="C918" s="14" t="s">
        <v>124</v>
      </c>
      <c r="D918" s="14" t="s">
        <v>167</v>
      </c>
      <c r="E918" s="14" t="s">
        <v>80</v>
      </c>
      <c r="F918" s="14">
        <v>2</v>
      </c>
      <c r="G918" s="14">
        <v>35660</v>
      </c>
      <c r="H918" s="14">
        <v>10</v>
      </c>
      <c r="I918" s="14" t="s">
        <v>378</v>
      </c>
      <c r="J918" s="14" t="s">
        <v>149</v>
      </c>
      <c r="K918" s="14" t="s">
        <v>2989</v>
      </c>
    </row>
    <row r="919" spans="1:11" x14ac:dyDescent="0.35">
      <c r="A919" s="14" t="s">
        <v>2990</v>
      </c>
      <c r="B919" s="14" t="s">
        <v>2991</v>
      </c>
      <c r="C919" s="14" t="s">
        <v>385</v>
      </c>
      <c r="D919" s="14" t="s">
        <v>369</v>
      </c>
      <c r="E919" s="14" t="s">
        <v>64</v>
      </c>
      <c r="F919" s="14">
        <v>0</v>
      </c>
      <c r="G919" s="14">
        <v>94310</v>
      </c>
      <c r="H919" s="14" t="s">
        <v>81</v>
      </c>
      <c r="I919" s="14" t="s">
        <v>114</v>
      </c>
      <c r="J919" s="14" t="s">
        <v>58</v>
      </c>
      <c r="K919" s="14" t="s">
        <v>2992</v>
      </c>
    </row>
    <row r="920" spans="1:11" x14ac:dyDescent="0.35">
      <c r="A920" s="14" t="s">
        <v>2993</v>
      </c>
      <c r="B920" s="14" t="s">
        <v>2994</v>
      </c>
      <c r="C920" s="14" t="s">
        <v>1378</v>
      </c>
      <c r="D920" s="14" t="s">
        <v>458</v>
      </c>
      <c r="E920" s="14" t="s">
        <v>80</v>
      </c>
      <c r="F920" s="14">
        <v>1</v>
      </c>
      <c r="G920" s="14">
        <v>32090</v>
      </c>
      <c r="H920" s="14">
        <v>10</v>
      </c>
      <c r="I920" s="14" t="s">
        <v>268</v>
      </c>
      <c r="J920" s="14" t="s">
        <v>58</v>
      </c>
      <c r="K920" s="14" t="s">
        <v>2995</v>
      </c>
    </row>
    <row r="921" spans="1:11" x14ac:dyDescent="0.35">
      <c r="A921" s="14" t="s">
        <v>2996</v>
      </c>
      <c r="B921" s="14" t="s">
        <v>2997</v>
      </c>
      <c r="C921" s="14" t="s">
        <v>314</v>
      </c>
      <c r="D921" s="14" t="s">
        <v>172</v>
      </c>
      <c r="E921" s="14" t="s">
        <v>126</v>
      </c>
      <c r="F921" s="14">
        <v>1</v>
      </c>
      <c r="G921" s="14" t="s">
        <v>2998</v>
      </c>
      <c r="H921" s="14">
        <v>5</v>
      </c>
      <c r="I921" s="14" t="s">
        <v>158</v>
      </c>
      <c r="J921" s="14" t="s">
        <v>174</v>
      </c>
      <c r="K921" s="14" t="s">
        <v>2999</v>
      </c>
    </row>
    <row r="922" spans="1:11" x14ac:dyDescent="0.35">
      <c r="A922" s="14" t="s">
        <v>3000</v>
      </c>
      <c r="B922" s="14" t="s">
        <v>3001</v>
      </c>
      <c r="C922" s="14" t="s">
        <v>439</v>
      </c>
      <c r="D922" s="14" t="s">
        <v>259</v>
      </c>
      <c r="E922" s="14" t="s">
        <v>101</v>
      </c>
      <c r="F922" s="14">
        <v>1</v>
      </c>
      <c r="G922" s="14">
        <v>62400</v>
      </c>
      <c r="H922" s="14">
        <v>0</v>
      </c>
      <c r="I922" s="14" t="s">
        <v>158</v>
      </c>
      <c r="J922" s="14" t="s">
        <v>149</v>
      </c>
      <c r="K922" s="14" t="s">
        <v>3002</v>
      </c>
    </row>
    <row r="923" spans="1:11" x14ac:dyDescent="0.35">
      <c r="A923" s="14" t="s">
        <v>3003</v>
      </c>
      <c r="B923" s="14" t="s">
        <v>3004</v>
      </c>
      <c r="C923" s="14" t="s">
        <v>106</v>
      </c>
      <c r="D923" s="14" t="s">
        <v>107</v>
      </c>
      <c r="E923" s="14" t="s">
        <v>72</v>
      </c>
      <c r="F923" s="14">
        <v>-1</v>
      </c>
      <c r="G923" s="14">
        <v>212760</v>
      </c>
      <c r="H923" s="14">
        <v>15</v>
      </c>
      <c r="I923" s="14" t="s">
        <v>82</v>
      </c>
      <c r="J923" s="14" t="s">
        <v>66</v>
      </c>
      <c r="K923" s="14" t="s">
        <v>3005</v>
      </c>
    </row>
    <row r="924" spans="1:11" x14ac:dyDescent="0.35">
      <c r="A924" s="14" t="s">
        <v>3006</v>
      </c>
      <c r="B924" s="14" t="s">
        <v>3007</v>
      </c>
      <c r="C924" s="14" t="s">
        <v>111</v>
      </c>
      <c r="D924" s="14" t="s">
        <v>94</v>
      </c>
      <c r="E924" s="14" t="s">
        <v>101</v>
      </c>
      <c r="F924" s="14">
        <v>2</v>
      </c>
      <c r="G924" s="14">
        <v>41020</v>
      </c>
      <c r="H924" s="14">
        <v>15</v>
      </c>
      <c r="I924" s="14" t="s">
        <v>158</v>
      </c>
      <c r="J924" s="14" t="s">
        <v>74</v>
      </c>
      <c r="K924" s="14" t="s">
        <v>3008</v>
      </c>
    </row>
    <row r="925" spans="1:11" x14ac:dyDescent="0.35">
      <c r="A925" s="14" t="s">
        <v>3009</v>
      </c>
      <c r="B925" s="14" t="s">
        <v>3010</v>
      </c>
      <c r="C925" s="14"/>
      <c r="D925" s="14" t="s">
        <v>329</v>
      </c>
      <c r="E925" s="14" t="s">
        <v>72</v>
      </c>
      <c r="F925" s="14">
        <v>3</v>
      </c>
      <c r="G925" s="14" t="s">
        <v>3011</v>
      </c>
      <c r="H925" s="14">
        <v>0</v>
      </c>
      <c r="I925" s="14" t="s">
        <v>73</v>
      </c>
      <c r="J925" s="14" t="s">
        <v>83</v>
      </c>
      <c r="K925" s="14"/>
    </row>
    <row r="926" spans="1:11" x14ac:dyDescent="0.35">
      <c r="A926" s="14" t="s">
        <v>3012</v>
      </c>
      <c r="B926" s="14" t="s">
        <v>3013</v>
      </c>
      <c r="C926" s="14" t="s">
        <v>768</v>
      </c>
      <c r="D926" s="14" t="s">
        <v>369</v>
      </c>
      <c r="E926" s="14" t="s">
        <v>108</v>
      </c>
      <c r="F926" s="14">
        <v>1</v>
      </c>
      <c r="G926" s="14">
        <v>195340</v>
      </c>
      <c r="H926" s="14">
        <v>-5</v>
      </c>
      <c r="I926" s="14" t="s">
        <v>95</v>
      </c>
      <c r="J926" s="14" t="s">
        <v>174</v>
      </c>
      <c r="K926" s="14" t="s">
        <v>3014</v>
      </c>
    </row>
    <row r="927" spans="1:11" x14ac:dyDescent="0.35">
      <c r="A927" s="14" t="s">
        <v>3015</v>
      </c>
      <c r="B927" s="14" t="s">
        <v>3016</v>
      </c>
      <c r="C927" s="14" t="s">
        <v>799</v>
      </c>
      <c r="D927" s="14" t="s">
        <v>216</v>
      </c>
      <c r="E927" s="14" t="s">
        <v>108</v>
      </c>
      <c r="F927" s="14">
        <v>2</v>
      </c>
      <c r="G927" s="14">
        <v>147580</v>
      </c>
      <c r="H927" s="14">
        <v>5</v>
      </c>
      <c r="I927" s="14" t="s">
        <v>121</v>
      </c>
      <c r="J927" s="14" t="s">
        <v>58</v>
      </c>
      <c r="K927" s="14" t="s">
        <v>3017</v>
      </c>
    </row>
    <row r="928" spans="1:11" x14ac:dyDescent="0.35">
      <c r="A928" s="14" t="s">
        <v>3018</v>
      </c>
      <c r="B928" s="14" t="s">
        <v>3019</v>
      </c>
      <c r="C928" s="14" t="s">
        <v>689</v>
      </c>
      <c r="D928" s="14" t="s">
        <v>71</v>
      </c>
      <c r="E928" s="14" t="s">
        <v>108</v>
      </c>
      <c r="F928" s="14">
        <v>1</v>
      </c>
      <c r="G928" s="14">
        <v>160640</v>
      </c>
      <c r="H928" s="14">
        <v>0</v>
      </c>
      <c r="I928" s="14" t="s">
        <v>73</v>
      </c>
      <c r="J928" s="14" t="s">
        <v>83</v>
      </c>
      <c r="K928" s="14"/>
    </row>
    <row r="929" spans="1:11" x14ac:dyDescent="0.35">
      <c r="A929" s="14" t="s">
        <v>3020</v>
      </c>
      <c r="B929" s="14" t="s">
        <v>3021</v>
      </c>
      <c r="C929" s="14" t="s">
        <v>534</v>
      </c>
      <c r="D929" s="14" t="s">
        <v>445</v>
      </c>
      <c r="E929" s="14" t="s">
        <v>113</v>
      </c>
      <c r="F929" s="14">
        <v>1</v>
      </c>
      <c r="G929" s="14" t="s">
        <v>3022</v>
      </c>
      <c r="H929" s="14">
        <v>15</v>
      </c>
      <c r="I929" s="14" t="s">
        <v>121</v>
      </c>
      <c r="J929" s="14" t="s">
        <v>74</v>
      </c>
      <c r="K929" s="14" t="s">
        <v>3023</v>
      </c>
    </row>
    <row r="930" spans="1:11" x14ac:dyDescent="0.35">
      <c r="A930" s="14" t="s">
        <v>3024</v>
      </c>
      <c r="B930" s="14" t="s">
        <v>3025</v>
      </c>
      <c r="C930" s="14" t="s">
        <v>468</v>
      </c>
      <c r="D930" s="14" t="s">
        <v>315</v>
      </c>
      <c r="E930" s="14" t="s">
        <v>113</v>
      </c>
      <c r="F930" s="14">
        <v>0</v>
      </c>
      <c r="G930" s="14">
        <v>185030</v>
      </c>
      <c r="H930" s="14">
        <v>5</v>
      </c>
      <c r="I930" s="14" t="s">
        <v>73</v>
      </c>
      <c r="J930" s="14" t="s">
        <v>74</v>
      </c>
      <c r="K930" s="14" t="s">
        <v>3026</v>
      </c>
    </row>
    <row r="931" spans="1:11" x14ac:dyDescent="0.35">
      <c r="A931" s="14" t="s">
        <v>3027</v>
      </c>
      <c r="B931" s="14" t="s">
        <v>3028</v>
      </c>
      <c r="C931" s="14" t="s">
        <v>1218</v>
      </c>
      <c r="D931" s="14" t="s">
        <v>342</v>
      </c>
      <c r="E931" s="14" t="s">
        <v>126</v>
      </c>
      <c r="F931" s="14">
        <v>1</v>
      </c>
      <c r="G931" s="14" t="s">
        <v>3029</v>
      </c>
      <c r="H931" s="14">
        <v>10</v>
      </c>
      <c r="I931" s="14" t="s">
        <v>378</v>
      </c>
      <c r="J931" s="14" t="s">
        <v>74</v>
      </c>
      <c r="K931" s="14" t="s">
        <v>3030</v>
      </c>
    </row>
    <row r="932" spans="1:11" x14ac:dyDescent="0.35">
      <c r="A932" s="14" t="s">
        <v>3031</v>
      </c>
      <c r="B932" s="14" t="s">
        <v>3032</v>
      </c>
      <c r="C932" s="14" t="s">
        <v>903</v>
      </c>
      <c r="D932" s="14" t="s">
        <v>55</v>
      </c>
      <c r="E932" s="14" t="s">
        <v>108</v>
      </c>
      <c r="F932" s="14">
        <v>3</v>
      </c>
      <c r="G932" s="14">
        <v>89820</v>
      </c>
      <c r="H932" s="14">
        <v>-5</v>
      </c>
      <c r="I932" s="14" t="s">
        <v>73</v>
      </c>
      <c r="J932" s="14" t="s">
        <v>83</v>
      </c>
      <c r="K932" s="14"/>
    </row>
    <row r="933" spans="1:11" x14ac:dyDescent="0.35">
      <c r="A933" s="14" t="s">
        <v>3033</v>
      </c>
      <c r="B933" s="14" t="s">
        <v>3034</v>
      </c>
      <c r="C933" s="14" t="s">
        <v>411</v>
      </c>
      <c r="D933" s="14" t="s">
        <v>135</v>
      </c>
      <c r="E933" s="14" t="s">
        <v>126</v>
      </c>
      <c r="F933" s="14">
        <v>2</v>
      </c>
      <c r="G933" s="14">
        <v>87070</v>
      </c>
      <c r="H933" s="14"/>
      <c r="I933" s="14" t="s">
        <v>95</v>
      </c>
      <c r="J933" s="14" t="s">
        <v>83</v>
      </c>
      <c r="K933" s="14"/>
    </row>
    <row r="934" spans="1:11" x14ac:dyDescent="0.35">
      <c r="A934" s="14" t="s">
        <v>3035</v>
      </c>
      <c r="B934" s="14" t="s">
        <v>3036</v>
      </c>
      <c r="C934" s="14" t="s">
        <v>1829</v>
      </c>
      <c r="D934" s="14" t="s">
        <v>125</v>
      </c>
      <c r="E934" s="14" t="s">
        <v>80</v>
      </c>
      <c r="F934" s="14">
        <v>2</v>
      </c>
      <c r="G934" s="14">
        <v>57840</v>
      </c>
      <c r="H934" s="14" t="s">
        <v>81</v>
      </c>
      <c r="I934" s="14" t="s">
        <v>121</v>
      </c>
      <c r="J934" s="14" t="s">
        <v>66</v>
      </c>
      <c r="K934" s="14" t="s">
        <v>3037</v>
      </c>
    </row>
    <row r="935" spans="1:11" x14ac:dyDescent="0.35">
      <c r="A935" s="14" t="s">
        <v>3038</v>
      </c>
      <c r="B935" s="14" t="s">
        <v>3039</v>
      </c>
      <c r="C935" s="14" t="s">
        <v>750</v>
      </c>
      <c r="D935" s="14" t="s">
        <v>310</v>
      </c>
      <c r="E935" s="14" t="s">
        <v>126</v>
      </c>
      <c r="F935" s="14">
        <v>-1</v>
      </c>
      <c r="G935" s="14" t="s">
        <v>3040</v>
      </c>
      <c r="H935" s="14">
        <v>-5</v>
      </c>
      <c r="I935" s="14" t="s">
        <v>57</v>
      </c>
      <c r="J935" s="14" t="s">
        <v>74</v>
      </c>
      <c r="K935" s="14" t="s">
        <v>3041</v>
      </c>
    </row>
    <row r="936" spans="1:11" x14ac:dyDescent="0.35">
      <c r="A936" s="14" t="s">
        <v>3042</v>
      </c>
      <c r="B936" s="14" t="s">
        <v>3043</v>
      </c>
      <c r="C936" s="14" t="s">
        <v>341</v>
      </c>
      <c r="D936" s="14" t="s">
        <v>231</v>
      </c>
      <c r="E936" s="14" t="s">
        <v>108</v>
      </c>
      <c r="F936" s="14">
        <v>0</v>
      </c>
      <c r="G936" s="14" t="s">
        <v>3044</v>
      </c>
      <c r="H936" s="14">
        <v>10</v>
      </c>
      <c r="I936" s="14" t="s">
        <v>95</v>
      </c>
      <c r="J936" s="14" t="s">
        <v>66</v>
      </c>
      <c r="K936" s="14" t="s">
        <v>3045</v>
      </c>
    </row>
    <row r="937" spans="1:11" x14ac:dyDescent="0.35">
      <c r="A937" s="14" t="s">
        <v>3046</v>
      </c>
      <c r="B937" s="14" t="s">
        <v>3047</v>
      </c>
      <c r="C937" s="14" t="s">
        <v>54</v>
      </c>
      <c r="D937" s="14" t="s">
        <v>207</v>
      </c>
      <c r="E937" s="14" t="s">
        <v>80</v>
      </c>
      <c r="F937" s="14">
        <v>1</v>
      </c>
      <c r="G937" s="14">
        <v>234450</v>
      </c>
      <c r="H937" s="14">
        <v>0</v>
      </c>
      <c r="I937" s="14" t="s">
        <v>82</v>
      </c>
      <c r="J937" s="14" t="s">
        <v>115</v>
      </c>
      <c r="K937" s="14"/>
    </row>
    <row r="938" spans="1:11" x14ac:dyDescent="0.35">
      <c r="A938" s="14" t="s">
        <v>3048</v>
      </c>
      <c r="B938" s="14" t="s">
        <v>3049</v>
      </c>
      <c r="C938" s="14" t="s">
        <v>915</v>
      </c>
      <c r="D938" s="14" t="s">
        <v>264</v>
      </c>
      <c r="E938" s="14" t="s">
        <v>72</v>
      </c>
      <c r="F938" s="14">
        <v>1</v>
      </c>
      <c r="G938" s="14" t="s">
        <v>2163</v>
      </c>
      <c r="H938" s="14">
        <v>-5</v>
      </c>
      <c r="I938" s="14" t="s">
        <v>121</v>
      </c>
      <c r="J938" s="14" t="s">
        <v>83</v>
      </c>
      <c r="K938" s="14"/>
    </row>
    <row r="939" spans="1:11" x14ac:dyDescent="0.35">
      <c r="A939" s="14" t="s">
        <v>3050</v>
      </c>
      <c r="B939" s="14" t="s">
        <v>3051</v>
      </c>
      <c r="C939" s="14" t="s">
        <v>203</v>
      </c>
      <c r="D939" s="14" t="s">
        <v>255</v>
      </c>
      <c r="E939" s="14" t="s">
        <v>56</v>
      </c>
      <c r="F939" s="14">
        <v>1</v>
      </c>
      <c r="G939" s="14">
        <v>87430</v>
      </c>
      <c r="H939" s="14">
        <v>5</v>
      </c>
      <c r="I939" s="14" t="s">
        <v>95</v>
      </c>
      <c r="J939" s="14" t="s">
        <v>115</v>
      </c>
      <c r="K939" s="14" t="s">
        <v>3052</v>
      </c>
    </row>
    <row r="940" spans="1:11" x14ac:dyDescent="0.35">
      <c r="A940" s="14" t="s">
        <v>3053</v>
      </c>
      <c r="B940" s="14" t="s">
        <v>3054</v>
      </c>
      <c r="C940" s="14" t="s">
        <v>153</v>
      </c>
      <c r="D940" s="14" t="s">
        <v>369</v>
      </c>
      <c r="E940" s="14" t="s">
        <v>113</v>
      </c>
      <c r="F940" s="14">
        <v>2</v>
      </c>
      <c r="G940" s="14">
        <v>131000</v>
      </c>
      <c r="H940" s="14">
        <v>-5</v>
      </c>
      <c r="I940" s="14" t="s">
        <v>121</v>
      </c>
      <c r="J940" s="14" t="s">
        <v>90</v>
      </c>
      <c r="K940" s="14" t="s">
        <v>3055</v>
      </c>
    </row>
    <row r="941" spans="1:11" x14ac:dyDescent="0.35">
      <c r="A941" s="14" t="s">
        <v>3056</v>
      </c>
      <c r="B941" s="14" t="s">
        <v>3057</v>
      </c>
      <c r="C941" s="14" t="s">
        <v>153</v>
      </c>
      <c r="D941" s="14" t="s">
        <v>154</v>
      </c>
      <c r="E941" s="14" t="s">
        <v>108</v>
      </c>
      <c r="F941" s="14">
        <v>0</v>
      </c>
      <c r="G941" s="14" t="s">
        <v>3058</v>
      </c>
      <c r="H941" s="14">
        <v>10</v>
      </c>
      <c r="I941" s="14" t="s">
        <v>73</v>
      </c>
      <c r="J941" s="14" t="s">
        <v>83</v>
      </c>
      <c r="K941" s="14" t="s">
        <v>3059</v>
      </c>
    </row>
    <row r="942" spans="1:11" x14ac:dyDescent="0.35">
      <c r="A942" s="14" t="s">
        <v>3060</v>
      </c>
      <c r="B942" s="14" t="s">
        <v>3061</v>
      </c>
      <c r="C942" s="14" t="s">
        <v>1142</v>
      </c>
      <c r="D942" s="14" t="s">
        <v>418</v>
      </c>
      <c r="E942" s="14" t="s">
        <v>101</v>
      </c>
      <c r="F942" s="14">
        <v>2</v>
      </c>
      <c r="G942" s="14">
        <v>245970</v>
      </c>
      <c r="H942" s="14">
        <v>5</v>
      </c>
      <c r="I942" s="14" t="s">
        <v>73</v>
      </c>
      <c r="J942" s="14" t="s">
        <v>149</v>
      </c>
      <c r="K942" s="14"/>
    </row>
    <row r="943" spans="1:11" x14ac:dyDescent="0.35">
      <c r="A943" s="14" t="s">
        <v>3062</v>
      </c>
      <c r="B943" s="14" t="s">
        <v>3063</v>
      </c>
      <c r="C943" s="14" t="s">
        <v>306</v>
      </c>
      <c r="D943" s="14" t="s">
        <v>1309</v>
      </c>
      <c r="E943" s="14" t="s">
        <v>72</v>
      </c>
      <c r="F943" s="14">
        <v>2</v>
      </c>
      <c r="G943" s="14">
        <v>154170</v>
      </c>
      <c r="H943" s="14" t="s">
        <v>81</v>
      </c>
      <c r="I943" s="14" t="s">
        <v>73</v>
      </c>
      <c r="J943" s="14" t="s">
        <v>66</v>
      </c>
      <c r="K943" s="14" t="s">
        <v>3064</v>
      </c>
    </row>
    <row r="944" spans="1:11" x14ac:dyDescent="0.35">
      <c r="A944" s="14" t="s">
        <v>3065</v>
      </c>
      <c r="B944" s="14" t="s">
        <v>3036</v>
      </c>
      <c r="C944" s="14" t="s">
        <v>171</v>
      </c>
      <c r="D944" s="14" t="s">
        <v>207</v>
      </c>
      <c r="E944" s="14" t="s">
        <v>80</v>
      </c>
      <c r="F944" s="14">
        <v>0</v>
      </c>
      <c r="G944" s="14">
        <v>233820</v>
      </c>
      <c r="H944" s="14">
        <v>10</v>
      </c>
      <c r="I944" s="14" t="s">
        <v>73</v>
      </c>
      <c r="J944" s="14" t="s">
        <v>149</v>
      </c>
      <c r="K944" s="14" t="s">
        <v>3066</v>
      </c>
    </row>
    <row r="945" spans="1:11" x14ac:dyDescent="0.35">
      <c r="A945" s="14" t="s">
        <v>3067</v>
      </c>
      <c r="B945" s="14" t="s">
        <v>3068</v>
      </c>
      <c r="C945" s="14"/>
      <c r="D945" s="14" t="s">
        <v>259</v>
      </c>
      <c r="E945" s="14" t="s">
        <v>108</v>
      </c>
      <c r="F945" s="14">
        <v>2</v>
      </c>
      <c r="G945" s="14" t="s">
        <v>3069</v>
      </c>
      <c r="H945" s="14"/>
      <c r="I945" s="14" t="s">
        <v>424</v>
      </c>
      <c r="J945" s="14" t="s">
        <v>115</v>
      </c>
      <c r="K945" s="14"/>
    </row>
    <row r="946" spans="1:11" x14ac:dyDescent="0.35">
      <c r="A946" s="14" t="s">
        <v>3070</v>
      </c>
      <c r="B946" s="14" t="s">
        <v>3071</v>
      </c>
      <c r="C946" s="14" t="s">
        <v>504</v>
      </c>
      <c r="D946" s="14" t="s">
        <v>55</v>
      </c>
      <c r="E946" s="14" t="s">
        <v>64</v>
      </c>
      <c r="F946" s="14">
        <v>1</v>
      </c>
      <c r="G946" s="14">
        <v>83920</v>
      </c>
      <c r="H946" s="14"/>
      <c r="I946" s="14" t="s">
        <v>95</v>
      </c>
      <c r="J946" s="14" t="s">
        <v>115</v>
      </c>
      <c r="K946" s="14" t="s">
        <v>3072</v>
      </c>
    </row>
    <row r="947" spans="1:11" x14ac:dyDescent="0.35">
      <c r="A947" s="14" t="s">
        <v>3073</v>
      </c>
      <c r="B947" s="14" t="s">
        <v>3074</v>
      </c>
      <c r="C947" s="14" t="s">
        <v>781</v>
      </c>
      <c r="D947" s="14" t="s">
        <v>482</v>
      </c>
      <c r="E947" s="14" t="s">
        <v>80</v>
      </c>
      <c r="F947" s="14">
        <v>0</v>
      </c>
      <c r="G947" s="14">
        <v>29070</v>
      </c>
      <c r="H947" s="14">
        <v>0</v>
      </c>
      <c r="I947" s="14" t="s">
        <v>424</v>
      </c>
      <c r="J947" s="14" t="s">
        <v>149</v>
      </c>
      <c r="K947" s="14"/>
    </row>
    <row r="948" spans="1:11" x14ac:dyDescent="0.35">
      <c r="A948" s="14" t="s">
        <v>3075</v>
      </c>
      <c r="B948" s="14" t="s">
        <v>3076</v>
      </c>
      <c r="C948" s="14" t="s">
        <v>1861</v>
      </c>
      <c r="D948" s="14" t="s">
        <v>192</v>
      </c>
      <c r="E948" s="14" t="s">
        <v>80</v>
      </c>
      <c r="F948" s="14">
        <v>2</v>
      </c>
      <c r="G948" s="14">
        <v>214980</v>
      </c>
      <c r="H948" s="14"/>
      <c r="I948" s="14" t="s">
        <v>114</v>
      </c>
      <c r="J948" s="14" t="s">
        <v>149</v>
      </c>
      <c r="K948" s="14"/>
    </row>
    <row r="949" spans="1:11" x14ac:dyDescent="0.35">
      <c r="A949" s="14" t="s">
        <v>3077</v>
      </c>
      <c r="B949" s="14" t="s">
        <v>3078</v>
      </c>
      <c r="C949" s="14" t="s">
        <v>674</v>
      </c>
      <c r="D949" s="14" t="s">
        <v>989</v>
      </c>
      <c r="E949" s="14" t="s">
        <v>126</v>
      </c>
      <c r="F949" s="14">
        <v>1</v>
      </c>
      <c r="G949" s="14">
        <v>99570</v>
      </c>
      <c r="H949" s="14">
        <v>5</v>
      </c>
      <c r="I949" s="14" t="s">
        <v>89</v>
      </c>
      <c r="J949" s="14" t="s">
        <v>66</v>
      </c>
      <c r="K949" s="14" t="s">
        <v>3079</v>
      </c>
    </row>
    <row r="950" spans="1:11" x14ac:dyDescent="0.35">
      <c r="A950" s="14" t="s">
        <v>3080</v>
      </c>
      <c r="B950" s="14" t="s">
        <v>3081</v>
      </c>
      <c r="C950" s="14" t="s">
        <v>365</v>
      </c>
      <c r="D950" s="14" t="s">
        <v>231</v>
      </c>
      <c r="E950" s="14" t="s">
        <v>101</v>
      </c>
      <c r="F950" s="14">
        <v>1</v>
      </c>
      <c r="G950" s="14" t="s">
        <v>3082</v>
      </c>
      <c r="H950" s="14">
        <v>5</v>
      </c>
      <c r="I950" s="14" t="s">
        <v>73</v>
      </c>
      <c r="J950" s="14" t="s">
        <v>90</v>
      </c>
      <c r="K950" s="14" t="s">
        <v>3083</v>
      </c>
    </row>
    <row r="951" spans="1:11" x14ac:dyDescent="0.35">
      <c r="A951" s="14" t="s">
        <v>3084</v>
      </c>
      <c r="B951" s="14" t="s">
        <v>3085</v>
      </c>
      <c r="C951" s="14" t="s">
        <v>661</v>
      </c>
      <c r="D951" s="14" t="s">
        <v>529</v>
      </c>
      <c r="E951" s="14" t="s">
        <v>101</v>
      </c>
      <c r="F951" s="14">
        <v>1</v>
      </c>
      <c r="G951" s="14">
        <v>191640</v>
      </c>
      <c r="H951" s="14">
        <v>10</v>
      </c>
      <c r="I951" s="14" t="s">
        <v>121</v>
      </c>
      <c r="J951" s="14" t="s">
        <v>115</v>
      </c>
      <c r="K951" s="14" t="s">
        <v>3086</v>
      </c>
    </row>
    <row r="952" spans="1:11" x14ac:dyDescent="0.35">
      <c r="A952" s="14" t="s">
        <v>3087</v>
      </c>
      <c r="B952" s="14" t="s">
        <v>3088</v>
      </c>
      <c r="C952" s="14" t="s">
        <v>389</v>
      </c>
      <c r="D952" s="14" t="s">
        <v>71</v>
      </c>
      <c r="E952" s="14" t="s">
        <v>56</v>
      </c>
      <c r="F952" s="14">
        <v>2</v>
      </c>
      <c r="G952" s="14" t="s">
        <v>3089</v>
      </c>
      <c r="H952" s="14" t="s">
        <v>81</v>
      </c>
      <c r="I952" s="14" t="s">
        <v>121</v>
      </c>
      <c r="J952" s="14" t="s">
        <v>66</v>
      </c>
      <c r="K952" s="14" t="s">
        <v>3090</v>
      </c>
    </row>
    <row r="953" spans="1:11" x14ac:dyDescent="0.35">
      <c r="A953" s="14" t="s">
        <v>3091</v>
      </c>
      <c r="B953" s="14" t="s">
        <v>3092</v>
      </c>
      <c r="C953" s="14" t="s">
        <v>562</v>
      </c>
      <c r="D953" s="14" t="s">
        <v>342</v>
      </c>
      <c r="E953" s="14" t="s">
        <v>126</v>
      </c>
      <c r="F953" s="14">
        <v>2</v>
      </c>
      <c r="G953" s="14">
        <v>233840</v>
      </c>
      <c r="H953" s="14"/>
      <c r="I953" s="14" t="s">
        <v>268</v>
      </c>
      <c r="J953" s="14" t="s">
        <v>115</v>
      </c>
      <c r="K953" s="14"/>
    </row>
    <row r="954" spans="1:11" x14ac:dyDescent="0.35">
      <c r="A954" s="14" t="s">
        <v>3093</v>
      </c>
      <c r="B954" s="14" t="s">
        <v>3094</v>
      </c>
      <c r="C954" s="14" t="s">
        <v>277</v>
      </c>
      <c r="D954" s="14" t="s">
        <v>55</v>
      </c>
      <c r="E954" s="14" t="s">
        <v>80</v>
      </c>
      <c r="F954" s="14">
        <v>-1</v>
      </c>
      <c r="G954" s="14" t="s">
        <v>3095</v>
      </c>
      <c r="H954" s="14">
        <v>0</v>
      </c>
      <c r="I954" s="14" t="s">
        <v>73</v>
      </c>
      <c r="J954" s="14" t="s">
        <v>174</v>
      </c>
      <c r="K954" s="14" t="s">
        <v>3096</v>
      </c>
    </row>
    <row r="955" spans="1:11" x14ac:dyDescent="0.35">
      <c r="A955" s="14" t="s">
        <v>3097</v>
      </c>
      <c r="B955" s="14" t="s">
        <v>1637</v>
      </c>
      <c r="C955" s="14" t="s">
        <v>267</v>
      </c>
      <c r="D955" s="14" t="s">
        <v>163</v>
      </c>
      <c r="E955" s="14" t="s">
        <v>108</v>
      </c>
      <c r="F955" s="14">
        <v>1</v>
      </c>
      <c r="G955" s="14">
        <v>115260</v>
      </c>
      <c r="H955" s="14">
        <v>0</v>
      </c>
      <c r="I955" s="14" t="s">
        <v>250</v>
      </c>
      <c r="J955" s="14" t="s">
        <v>58</v>
      </c>
      <c r="K955" s="14" t="s">
        <v>3098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63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14" customWidth="1"/>
    <col min="2" max="2" width="15" customWidth="1"/>
    <col min="3" max="7" width="14" customWidth="1"/>
    <col min="8" max="8" width="16" customWidth="1"/>
    <col min="9" max="11" width="14" customWidth="1"/>
  </cols>
  <sheetData>
    <row r="1" spans="1:11" x14ac:dyDescent="0.35">
      <c r="A1" s="15" t="s">
        <v>44</v>
      </c>
      <c r="B1" s="15" t="s">
        <v>3099</v>
      </c>
      <c r="C1" s="15" t="s">
        <v>3100</v>
      </c>
      <c r="D1" s="15" t="s">
        <v>3101</v>
      </c>
      <c r="E1" s="15" t="s">
        <v>3102</v>
      </c>
      <c r="F1" s="15" t="s">
        <v>3103</v>
      </c>
      <c r="G1" s="15" t="s">
        <v>3104</v>
      </c>
      <c r="H1" s="15" t="s">
        <v>3105</v>
      </c>
      <c r="I1" s="15" t="s">
        <v>3106</v>
      </c>
      <c r="J1" s="15" t="s">
        <v>3107</v>
      </c>
      <c r="K1" s="15" t="s">
        <v>3108</v>
      </c>
    </row>
    <row r="2" spans="1:11" x14ac:dyDescent="0.35">
      <c r="A2" s="14" t="s">
        <v>348</v>
      </c>
      <c r="B2" s="14" t="s">
        <v>3109</v>
      </c>
      <c r="C2" s="14" t="s">
        <v>3110</v>
      </c>
      <c r="D2" s="14" t="s">
        <v>3111</v>
      </c>
      <c r="E2" s="14" t="s">
        <v>3112</v>
      </c>
      <c r="F2" s="14">
        <v>13.46</v>
      </c>
      <c r="G2" s="14">
        <v>55220</v>
      </c>
      <c r="H2" s="14">
        <v>79770</v>
      </c>
      <c r="I2" s="14">
        <v>84</v>
      </c>
      <c r="J2" s="14" t="s">
        <v>3113</v>
      </c>
      <c r="K2" s="14" t="s">
        <v>3114</v>
      </c>
    </row>
    <row r="3" spans="1:11" x14ac:dyDescent="0.35">
      <c r="A3" s="14" t="s">
        <v>989</v>
      </c>
      <c r="B3" s="14" t="s">
        <v>3115</v>
      </c>
      <c r="C3" s="14" t="s">
        <v>3116</v>
      </c>
      <c r="D3" s="14" t="s">
        <v>3117</v>
      </c>
      <c r="E3" s="14" t="s">
        <v>3118</v>
      </c>
      <c r="F3" s="14">
        <v>21.04</v>
      </c>
      <c r="G3" s="14">
        <v>89440</v>
      </c>
      <c r="H3" s="14">
        <v>133960</v>
      </c>
      <c r="I3" s="14">
        <v>95</v>
      </c>
      <c r="J3" s="14" t="s">
        <v>3119</v>
      </c>
      <c r="K3" s="14" t="s">
        <v>3120</v>
      </c>
    </row>
    <row r="4" spans="1:11" x14ac:dyDescent="0.35">
      <c r="A4" s="14" t="s">
        <v>435</v>
      </c>
      <c r="B4" s="14" t="s">
        <v>3121</v>
      </c>
      <c r="C4" s="14" t="s">
        <v>3122</v>
      </c>
      <c r="D4" s="14" t="s">
        <v>3123</v>
      </c>
      <c r="E4" s="14" t="s">
        <v>3124</v>
      </c>
      <c r="F4" s="14">
        <v>33.24</v>
      </c>
      <c r="G4" s="14" t="s">
        <v>3125</v>
      </c>
      <c r="H4" s="14" t="s">
        <v>3126</v>
      </c>
      <c r="I4" s="14">
        <v>46</v>
      </c>
      <c r="J4" s="14" t="s">
        <v>3127</v>
      </c>
      <c r="K4" s="14" t="s">
        <v>3128</v>
      </c>
    </row>
    <row r="5" spans="1:11" x14ac:dyDescent="0.35">
      <c r="A5" s="14" t="s">
        <v>135</v>
      </c>
      <c r="B5" s="14" t="s">
        <v>3129</v>
      </c>
      <c r="C5" s="14" t="s">
        <v>3130</v>
      </c>
      <c r="D5" s="14" t="s">
        <v>3131</v>
      </c>
      <c r="E5" s="14" t="s">
        <v>3132</v>
      </c>
      <c r="F5" s="14">
        <v>13.59</v>
      </c>
      <c r="G5" s="14">
        <v>70890</v>
      </c>
      <c r="H5" s="14">
        <v>91870</v>
      </c>
      <c r="I5" s="14">
        <v>45</v>
      </c>
      <c r="J5" s="14" t="s">
        <v>3133</v>
      </c>
      <c r="K5" s="14" t="s">
        <v>3134</v>
      </c>
    </row>
    <row r="6" spans="1:11" x14ac:dyDescent="0.35">
      <c r="A6" s="14" t="s">
        <v>179</v>
      </c>
      <c r="B6" s="14" t="s">
        <v>3135</v>
      </c>
      <c r="C6" s="14" t="s">
        <v>3136</v>
      </c>
      <c r="D6" s="14" t="s">
        <v>3137</v>
      </c>
      <c r="E6" s="14" t="s">
        <v>3138</v>
      </c>
      <c r="F6" s="14">
        <v>38.159999999999997</v>
      </c>
      <c r="G6" s="14">
        <v>213510</v>
      </c>
      <c r="H6" s="14">
        <v>265100</v>
      </c>
      <c r="I6" s="14">
        <v>2</v>
      </c>
      <c r="J6" s="14" t="s">
        <v>3119</v>
      </c>
      <c r="K6" s="14" t="s">
        <v>3139</v>
      </c>
    </row>
    <row r="7" spans="1:11" x14ac:dyDescent="0.35">
      <c r="A7" s="14" t="s">
        <v>163</v>
      </c>
      <c r="B7" s="14" t="s">
        <v>3140</v>
      </c>
      <c r="C7" s="14" t="s">
        <v>3141</v>
      </c>
      <c r="D7" s="14" t="s">
        <v>3142</v>
      </c>
      <c r="E7" s="14" t="s">
        <v>3143</v>
      </c>
      <c r="F7" s="14">
        <v>7.57</v>
      </c>
      <c r="G7" s="14" t="s">
        <v>3144</v>
      </c>
      <c r="H7" s="14" t="s">
        <v>3145</v>
      </c>
      <c r="I7" s="14">
        <v>93</v>
      </c>
      <c r="J7" s="14" t="s">
        <v>3146</v>
      </c>
      <c r="K7" s="14" t="s">
        <v>3147</v>
      </c>
    </row>
    <row r="8" spans="1:11" x14ac:dyDescent="0.35">
      <c r="A8" s="14" t="s">
        <v>207</v>
      </c>
      <c r="B8" s="14" t="s">
        <v>3148</v>
      </c>
      <c r="C8" s="14" t="s">
        <v>3149</v>
      </c>
      <c r="D8" s="14" t="s">
        <v>3150</v>
      </c>
      <c r="E8" s="14" t="s">
        <v>3151</v>
      </c>
      <c r="F8" s="14">
        <v>18.239999999999998</v>
      </c>
      <c r="G8" s="14" t="s">
        <v>3152</v>
      </c>
      <c r="H8" s="14">
        <v>124620</v>
      </c>
      <c r="I8" s="14">
        <v>30</v>
      </c>
      <c r="J8" s="14" t="s">
        <v>3146</v>
      </c>
      <c r="K8" s="14" t="s">
        <v>3153</v>
      </c>
    </row>
    <row r="9" spans="1:11" x14ac:dyDescent="0.35">
      <c r="A9" s="14" t="s">
        <v>369</v>
      </c>
      <c r="B9" s="14" t="s">
        <v>3154</v>
      </c>
      <c r="C9" s="14" t="s">
        <v>3155</v>
      </c>
      <c r="D9" s="14" t="s">
        <v>3156</v>
      </c>
      <c r="E9" s="14" t="s">
        <v>3124</v>
      </c>
      <c r="F9" s="14">
        <v>39.369999999999997</v>
      </c>
      <c r="G9" s="14">
        <v>169520</v>
      </c>
      <c r="H9" s="14">
        <v>238270</v>
      </c>
      <c r="I9" s="14">
        <v>75</v>
      </c>
      <c r="J9" s="14" t="s">
        <v>3157</v>
      </c>
      <c r="K9" s="14" t="s">
        <v>3158</v>
      </c>
    </row>
    <row r="10" spans="1:11" x14ac:dyDescent="0.35">
      <c r="A10" s="14" t="s">
        <v>154</v>
      </c>
      <c r="B10" s="14" t="s">
        <v>3159</v>
      </c>
      <c r="C10" s="14" t="s">
        <v>3160</v>
      </c>
      <c r="D10" s="14" t="s">
        <v>3161</v>
      </c>
      <c r="E10" s="14" t="s">
        <v>3151</v>
      </c>
      <c r="F10" s="14">
        <v>39.69</v>
      </c>
      <c r="G10" s="14">
        <v>240390</v>
      </c>
      <c r="H10" s="14">
        <v>284680</v>
      </c>
      <c r="I10" s="14">
        <v>60</v>
      </c>
      <c r="J10" s="14" t="s">
        <v>3119</v>
      </c>
      <c r="K10" s="14" t="s">
        <v>3162</v>
      </c>
    </row>
    <row r="11" spans="1:11" x14ac:dyDescent="0.35">
      <c r="A11" s="14" t="s">
        <v>255</v>
      </c>
      <c r="B11" s="14" t="s">
        <v>3163</v>
      </c>
      <c r="C11" s="14"/>
      <c r="D11" s="14" t="s">
        <v>3164</v>
      </c>
      <c r="E11" s="14" t="s">
        <v>3138</v>
      </c>
      <c r="F11" s="14">
        <v>18.86</v>
      </c>
      <c r="G11" s="14" t="s">
        <v>3165</v>
      </c>
      <c r="H11" s="14">
        <v>130210</v>
      </c>
      <c r="I11" s="14">
        <v>113</v>
      </c>
      <c r="J11" s="14" t="s">
        <v>3146</v>
      </c>
      <c r="K11" s="14" t="s">
        <v>3166</v>
      </c>
    </row>
    <row r="12" spans="1:11" x14ac:dyDescent="0.35">
      <c r="A12" s="14" t="s">
        <v>172</v>
      </c>
      <c r="B12" s="14" t="s">
        <v>3167</v>
      </c>
      <c r="C12" s="14" t="s">
        <v>3168</v>
      </c>
      <c r="D12" s="14" t="s">
        <v>3169</v>
      </c>
      <c r="E12" s="14" t="s">
        <v>3118</v>
      </c>
      <c r="F12" s="14">
        <v>40.89</v>
      </c>
      <c r="G12" s="14">
        <v>238020</v>
      </c>
      <c r="H12" s="14">
        <v>280470</v>
      </c>
      <c r="I12" s="14">
        <v>28</v>
      </c>
      <c r="J12" s="14" t="s">
        <v>3133</v>
      </c>
      <c r="K12" s="14" t="s">
        <v>3170</v>
      </c>
    </row>
    <row r="13" spans="1:11" x14ac:dyDescent="0.35">
      <c r="A13" s="14" t="s">
        <v>144</v>
      </c>
      <c r="B13" s="14" t="s">
        <v>3171</v>
      </c>
      <c r="C13" s="14" t="s">
        <v>3172</v>
      </c>
      <c r="D13" s="14" t="s">
        <v>3173</v>
      </c>
      <c r="E13" s="14" t="s">
        <v>3112</v>
      </c>
      <c r="F13" s="14">
        <v>20.25</v>
      </c>
      <c r="G13" s="14" t="s">
        <v>3174</v>
      </c>
      <c r="H13" s="14">
        <v>125700</v>
      </c>
      <c r="I13" s="14">
        <v>91</v>
      </c>
      <c r="J13" s="14" t="s">
        <v>3127</v>
      </c>
      <c r="K13" s="14" t="s">
        <v>3175</v>
      </c>
    </row>
    <row r="14" spans="1:11" x14ac:dyDescent="0.35">
      <c r="A14" s="14" t="s">
        <v>520</v>
      </c>
      <c r="B14" s="14" t="s">
        <v>3176</v>
      </c>
      <c r="C14" s="14" t="s">
        <v>3177</v>
      </c>
      <c r="D14" s="14"/>
      <c r="E14" s="14" t="s">
        <v>3143</v>
      </c>
      <c r="F14" s="14">
        <v>21.62</v>
      </c>
      <c r="G14" s="14">
        <v>126720</v>
      </c>
      <c r="H14" s="14" t="s">
        <v>3178</v>
      </c>
      <c r="I14" s="14">
        <v>101</v>
      </c>
      <c r="J14" s="14" t="s">
        <v>3119</v>
      </c>
      <c r="K14" s="14" t="s">
        <v>3179</v>
      </c>
    </row>
    <row r="15" spans="1:11" x14ac:dyDescent="0.35">
      <c r="A15" s="14" t="s">
        <v>100</v>
      </c>
      <c r="B15" s="14" t="s">
        <v>3180</v>
      </c>
      <c r="C15" s="14" t="s">
        <v>3181</v>
      </c>
      <c r="D15" s="14" t="s">
        <v>3142</v>
      </c>
      <c r="E15" s="14" t="s">
        <v>3143</v>
      </c>
      <c r="F15" s="14">
        <v>10.8</v>
      </c>
      <c r="G15" s="14">
        <v>49490</v>
      </c>
      <c r="H15" s="14" t="s">
        <v>3182</v>
      </c>
      <c r="I15" s="14">
        <v>46</v>
      </c>
      <c r="J15" s="14" t="s">
        <v>3127</v>
      </c>
      <c r="K15" s="14" t="s">
        <v>3183</v>
      </c>
    </row>
    <row r="16" spans="1:11" x14ac:dyDescent="0.35">
      <c r="A16" s="14" t="s">
        <v>1544</v>
      </c>
      <c r="B16" s="14" t="s">
        <v>3184</v>
      </c>
      <c r="C16" s="14" t="s">
        <v>3185</v>
      </c>
      <c r="D16" s="14" t="s">
        <v>3186</v>
      </c>
      <c r="E16" s="14" t="s">
        <v>3124</v>
      </c>
      <c r="F16" s="14">
        <v>26.69</v>
      </c>
      <c r="G16" s="14" t="s">
        <v>3187</v>
      </c>
      <c r="H16" s="14">
        <v>192000</v>
      </c>
      <c r="I16" s="14">
        <v>5</v>
      </c>
      <c r="J16" s="14" t="s">
        <v>3127</v>
      </c>
      <c r="K16" s="14" t="s">
        <v>3188</v>
      </c>
    </row>
    <row r="17" spans="1:11" x14ac:dyDescent="0.35">
      <c r="A17" s="14" t="s">
        <v>482</v>
      </c>
      <c r="B17" s="14" t="s">
        <v>3189</v>
      </c>
      <c r="C17" s="14" t="s">
        <v>3130</v>
      </c>
      <c r="D17" s="14" t="s">
        <v>3142</v>
      </c>
      <c r="E17" s="14" t="s">
        <v>3190</v>
      </c>
      <c r="F17" s="14">
        <v>26.68</v>
      </c>
      <c r="G17" s="14">
        <v>96240</v>
      </c>
      <c r="H17" s="14" t="s">
        <v>3191</v>
      </c>
      <c r="I17" s="14">
        <v>82</v>
      </c>
      <c r="J17" s="14" t="s">
        <v>3146</v>
      </c>
      <c r="K17" s="14" t="s">
        <v>3192</v>
      </c>
    </row>
    <row r="18" spans="1:11" x14ac:dyDescent="0.35">
      <c r="A18" s="14" t="s">
        <v>120</v>
      </c>
      <c r="B18" s="14" t="s">
        <v>3193</v>
      </c>
      <c r="C18" s="14" t="s">
        <v>3130</v>
      </c>
      <c r="D18" s="14" t="s">
        <v>3186</v>
      </c>
      <c r="E18" s="14" t="s">
        <v>3124</v>
      </c>
      <c r="F18" s="14">
        <v>21.44</v>
      </c>
      <c r="G18" s="14" t="s">
        <v>3194</v>
      </c>
      <c r="H18" s="14">
        <v>205690</v>
      </c>
      <c r="I18" s="14">
        <v>7</v>
      </c>
      <c r="J18" s="14" t="s">
        <v>3146</v>
      </c>
      <c r="K18" s="14" t="s">
        <v>3195</v>
      </c>
    </row>
    <row r="19" spans="1:11" x14ac:dyDescent="0.35">
      <c r="A19" s="14" t="s">
        <v>1309</v>
      </c>
      <c r="B19" s="14" t="s">
        <v>3196</v>
      </c>
      <c r="C19" s="14" t="s">
        <v>3197</v>
      </c>
      <c r="D19" s="14" t="s">
        <v>3186</v>
      </c>
      <c r="E19" s="14" t="s">
        <v>3124</v>
      </c>
      <c r="F19" s="14">
        <v>42.03</v>
      </c>
      <c r="G19" s="14">
        <v>158860</v>
      </c>
      <c r="H19" s="14" t="s">
        <v>2071</v>
      </c>
      <c r="I19" s="14">
        <v>31</v>
      </c>
      <c r="J19" s="14" t="s">
        <v>3127</v>
      </c>
      <c r="K19" s="14" t="s">
        <v>3198</v>
      </c>
    </row>
    <row r="20" spans="1:11" x14ac:dyDescent="0.35">
      <c r="A20" s="14" t="s">
        <v>445</v>
      </c>
      <c r="B20" s="14" t="s">
        <v>3199</v>
      </c>
      <c r="C20" s="14" t="s">
        <v>3200</v>
      </c>
      <c r="D20" s="14" t="s">
        <v>3201</v>
      </c>
      <c r="E20" s="14" t="s">
        <v>3190</v>
      </c>
      <c r="F20" s="14"/>
      <c r="G20" s="14" t="s">
        <v>3202</v>
      </c>
      <c r="H20" s="14">
        <v>32260</v>
      </c>
      <c r="I20" s="14">
        <v>-2</v>
      </c>
      <c r="J20" s="14" t="s">
        <v>3133</v>
      </c>
      <c r="K20" s="14" t="s">
        <v>3203</v>
      </c>
    </row>
    <row r="21" spans="1:11" x14ac:dyDescent="0.35">
      <c r="A21" s="14" t="s">
        <v>736</v>
      </c>
      <c r="B21" s="14" t="s">
        <v>3204</v>
      </c>
      <c r="C21" s="14" t="s">
        <v>3205</v>
      </c>
      <c r="D21" s="14" t="s">
        <v>3161</v>
      </c>
      <c r="E21" s="14" t="s">
        <v>3132</v>
      </c>
      <c r="F21" s="14">
        <v>26.84</v>
      </c>
      <c r="G21" s="14">
        <v>104670</v>
      </c>
      <c r="H21" s="14">
        <v>125710</v>
      </c>
      <c r="I21" s="14">
        <v>37</v>
      </c>
      <c r="J21" s="14" t="s">
        <v>3133</v>
      </c>
      <c r="K21" s="14" t="s">
        <v>3206</v>
      </c>
    </row>
    <row r="22" spans="1:11" x14ac:dyDescent="0.35">
      <c r="A22" s="14" t="s">
        <v>216</v>
      </c>
      <c r="B22" s="14" t="s">
        <v>3207</v>
      </c>
      <c r="C22" s="14" t="s">
        <v>3208</v>
      </c>
      <c r="D22" s="14" t="s">
        <v>3161</v>
      </c>
      <c r="E22" s="14" t="s">
        <v>3151</v>
      </c>
      <c r="F22" s="14">
        <v>43.96</v>
      </c>
      <c r="G22" s="14">
        <v>250090</v>
      </c>
      <c r="H22" s="14" t="s">
        <v>3209</v>
      </c>
      <c r="I22" s="14">
        <v>1</v>
      </c>
      <c r="J22" s="14" t="s">
        <v>3157</v>
      </c>
      <c r="K22" s="14" t="s">
        <v>3210</v>
      </c>
    </row>
    <row r="23" spans="1:11" x14ac:dyDescent="0.35">
      <c r="A23" s="14" t="s">
        <v>360</v>
      </c>
      <c r="B23" s="14" t="s">
        <v>3211</v>
      </c>
      <c r="C23" s="14" t="s">
        <v>3212</v>
      </c>
      <c r="D23" s="14" t="s">
        <v>3213</v>
      </c>
      <c r="E23" s="14" t="s">
        <v>3143</v>
      </c>
      <c r="F23" s="14">
        <v>37.19</v>
      </c>
      <c r="G23" s="14">
        <v>217660</v>
      </c>
      <c r="H23" s="14">
        <v>269720</v>
      </c>
      <c r="I23" s="14">
        <v>82</v>
      </c>
      <c r="J23" s="14" t="s">
        <v>3157</v>
      </c>
      <c r="K23" s="14" t="s">
        <v>3214</v>
      </c>
    </row>
    <row r="24" spans="1:11" x14ac:dyDescent="0.35">
      <c r="A24" s="14" t="s">
        <v>88</v>
      </c>
      <c r="B24" s="14" t="s">
        <v>3215</v>
      </c>
      <c r="C24" s="14" t="s">
        <v>3130</v>
      </c>
      <c r="D24" s="14" t="s">
        <v>3111</v>
      </c>
      <c r="E24" s="14" t="s">
        <v>3138</v>
      </c>
      <c r="F24" s="14">
        <v>9.27</v>
      </c>
      <c r="G24" s="14" t="s">
        <v>3216</v>
      </c>
      <c r="H24" s="14">
        <v>71020</v>
      </c>
      <c r="I24" s="14">
        <v>11</v>
      </c>
      <c r="J24" s="14" t="s">
        <v>3146</v>
      </c>
      <c r="K24" s="14" t="s">
        <v>3217</v>
      </c>
    </row>
    <row r="25" spans="1:11" x14ac:dyDescent="0.35">
      <c r="A25" s="14" t="s">
        <v>463</v>
      </c>
      <c r="B25" s="14" t="s">
        <v>3218</v>
      </c>
      <c r="C25" s="14" t="s">
        <v>3136</v>
      </c>
      <c r="D25" s="14" t="s">
        <v>3219</v>
      </c>
      <c r="E25" s="14" t="s">
        <v>3138</v>
      </c>
      <c r="F25" s="14">
        <v>20.260000000000002</v>
      </c>
      <c r="G25" s="14" t="s">
        <v>3220</v>
      </c>
      <c r="H25" s="14">
        <v>186480</v>
      </c>
      <c r="I25" s="14">
        <v>77</v>
      </c>
      <c r="J25" s="14" t="s">
        <v>3133</v>
      </c>
      <c r="K25" s="14" t="s">
        <v>3221</v>
      </c>
    </row>
    <row r="26" spans="1:11" x14ac:dyDescent="0.35">
      <c r="A26" s="14" t="s">
        <v>226</v>
      </c>
      <c r="B26" s="14" t="s">
        <v>3222</v>
      </c>
      <c r="C26" s="14" t="s">
        <v>3177</v>
      </c>
      <c r="D26" s="14" t="s">
        <v>3142</v>
      </c>
      <c r="E26" s="14" t="s">
        <v>3143</v>
      </c>
      <c r="F26" s="14">
        <v>19.16</v>
      </c>
      <c r="G26" s="14">
        <v>110190</v>
      </c>
      <c r="H26" s="14">
        <v>140110</v>
      </c>
      <c r="I26" s="14">
        <v>24</v>
      </c>
      <c r="J26" s="14" t="s">
        <v>3223</v>
      </c>
      <c r="K26" s="14" t="s">
        <v>3224</v>
      </c>
    </row>
    <row r="27" spans="1:11" x14ac:dyDescent="0.35">
      <c r="A27" s="14" t="s">
        <v>295</v>
      </c>
      <c r="B27" s="14" t="s">
        <v>3225</v>
      </c>
      <c r="C27" s="14" t="s">
        <v>3130</v>
      </c>
      <c r="D27" s="14" t="s">
        <v>3161</v>
      </c>
      <c r="E27" s="14" t="s">
        <v>3132</v>
      </c>
      <c r="F27" s="14">
        <v>23.92</v>
      </c>
      <c r="G27" s="14">
        <v>124600</v>
      </c>
      <c r="H27" s="14">
        <v>160000</v>
      </c>
      <c r="I27" s="14">
        <v>102</v>
      </c>
      <c r="J27" s="14" t="s">
        <v>3119</v>
      </c>
      <c r="K27" s="14" t="s">
        <v>3226</v>
      </c>
    </row>
    <row r="28" spans="1:11" x14ac:dyDescent="0.35">
      <c r="A28" s="14" t="s">
        <v>63</v>
      </c>
      <c r="B28" s="14" t="s">
        <v>3227</v>
      </c>
      <c r="C28" s="14" t="s">
        <v>3149</v>
      </c>
      <c r="D28" s="14" t="s">
        <v>3228</v>
      </c>
      <c r="E28" s="14" t="s">
        <v>3190</v>
      </c>
      <c r="F28" s="14">
        <v>32.75</v>
      </c>
      <c r="G28" s="14">
        <v>148580</v>
      </c>
      <c r="H28" s="14">
        <v>194620</v>
      </c>
      <c r="I28" s="14">
        <v>16</v>
      </c>
      <c r="J28" s="14" t="s">
        <v>3113</v>
      </c>
      <c r="K28" s="14" t="s">
        <v>3229</v>
      </c>
    </row>
    <row r="29" spans="1:11" x14ac:dyDescent="0.35">
      <c r="A29" s="14" t="s">
        <v>329</v>
      </c>
      <c r="B29" s="14" t="s">
        <v>3230</v>
      </c>
      <c r="C29" s="14" t="s">
        <v>3231</v>
      </c>
      <c r="D29" s="14" t="s">
        <v>3111</v>
      </c>
      <c r="E29" s="14" t="s">
        <v>3118</v>
      </c>
      <c r="F29" s="14">
        <v>36.36</v>
      </c>
      <c r="G29" s="14">
        <v>192800</v>
      </c>
      <c r="H29" s="14" t="s">
        <v>3232</v>
      </c>
      <c r="I29" s="14">
        <v>74</v>
      </c>
      <c r="J29" s="14" t="s">
        <v>3133</v>
      </c>
      <c r="K29" s="14" t="s">
        <v>3233</v>
      </c>
    </row>
    <row r="30" spans="1:11" x14ac:dyDescent="0.35">
      <c r="A30" s="14" t="s">
        <v>529</v>
      </c>
      <c r="B30" s="14" t="s">
        <v>3234</v>
      </c>
      <c r="C30" s="14" t="s">
        <v>3200</v>
      </c>
      <c r="D30" s="14" t="s">
        <v>3131</v>
      </c>
      <c r="E30" s="14" t="s">
        <v>3132</v>
      </c>
      <c r="F30" s="14">
        <v>28.76</v>
      </c>
      <c r="G30" s="14" t="s">
        <v>3235</v>
      </c>
      <c r="H30" s="14">
        <v>144060</v>
      </c>
      <c r="I30" s="14">
        <v>34</v>
      </c>
      <c r="J30" s="14" t="s">
        <v>3157</v>
      </c>
      <c r="K30" s="14" t="s">
        <v>3236</v>
      </c>
    </row>
    <row r="31" spans="1:11" x14ac:dyDescent="0.35">
      <c r="A31" s="14" t="s">
        <v>94</v>
      </c>
      <c r="B31" s="14" t="s">
        <v>3237</v>
      </c>
      <c r="C31" s="14" t="s">
        <v>3231</v>
      </c>
      <c r="D31" s="14" t="s">
        <v>3238</v>
      </c>
      <c r="E31" s="14" t="s">
        <v>3138</v>
      </c>
      <c r="F31" s="14">
        <v>4.21</v>
      </c>
      <c r="G31" s="14">
        <v>24200</v>
      </c>
      <c r="H31" s="14">
        <v>31600</v>
      </c>
      <c r="I31" s="14">
        <v>96</v>
      </c>
      <c r="J31" s="14" t="s">
        <v>3146</v>
      </c>
      <c r="K31" s="14" t="s">
        <v>3239</v>
      </c>
    </row>
    <row r="32" spans="1:11" x14ac:dyDescent="0.35">
      <c r="A32" s="14" t="s">
        <v>916</v>
      </c>
      <c r="B32" s="14" t="s">
        <v>3240</v>
      </c>
      <c r="C32" s="14" t="s">
        <v>3168</v>
      </c>
      <c r="D32" s="14" t="s">
        <v>3238</v>
      </c>
      <c r="E32" s="14" t="s">
        <v>3138</v>
      </c>
      <c r="F32" s="14">
        <v>11.04</v>
      </c>
      <c r="G32" s="14">
        <v>51630</v>
      </c>
      <c r="H32" s="14">
        <v>59970</v>
      </c>
      <c r="I32" s="14">
        <v>41</v>
      </c>
      <c r="J32" s="14" t="s">
        <v>3113</v>
      </c>
      <c r="K32" s="14" t="s">
        <v>3241</v>
      </c>
    </row>
    <row r="33" spans="1:11" x14ac:dyDescent="0.35">
      <c r="A33" s="14" t="s">
        <v>55</v>
      </c>
      <c r="B33" s="14" t="s">
        <v>3242</v>
      </c>
      <c r="C33" s="14" t="s">
        <v>3243</v>
      </c>
      <c r="D33" s="14" t="s">
        <v>3111</v>
      </c>
      <c r="E33" s="14" t="s">
        <v>3118</v>
      </c>
      <c r="F33" s="14">
        <v>39.21</v>
      </c>
      <c r="G33" s="14">
        <v>156470</v>
      </c>
      <c r="H33" s="14">
        <v>196220</v>
      </c>
      <c r="I33" s="14">
        <v>39</v>
      </c>
      <c r="J33" s="14" t="s">
        <v>3157</v>
      </c>
      <c r="K33" s="14" t="s">
        <v>3244</v>
      </c>
    </row>
    <row r="34" spans="1:11" x14ac:dyDescent="0.35">
      <c r="A34" s="14" t="s">
        <v>310</v>
      </c>
      <c r="B34" s="14" t="s">
        <v>3245</v>
      </c>
      <c r="C34" s="14" t="s">
        <v>3246</v>
      </c>
      <c r="D34" s="14" t="s">
        <v>3173</v>
      </c>
      <c r="E34" s="14" t="s">
        <v>3118</v>
      </c>
      <c r="F34" s="14">
        <v>29.78</v>
      </c>
      <c r="G34" s="14">
        <v>167050</v>
      </c>
      <c r="H34" s="14">
        <v>235660</v>
      </c>
      <c r="I34" s="14">
        <v>94</v>
      </c>
      <c r="J34" s="14" t="s">
        <v>3127</v>
      </c>
      <c r="K34" s="14" t="s">
        <v>358</v>
      </c>
    </row>
    <row r="35" spans="1:11" x14ac:dyDescent="0.35">
      <c r="A35" s="14" t="s">
        <v>259</v>
      </c>
      <c r="B35" s="14" t="s">
        <v>3247</v>
      </c>
      <c r="C35" s="14" t="s">
        <v>3248</v>
      </c>
      <c r="D35" s="14" t="s">
        <v>3156</v>
      </c>
      <c r="E35" s="14" t="s">
        <v>3124</v>
      </c>
      <c r="F35" s="14">
        <v>27.86</v>
      </c>
      <c r="G35" s="14">
        <v>170000</v>
      </c>
      <c r="H35" s="14" t="s">
        <v>3249</v>
      </c>
      <c r="I35" s="14">
        <v>97</v>
      </c>
      <c r="J35" s="14" t="s">
        <v>3119</v>
      </c>
      <c r="K35" s="14" t="s">
        <v>3250</v>
      </c>
    </row>
    <row r="36" spans="1:11" x14ac:dyDescent="0.35">
      <c r="A36" s="14" t="s">
        <v>315</v>
      </c>
      <c r="B36" s="14" t="s">
        <v>3251</v>
      </c>
      <c r="C36" s="14" t="s">
        <v>3185</v>
      </c>
      <c r="D36" s="14" t="s">
        <v>3117</v>
      </c>
      <c r="E36" s="14" t="s">
        <v>3118</v>
      </c>
      <c r="F36" s="14">
        <v>31.83</v>
      </c>
      <c r="G36" s="14" t="s">
        <v>3252</v>
      </c>
      <c r="H36" s="14">
        <v>195500</v>
      </c>
      <c r="I36" s="14">
        <v>101</v>
      </c>
      <c r="J36" s="14" t="s">
        <v>3127</v>
      </c>
      <c r="K36" s="14" t="s">
        <v>3253</v>
      </c>
    </row>
    <row r="37" spans="1:11" x14ac:dyDescent="0.35">
      <c r="A37" s="14" t="s">
        <v>342</v>
      </c>
      <c r="B37" s="14" t="s">
        <v>3254</v>
      </c>
      <c r="C37" s="14" t="s">
        <v>3172</v>
      </c>
      <c r="D37" s="14" t="s">
        <v>3142</v>
      </c>
      <c r="E37" s="14" t="s">
        <v>3143</v>
      </c>
      <c r="F37" s="14">
        <v>43.29</v>
      </c>
      <c r="G37" s="14">
        <v>225800</v>
      </c>
      <c r="H37" s="14">
        <v>334520</v>
      </c>
      <c r="I37" s="14">
        <v>88</v>
      </c>
      <c r="J37" s="14" t="s">
        <v>3157</v>
      </c>
      <c r="K37" s="14" t="s">
        <v>3255</v>
      </c>
    </row>
    <row r="38" spans="1:11" x14ac:dyDescent="0.35">
      <c r="A38" s="14" t="s">
        <v>390</v>
      </c>
      <c r="B38" s="14" t="s">
        <v>3256</v>
      </c>
      <c r="C38" s="14" t="s">
        <v>3136</v>
      </c>
      <c r="D38" s="14" t="s">
        <v>3156</v>
      </c>
      <c r="E38" s="14" t="s">
        <v>3124</v>
      </c>
      <c r="F38" s="14">
        <v>13.63</v>
      </c>
      <c r="G38" s="14" t="s">
        <v>3257</v>
      </c>
      <c r="H38" s="14" t="s">
        <v>3258</v>
      </c>
      <c r="I38" s="14">
        <v>70</v>
      </c>
      <c r="J38" s="14" t="s">
        <v>3146</v>
      </c>
      <c r="K38" s="14" t="s">
        <v>3259</v>
      </c>
    </row>
    <row r="39" spans="1:11" x14ac:dyDescent="0.35">
      <c r="A39" s="14" t="s">
        <v>125</v>
      </c>
      <c r="B39" s="14" t="s">
        <v>3260</v>
      </c>
      <c r="C39" s="14"/>
      <c r="D39" s="14" t="s">
        <v>3238</v>
      </c>
      <c r="E39" s="14" t="s">
        <v>3118</v>
      </c>
      <c r="F39" s="14">
        <v>23.97</v>
      </c>
      <c r="G39" s="14" t="s">
        <v>3261</v>
      </c>
      <c r="H39" s="14">
        <v>119990</v>
      </c>
      <c r="I39" s="14">
        <v>50</v>
      </c>
      <c r="J39" s="14" t="s">
        <v>3223</v>
      </c>
      <c r="K39" s="14" t="s">
        <v>3262</v>
      </c>
    </row>
    <row r="40" spans="1:11" x14ac:dyDescent="0.35">
      <c r="A40" s="14" t="s">
        <v>231</v>
      </c>
      <c r="B40" s="14" t="s">
        <v>3263</v>
      </c>
      <c r="C40" s="14" t="s">
        <v>3264</v>
      </c>
      <c r="D40" s="14" t="s">
        <v>3186</v>
      </c>
      <c r="E40" s="14" t="s">
        <v>3124</v>
      </c>
      <c r="F40" s="14">
        <v>20.010000000000002</v>
      </c>
      <c r="G40" s="14">
        <v>110340</v>
      </c>
      <c r="H40" s="14" t="s">
        <v>3265</v>
      </c>
      <c r="I40" s="14">
        <v>87</v>
      </c>
      <c r="J40" s="14" t="s">
        <v>3223</v>
      </c>
      <c r="K40" s="14" t="s">
        <v>3266</v>
      </c>
    </row>
    <row r="41" spans="1:11" x14ac:dyDescent="0.35">
      <c r="A41" s="14" t="s">
        <v>684</v>
      </c>
      <c r="B41" s="14" t="s">
        <v>3267</v>
      </c>
      <c r="C41" s="14" t="s">
        <v>3264</v>
      </c>
      <c r="D41" s="14" t="s">
        <v>3161</v>
      </c>
      <c r="E41" s="14" t="s">
        <v>3132</v>
      </c>
      <c r="F41" s="14">
        <v>33.020000000000003</v>
      </c>
      <c r="G41" s="14" t="s">
        <v>3268</v>
      </c>
      <c r="H41" s="14" t="s">
        <v>3269</v>
      </c>
      <c r="I41" s="14">
        <v>34</v>
      </c>
      <c r="J41" s="14" t="s">
        <v>3127</v>
      </c>
      <c r="K41" s="14" t="s">
        <v>984</v>
      </c>
    </row>
    <row r="42" spans="1:11" x14ac:dyDescent="0.35">
      <c r="A42" s="14" t="s">
        <v>107</v>
      </c>
      <c r="B42" s="14" t="s">
        <v>3270</v>
      </c>
      <c r="C42" s="14" t="s">
        <v>3177</v>
      </c>
      <c r="D42" s="14" t="s">
        <v>3123</v>
      </c>
      <c r="E42" s="14" t="s">
        <v>3124</v>
      </c>
      <c r="F42" s="14">
        <v>5.96</v>
      </c>
      <c r="G42" s="14" t="s">
        <v>3271</v>
      </c>
      <c r="H42" s="14">
        <v>26610</v>
      </c>
      <c r="I42" s="14">
        <v>59</v>
      </c>
      <c r="J42" s="14" t="s">
        <v>3223</v>
      </c>
      <c r="K42" s="14" t="s">
        <v>3272</v>
      </c>
    </row>
    <row r="43" spans="1:11" x14ac:dyDescent="0.35">
      <c r="A43" s="14" t="s">
        <v>432</v>
      </c>
      <c r="B43" s="14" t="s">
        <v>3273</v>
      </c>
      <c r="C43" s="14" t="s">
        <v>3177</v>
      </c>
      <c r="D43" s="14" t="s">
        <v>3169</v>
      </c>
      <c r="E43" s="14" t="s">
        <v>3118</v>
      </c>
      <c r="F43" s="14">
        <v>36.78</v>
      </c>
      <c r="G43" s="14">
        <v>222980</v>
      </c>
      <c r="H43" s="14">
        <v>264020</v>
      </c>
      <c r="I43" s="14">
        <v>29</v>
      </c>
      <c r="J43" s="14" t="s">
        <v>3127</v>
      </c>
      <c r="K43" s="14" t="s">
        <v>3274</v>
      </c>
    </row>
    <row r="44" spans="1:11" x14ac:dyDescent="0.35">
      <c r="A44" s="14" t="s">
        <v>418</v>
      </c>
      <c r="B44" s="14" t="s">
        <v>3275</v>
      </c>
      <c r="C44" s="14" t="s">
        <v>3160</v>
      </c>
      <c r="D44" s="14" t="s">
        <v>3137</v>
      </c>
      <c r="E44" s="14" t="s">
        <v>3118</v>
      </c>
      <c r="F44" s="14">
        <v>42.72</v>
      </c>
      <c r="G44" s="14" t="s">
        <v>3276</v>
      </c>
      <c r="H44" s="14" t="s">
        <v>3277</v>
      </c>
      <c r="I44" s="14">
        <v>82</v>
      </c>
      <c r="J44" s="14" t="s">
        <v>3127</v>
      </c>
      <c r="K44" s="14" t="s">
        <v>3278</v>
      </c>
    </row>
    <row r="45" spans="1:11" x14ac:dyDescent="0.35">
      <c r="A45" s="14" t="s">
        <v>472</v>
      </c>
      <c r="B45" s="14" t="s">
        <v>3279</v>
      </c>
      <c r="C45" s="14" t="s">
        <v>3181</v>
      </c>
      <c r="D45" s="14" t="s">
        <v>3156</v>
      </c>
      <c r="E45" s="14" t="s">
        <v>3124</v>
      </c>
      <c r="F45" s="14">
        <v>31.4</v>
      </c>
      <c r="G45" s="14" t="s">
        <v>3280</v>
      </c>
      <c r="H45" s="14" t="s">
        <v>3281</v>
      </c>
      <c r="I45" s="14">
        <v>78</v>
      </c>
      <c r="J45" s="14" t="s">
        <v>3146</v>
      </c>
      <c r="K45" s="14" t="s">
        <v>3282</v>
      </c>
    </row>
    <row r="46" spans="1:11" x14ac:dyDescent="0.35">
      <c r="A46" s="14" t="s">
        <v>240</v>
      </c>
      <c r="B46" s="14" t="s">
        <v>3283</v>
      </c>
      <c r="C46" s="14" t="s">
        <v>3284</v>
      </c>
      <c r="D46" s="14" t="s">
        <v>3285</v>
      </c>
      <c r="E46" s="14" t="s">
        <v>3124</v>
      </c>
      <c r="F46" s="14">
        <v>6.91</v>
      </c>
      <c r="G46" s="14" t="s">
        <v>3286</v>
      </c>
      <c r="H46" s="14" t="s">
        <v>3287</v>
      </c>
      <c r="I46" s="14">
        <v>118</v>
      </c>
      <c r="J46" s="14" t="s">
        <v>3133</v>
      </c>
      <c r="K46" s="14" t="s">
        <v>3288</v>
      </c>
    </row>
    <row r="47" spans="1:11" x14ac:dyDescent="0.35">
      <c r="A47" s="14" t="s">
        <v>79</v>
      </c>
      <c r="B47" s="14" t="s">
        <v>3289</v>
      </c>
      <c r="C47" s="14" t="s">
        <v>3160</v>
      </c>
      <c r="D47" s="14" t="s">
        <v>3238</v>
      </c>
      <c r="E47" s="14" t="s">
        <v>3138</v>
      </c>
      <c r="F47" s="14">
        <v>26.57</v>
      </c>
      <c r="G47" s="14" t="s">
        <v>3290</v>
      </c>
      <c r="H47" s="14">
        <v>180250</v>
      </c>
      <c r="I47" s="14">
        <v>64</v>
      </c>
      <c r="J47" s="14" t="s">
        <v>3113</v>
      </c>
      <c r="K47" s="14" t="s">
        <v>3291</v>
      </c>
    </row>
    <row r="48" spans="1:11" x14ac:dyDescent="0.35">
      <c r="A48" s="14" t="s">
        <v>264</v>
      </c>
      <c r="B48" s="14" t="s">
        <v>3292</v>
      </c>
      <c r="C48" s="14" t="s">
        <v>3293</v>
      </c>
      <c r="D48" s="14" t="s">
        <v>3131</v>
      </c>
      <c r="E48" s="14" t="s">
        <v>3132</v>
      </c>
      <c r="F48" s="14">
        <v>31.67</v>
      </c>
      <c r="G48" s="14">
        <v>135490</v>
      </c>
      <c r="H48" s="14">
        <v>207040</v>
      </c>
      <c r="I48" s="14">
        <v>102</v>
      </c>
      <c r="J48" s="14" t="s">
        <v>3119</v>
      </c>
      <c r="K48" s="14" t="s">
        <v>3294</v>
      </c>
    </row>
    <row r="49" spans="1:11" x14ac:dyDescent="0.35">
      <c r="A49" s="14" t="s">
        <v>167</v>
      </c>
      <c r="B49" s="14" t="s">
        <v>3295</v>
      </c>
      <c r="C49" s="14" t="s">
        <v>3296</v>
      </c>
      <c r="D49" s="14" t="s">
        <v>3117</v>
      </c>
      <c r="E49" s="14" t="s">
        <v>3138</v>
      </c>
      <c r="F49" s="14">
        <v>3.86</v>
      </c>
      <c r="G49" s="14" t="s">
        <v>3297</v>
      </c>
      <c r="H49" s="14">
        <v>26460</v>
      </c>
      <c r="I49" s="14">
        <v>61</v>
      </c>
      <c r="J49" s="14" t="s">
        <v>3113</v>
      </c>
      <c r="K49" s="14" t="s">
        <v>3298</v>
      </c>
    </row>
    <row r="50" spans="1:11" x14ac:dyDescent="0.35">
      <c r="A50" s="14" t="s">
        <v>71</v>
      </c>
      <c r="B50" s="14" t="s">
        <v>3299</v>
      </c>
      <c r="C50" s="14" t="s">
        <v>3208</v>
      </c>
      <c r="D50" s="14" t="s">
        <v>3137</v>
      </c>
      <c r="E50" s="14" t="s">
        <v>3118</v>
      </c>
      <c r="F50" s="14">
        <v>15.02</v>
      </c>
      <c r="G50" s="14">
        <v>53120</v>
      </c>
      <c r="H50" s="14">
        <v>69760</v>
      </c>
      <c r="I50" s="14">
        <v>26</v>
      </c>
      <c r="J50" s="14" t="s">
        <v>3119</v>
      </c>
      <c r="K50" s="14" t="s">
        <v>3300</v>
      </c>
    </row>
    <row r="51" spans="1:11" x14ac:dyDescent="0.35">
      <c r="A51" s="14" t="s">
        <v>638</v>
      </c>
      <c r="B51" s="14" t="s">
        <v>3301</v>
      </c>
      <c r="C51" s="14" t="s">
        <v>3231</v>
      </c>
      <c r="D51" s="14" t="s">
        <v>3142</v>
      </c>
      <c r="E51" s="14" t="s">
        <v>3190</v>
      </c>
      <c r="F51" s="14">
        <v>21.37</v>
      </c>
      <c r="G51" s="14" t="s">
        <v>3302</v>
      </c>
      <c r="H51" s="14" t="s">
        <v>3303</v>
      </c>
      <c r="I51" s="14">
        <v>74</v>
      </c>
      <c r="J51" s="14" t="s">
        <v>3146</v>
      </c>
      <c r="K51" s="14" t="s">
        <v>3304</v>
      </c>
    </row>
    <row r="52" spans="1:11" x14ac:dyDescent="0.35">
      <c r="A52" s="14" t="s">
        <v>212</v>
      </c>
      <c r="B52" s="14" t="s">
        <v>3305</v>
      </c>
      <c r="C52" s="14" t="s">
        <v>3264</v>
      </c>
      <c r="D52" s="14" t="s">
        <v>3186</v>
      </c>
      <c r="E52" s="14" t="s">
        <v>3124</v>
      </c>
      <c r="F52" s="14">
        <v>20.92</v>
      </c>
      <c r="G52" s="14">
        <v>100580</v>
      </c>
      <c r="H52" s="14" t="s">
        <v>3306</v>
      </c>
      <c r="I52" s="14">
        <v>95</v>
      </c>
      <c r="J52" s="14" t="s">
        <v>3146</v>
      </c>
      <c r="K52" s="14" t="s">
        <v>3307</v>
      </c>
    </row>
    <row r="53" spans="1:11" x14ac:dyDescent="0.35">
      <c r="A53" s="14" t="s">
        <v>948</v>
      </c>
      <c r="B53" s="14" t="s">
        <v>3308</v>
      </c>
      <c r="C53" s="14" t="s">
        <v>3309</v>
      </c>
      <c r="D53" s="14" t="s">
        <v>3142</v>
      </c>
      <c r="E53" s="14" t="s">
        <v>3143</v>
      </c>
      <c r="F53" s="14">
        <v>44.5</v>
      </c>
      <c r="G53" s="14">
        <v>250960</v>
      </c>
      <c r="H53" s="14">
        <v>354060</v>
      </c>
      <c r="I53" s="14">
        <v>17</v>
      </c>
      <c r="J53" s="14" t="s">
        <v>3223</v>
      </c>
      <c r="K53" s="14" t="s">
        <v>3310</v>
      </c>
    </row>
    <row r="54" spans="1:11" x14ac:dyDescent="0.35">
      <c r="A54" s="14" t="s">
        <v>278</v>
      </c>
      <c r="B54" s="14" t="s">
        <v>3311</v>
      </c>
      <c r="C54" s="14" t="s">
        <v>3312</v>
      </c>
      <c r="D54" s="14" t="s">
        <v>3228</v>
      </c>
      <c r="E54" s="14" t="s">
        <v>3190</v>
      </c>
      <c r="F54" s="14">
        <v>21.92</v>
      </c>
      <c r="G54" s="14">
        <v>134080</v>
      </c>
      <c r="H54" s="14">
        <v>172350</v>
      </c>
      <c r="I54" s="14">
        <v>86</v>
      </c>
      <c r="J54" s="14" t="s">
        <v>3223</v>
      </c>
      <c r="K54" s="14" t="s">
        <v>3313</v>
      </c>
    </row>
    <row r="55" spans="1:11" x14ac:dyDescent="0.35">
      <c r="A55" s="14" t="s">
        <v>458</v>
      </c>
      <c r="B55" s="14" t="s">
        <v>3314</v>
      </c>
      <c r="C55" s="14" t="s">
        <v>3284</v>
      </c>
      <c r="D55" s="14" t="s">
        <v>3161</v>
      </c>
      <c r="E55" s="14" t="s">
        <v>3151</v>
      </c>
      <c r="F55" s="14">
        <v>33.979999999999997</v>
      </c>
      <c r="G55" s="14" t="s">
        <v>3315</v>
      </c>
      <c r="H55" s="14">
        <v>188810</v>
      </c>
      <c r="I55" s="14">
        <v>79</v>
      </c>
      <c r="J55" s="14" t="s">
        <v>3113</v>
      </c>
      <c r="K55" s="14" t="s">
        <v>3316</v>
      </c>
    </row>
    <row r="56" spans="1:11" x14ac:dyDescent="0.35">
      <c r="A56" s="14" t="s">
        <v>550</v>
      </c>
      <c r="B56" s="14" t="s">
        <v>3317</v>
      </c>
      <c r="C56" s="14" t="s">
        <v>3185</v>
      </c>
      <c r="D56" s="14" t="s">
        <v>3161</v>
      </c>
      <c r="E56" s="14" t="s">
        <v>3132</v>
      </c>
      <c r="F56" s="14">
        <v>26.12</v>
      </c>
      <c r="G56" s="14">
        <v>147310</v>
      </c>
      <c r="H56" s="14">
        <v>179420</v>
      </c>
      <c r="I56" s="14">
        <v>8</v>
      </c>
      <c r="J56" s="14" t="s">
        <v>3146</v>
      </c>
      <c r="K56" s="14" t="s">
        <v>3318</v>
      </c>
    </row>
    <row r="57" spans="1:11" x14ac:dyDescent="0.35">
      <c r="A57" s="14" t="s">
        <v>576</v>
      </c>
      <c r="B57" s="14" t="s">
        <v>3319</v>
      </c>
      <c r="C57" s="14" t="s">
        <v>3200</v>
      </c>
      <c r="D57" s="14" t="s">
        <v>3228</v>
      </c>
      <c r="E57" s="14" t="s">
        <v>3190</v>
      </c>
      <c r="F57" s="14">
        <v>4.71</v>
      </c>
      <c r="G57" s="14" t="s">
        <v>3320</v>
      </c>
      <c r="H57" s="14">
        <v>44050</v>
      </c>
      <c r="I57" s="14">
        <v>36</v>
      </c>
      <c r="J57" s="14" t="s">
        <v>3113</v>
      </c>
      <c r="K57" s="14" t="s">
        <v>3321</v>
      </c>
    </row>
    <row r="58" spans="1:11" x14ac:dyDescent="0.35">
      <c r="A58" s="14" t="s">
        <v>112</v>
      </c>
      <c r="B58" s="14" t="s">
        <v>3322</v>
      </c>
      <c r="C58" s="14" t="s">
        <v>3122</v>
      </c>
      <c r="D58" s="14" t="s">
        <v>3238</v>
      </c>
      <c r="E58" s="14" t="s">
        <v>3138</v>
      </c>
      <c r="F58" s="14">
        <v>2.4500000000000002</v>
      </c>
      <c r="G58" s="14">
        <v>14070</v>
      </c>
      <c r="H58" s="14" t="s">
        <v>3323</v>
      </c>
      <c r="I58" s="14">
        <v>-1</v>
      </c>
      <c r="J58" s="14" t="s">
        <v>3146</v>
      </c>
      <c r="K58" s="14" t="s">
        <v>3324</v>
      </c>
    </row>
    <row r="59" spans="1:11" x14ac:dyDescent="0.35">
      <c r="A59" s="14" t="s">
        <v>192</v>
      </c>
      <c r="B59" s="14" t="s">
        <v>3325</v>
      </c>
      <c r="C59" s="14" t="s">
        <v>3122</v>
      </c>
      <c r="D59" s="14" t="s">
        <v>3150</v>
      </c>
      <c r="E59" s="14" t="s">
        <v>3151</v>
      </c>
      <c r="F59" s="14">
        <v>28.83</v>
      </c>
      <c r="G59" s="14" t="s">
        <v>3326</v>
      </c>
      <c r="H59" s="14" t="s">
        <v>3327</v>
      </c>
      <c r="I59" s="14">
        <v>37</v>
      </c>
      <c r="J59" s="14" t="s">
        <v>3119</v>
      </c>
      <c r="K59" s="14" t="s">
        <v>3328</v>
      </c>
    </row>
    <row r="60" spans="1:11" x14ac:dyDescent="0.35">
      <c r="A60" s="14" t="s">
        <v>249</v>
      </c>
      <c r="B60" s="14" t="s">
        <v>3329</v>
      </c>
      <c r="C60" s="14" t="s">
        <v>3212</v>
      </c>
      <c r="D60" s="14" t="s">
        <v>3137</v>
      </c>
      <c r="E60" s="14" t="s">
        <v>3138</v>
      </c>
      <c r="F60" s="14">
        <v>37.630000000000003</v>
      </c>
      <c r="G60" s="14">
        <v>157810</v>
      </c>
      <c r="H60" s="14">
        <v>233540</v>
      </c>
      <c r="I60" s="14">
        <v>59</v>
      </c>
      <c r="J60" s="14" t="s">
        <v>3119</v>
      </c>
      <c r="K60" s="14" t="s">
        <v>3330</v>
      </c>
    </row>
    <row r="61" spans="1:11" x14ac:dyDescent="0.35">
      <c r="A61" s="14" t="s">
        <v>196</v>
      </c>
      <c r="B61" s="14" t="s">
        <v>3331</v>
      </c>
      <c r="C61" s="14" t="s">
        <v>3212</v>
      </c>
      <c r="D61" s="14" t="s">
        <v>3228</v>
      </c>
      <c r="E61" s="14" t="s">
        <v>3190</v>
      </c>
      <c r="F61" s="14">
        <v>35.89</v>
      </c>
      <c r="G61" s="14" t="s">
        <v>3332</v>
      </c>
      <c r="H61" s="14">
        <v>173250</v>
      </c>
      <c r="I61" s="14">
        <v>56</v>
      </c>
      <c r="J61" s="14" t="s">
        <v>3133</v>
      </c>
      <c r="K61" s="14" t="s">
        <v>3333</v>
      </c>
    </row>
    <row r="62" spans="1:11" x14ac:dyDescent="0.35">
      <c r="A62" s="14" t="s">
        <v>163</v>
      </c>
      <c r="B62" s="14" t="s">
        <v>3140</v>
      </c>
      <c r="C62" s="14" t="s">
        <v>3141</v>
      </c>
      <c r="D62" s="14" t="s">
        <v>3142</v>
      </c>
      <c r="E62" s="14" t="s">
        <v>3143</v>
      </c>
      <c r="F62" s="14">
        <v>7.57</v>
      </c>
      <c r="G62" s="14" t="s">
        <v>3144</v>
      </c>
      <c r="H62" s="14" t="s">
        <v>3145</v>
      </c>
      <c r="I62" s="14">
        <v>93</v>
      </c>
      <c r="J62" s="14" t="s">
        <v>3146</v>
      </c>
      <c r="K62" s="14" t="s">
        <v>3147</v>
      </c>
    </row>
    <row r="63" spans="1:11" x14ac:dyDescent="0.35">
      <c r="A63" s="14" t="s">
        <v>216</v>
      </c>
      <c r="B63" s="14" t="s">
        <v>3207</v>
      </c>
      <c r="C63" s="14" t="s">
        <v>3208</v>
      </c>
      <c r="D63" s="14" t="s">
        <v>3161</v>
      </c>
      <c r="E63" s="14" t="s">
        <v>3151</v>
      </c>
      <c r="F63" s="14">
        <v>43.96</v>
      </c>
      <c r="G63" s="14">
        <v>250090</v>
      </c>
      <c r="H63" s="14" t="s">
        <v>3209</v>
      </c>
      <c r="I63" s="14">
        <v>1</v>
      </c>
      <c r="J63" s="14" t="s">
        <v>3157</v>
      </c>
      <c r="K63" s="14" t="s">
        <v>3210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52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14" customWidth="1"/>
    <col min="2" max="2" width="16" customWidth="1"/>
    <col min="3" max="8" width="14" customWidth="1"/>
    <col min="9" max="9" width="18" customWidth="1"/>
    <col min="10" max="10" width="14" customWidth="1"/>
  </cols>
  <sheetData>
    <row r="1" spans="1:10" x14ac:dyDescent="0.35">
      <c r="A1" s="15" t="s">
        <v>43</v>
      </c>
      <c r="B1" s="15" t="s">
        <v>3334</v>
      </c>
      <c r="C1" s="15" t="s">
        <v>3335</v>
      </c>
      <c r="D1" s="15" t="s">
        <v>3336</v>
      </c>
      <c r="E1" s="15" t="s">
        <v>3337</v>
      </c>
      <c r="F1" s="15" t="s">
        <v>3338</v>
      </c>
      <c r="G1" s="15" t="s">
        <v>3339</v>
      </c>
      <c r="H1" s="15" t="s">
        <v>3340</v>
      </c>
      <c r="I1" s="15" t="s">
        <v>3341</v>
      </c>
      <c r="J1" s="15" t="s">
        <v>3342</v>
      </c>
    </row>
    <row r="2" spans="1:10" x14ac:dyDescent="0.35">
      <c r="A2" s="14" t="s">
        <v>1578</v>
      </c>
      <c r="B2" s="14" t="s">
        <v>3343</v>
      </c>
      <c r="C2" s="14" t="s">
        <v>3344</v>
      </c>
      <c r="D2" s="14">
        <v>44</v>
      </c>
      <c r="E2" s="14" t="s">
        <v>3345</v>
      </c>
      <c r="F2" s="14" t="s">
        <v>3346</v>
      </c>
      <c r="G2" s="14" t="s">
        <v>3347</v>
      </c>
      <c r="H2" s="14" t="s">
        <v>3348</v>
      </c>
      <c r="I2" s="14" t="s">
        <v>3131</v>
      </c>
      <c r="J2" s="14" t="s">
        <v>3349</v>
      </c>
    </row>
    <row r="3" spans="1:10" x14ac:dyDescent="0.35">
      <c r="A3" s="14" t="s">
        <v>511</v>
      </c>
      <c r="B3" s="14" t="s">
        <v>3350</v>
      </c>
      <c r="C3" s="14" t="s">
        <v>3351</v>
      </c>
      <c r="D3" s="14">
        <v>-5</v>
      </c>
      <c r="E3" s="14" t="s">
        <v>3352</v>
      </c>
      <c r="F3" s="14" t="s">
        <v>3352</v>
      </c>
      <c r="G3" s="14" t="s">
        <v>3353</v>
      </c>
      <c r="H3" s="14" t="s">
        <v>3354</v>
      </c>
      <c r="I3" s="14" t="s">
        <v>3173</v>
      </c>
      <c r="J3" s="14" t="s">
        <v>2054</v>
      </c>
    </row>
    <row r="4" spans="1:10" x14ac:dyDescent="0.35">
      <c r="A4" s="14" t="s">
        <v>439</v>
      </c>
      <c r="B4" s="14" t="s">
        <v>3355</v>
      </c>
      <c r="C4" s="14" t="s">
        <v>3356</v>
      </c>
      <c r="D4" s="14">
        <v>-5</v>
      </c>
      <c r="E4" s="14" t="s">
        <v>3357</v>
      </c>
      <c r="F4" s="14" t="s">
        <v>3358</v>
      </c>
      <c r="G4" s="14" t="s">
        <v>3359</v>
      </c>
      <c r="H4" s="14" t="s">
        <v>3360</v>
      </c>
      <c r="I4" s="14" t="s">
        <v>3156</v>
      </c>
      <c r="J4" s="14" t="s">
        <v>3361</v>
      </c>
    </row>
    <row r="5" spans="1:10" x14ac:dyDescent="0.35">
      <c r="A5" s="14" t="s">
        <v>2494</v>
      </c>
      <c r="B5" s="14" t="s">
        <v>3362</v>
      </c>
      <c r="C5" s="14" t="s">
        <v>3363</v>
      </c>
      <c r="D5" s="14">
        <v>-5</v>
      </c>
      <c r="E5" s="14" t="s">
        <v>3364</v>
      </c>
      <c r="F5" s="14" t="s">
        <v>3365</v>
      </c>
      <c r="G5" s="14" t="s">
        <v>3366</v>
      </c>
      <c r="H5" s="14" t="s">
        <v>3367</v>
      </c>
      <c r="I5" s="14" t="s">
        <v>3131</v>
      </c>
      <c r="J5" s="14" t="s">
        <v>3368</v>
      </c>
    </row>
    <row r="6" spans="1:10" x14ac:dyDescent="0.35">
      <c r="A6" s="14" t="s">
        <v>1254</v>
      </c>
      <c r="B6" s="14" t="s">
        <v>3369</v>
      </c>
      <c r="C6" s="14" t="s">
        <v>3370</v>
      </c>
      <c r="D6" s="14"/>
      <c r="E6" s="14" t="s">
        <v>3371</v>
      </c>
      <c r="F6" s="14" t="s">
        <v>3372</v>
      </c>
      <c r="G6" s="14" t="s">
        <v>3373</v>
      </c>
      <c r="H6" s="14" t="s">
        <v>3374</v>
      </c>
      <c r="I6" s="14" t="s">
        <v>3131</v>
      </c>
      <c r="J6" s="14" t="s">
        <v>3375</v>
      </c>
    </row>
    <row r="7" spans="1:10" x14ac:dyDescent="0.35">
      <c r="A7" s="14" t="s">
        <v>1097</v>
      </c>
      <c r="B7" s="14" t="s">
        <v>3376</v>
      </c>
      <c r="C7" s="14" t="s">
        <v>3377</v>
      </c>
      <c r="D7" s="14"/>
      <c r="E7" s="14" t="s">
        <v>3378</v>
      </c>
      <c r="F7" s="14" t="s">
        <v>3379</v>
      </c>
      <c r="G7" s="14" t="s">
        <v>3380</v>
      </c>
      <c r="H7" s="14" t="s">
        <v>3381</v>
      </c>
      <c r="I7" s="14" t="s">
        <v>3173</v>
      </c>
      <c r="J7" s="14" t="s">
        <v>3382</v>
      </c>
    </row>
    <row r="8" spans="1:10" x14ac:dyDescent="0.35">
      <c r="A8" s="14" t="s">
        <v>678</v>
      </c>
      <c r="B8" s="14" t="s">
        <v>3383</v>
      </c>
      <c r="C8" s="14" t="s">
        <v>3384</v>
      </c>
      <c r="D8" s="14">
        <v>-5</v>
      </c>
      <c r="E8" s="14" t="s">
        <v>3357</v>
      </c>
      <c r="F8" s="14" t="s">
        <v>3358</v>
      </c>
      <c r="G8" s="14" t="s">
        <v>3385</v>
      </c>
      <c r="H8" s="14" t="s">
        <v>3386</v>
      </c>
      <c r="I8" s="14" t="s">
        <v>3131</v>
      </c>
      <c r="J8" s="14" t="s">
        <v>3387</v>
      </c>
    </row>
    <row r="9" spans="1:10" x14ac:dyDescent="0.35">
      <c r="A9" s="14" t="s">
        <v>124</v>
      </c>
      <c r="B9" s="14" t="s">
        <v>3388</v>
      </c>
      <c r="C9" s="14" t="s">
        <v>3344</v>
      </c>
      <c r="D9" s="14">
        <v>57</v>
      </c>
      <c r="E9" s="14" t="s">
        <v>3357</v>
      </c>
      <c r="F9" s="14" t="s">
        <v>3358</v>
      </c>
      <c r="G9" s="14" t="s">
        <v>3389</v>
      </c>
      <c r="H9" s="14" t="s">
        <v>3390</v>
      </c>
      <c r="I9" s="14" t="s">
        <v>3131</v>
      </c>
      <c r="J9" s="14" t="s">
        <v>2590</v>
      </c>
    </row>
    <row r="10" spans="1:10" x14ac:dyDescent="0.35">
      <c r="A10" s="14" t="s">
        <v>534</v>
      </c>
      <c r="B10" s="14" t="s">
        <v>3391</v>
      </c>
      <c r="C10" s="14" t="s">
        <v>3370</v>
      </c>
      <c r="D10" s="14">
        <v>-5</v>
      </c>
      <c r="E10" s="14" t="s">
        <v>3392</v>
      </c>
      <c r="F10" s="14" t="s">
        <v>3358</v>
      </c>
      <c r="G10" s="14"/>
      <c r="H10" s="14" t="s">
        <v>3393</v>
      </c>
      <c r="I10" s="14" t="s">
        <v>3131</v>
      </c>
      <c r="J10" s="14" t="s">
        <v>3394</v>
      </c>
    </row>
    <row r="11" spans="1:10" x14ac:dyDescent="0.35">
      <c r="A11" s="14" t="s">
        <v>683</v>
      </c>
      <c r="B11" s="14" t="s">
        <v>3395</v>
      </c>
      <c r="C11" s="14" t="s">
        <v>3370</v>
      </c>
      <c r="D11" s="14" t="s">
        <v>3396</v>
      </c>
      <c r="E11" s="14" t="s">
        <v>3397</v>
      </c>
      <c r="F11" s="14" t="s">
        <v>3398</v>
      </c>
      <c r="G11" s="14" t="s">
        <v>3399</v>
      </c>
      <c r="H11" s="14" t="s">
        <v>3400</v>
      </c>
      <c r="I11" s="14" t="s">
        <v>3173</v>
      </c>
      <c r="J11" s="14" t="s">
        <v>3401</v>
      </c>
    </row>
    <row r="12" spans="1:10" x14ac:dyDescent="0.35">
      <c r="A12" s="14" t="s">
        <v>385</v>
      </c>
      <c r="B12" s="14" t="s">
        <v>3402</v>
      </c>
      <c r="C12" s="14" t="s">
        <v>3351</v>
      </c>
      <c r="D12" s="14">
        <v>-5</v>
      </c>
      <c r="E12" s="14" t="s">
        <v>3403</v>
      </c>
      <c r="F12" s="14" t="s">
        <v>3404</v>
      </c>
      <c r="G12" s="14" t="s">
        <v>3405</v>
      </c>
      <c r="H12" s="14"/>
      <c r="I12" s="14" t="s">
        <v>3406</v>
      </c>
      <c r="J12" s="14" t="s">
        <v>807</v>
      </c>
    </row>
    <row r="13" spans="1:10" x14ac:dyDescent="0.35">
      <c r="A13" s="14" t="s">
        <v>365</v>
      </c>
      <c r="B13" s="14" t="s">
        <v>3407</v>
      </c>
      <c r="C13" s="14" t="s">
        <v>3408</v>
      </c>
      <c r="D13" s="14" t="s">
        <v>3396</v>
      </c>
      <c r="E13" s="14" t="s">
        <v>3409</v>
      </c>
      <c r="F13" s="14" t="s">
        <v>3379</v>
      </c>
      <c r="G13" s="14" t="s">
        <v>3410</v>
      </c>
      <c r="H13" s="14"/>
      <c r="I13" s="14" t="s">
        <v>3131</v>
      </c>
      <c r="J13" s="14" t="s">
        <v>3411</v>
      </c>
    </row>
    <row r="14" spans="1:10" x14ac:dyDescent="0.35">
      <c r="A14" s="14" t="s">
        <v>750</v>
      </c>
      <c r="B14" s="14" t="s">
        <v>3412</v>
      </c>
      <c r="C14" s="14" t="s">
        <v>3370</v>
      </c>
      <c r="D14" s="14" t="s">
        <v>3396</v>
      </c>
      <c r="E14" s="14" t="s">
        <v>3409</v>
      </c>
      <c r="F14" s="14" t="s">
        <v>3379</v>
      </c>
      <c r="G14" s="14" t="s">
        <v>3413</v>
      </c>
      <c r="H14" s="14"/>
      <c r="I14" s="14" t="s">
        <v>3173</v>
      </c>
      <c r="J14" s="14" t="s">
        <v>3414</v>
      </c>
    </row>
    <row r="15" spans="1:10" x14ac:dyDescent="0.35">
      <c r="A15" s="14" t="s">
        <v>477</v>
      </c>
      <c r="B15" s="14" t="s">
        <v>3415</v>
      </c>
      <c r="C15" s="14" t="s">
        <v>3351</v>
      </c>
      <c r="D15" s="14"/>
      <c r="E15" s="14" t="s">
        <v>3416</v>
      </c>
      <c r="F15" s="14" t="s">
        <v>3417</v>
      </c>
      <c r="G15" s="14" t="s">
        <v>3418</v>
      </c>
      <c r="H15" s="14" t="s">
        <v>3419</v>
      </c>
      <c r="I15" s="14" t="s">
        <v>3173</v>
      </c>
      <c r="J15" s="14" t="s">
        <v>3420</v>
      </c>
    </row>
    <row r="16" spans="1:10" x14ac:dyDescent="0.35">
      <c r="A16" s="14" t="s">
        <v>206</v>
      </c>
      <c r="B16" s="14" t="s">
        <v>3421</v>
      </c>
      <c r="C16" s="14" t="s">
        <v>3344</v>
      </c>
      <c r="D16" s="14">
        <v>45</v>
      </c>
      <c r="E16" s="14" t="s">
        <v>3371</v>
      </c>
      <c r="F16" s="14" t="s">
        <v>3372</v>
      </c>
      <c r="G16" s="14" t="s">
        <v>3422</v>
      </c>
      <c r="H16" s="14" t="s">
        <v>3423</v>
      </c>
      <c r="I16" s="14" t="s">
        <v>3131</v>
      </c>
      <c r="J16" s="14" t="s">
        <v>3424</v>
      </c>
    </row>
    <row r="17" spans="1:10" x14ac:dyDescent="0.35">
      <c r="A17" s="14" t="s">
        <v>153</v>
      </c>
      <c r="B17" s="14" t="s">
        <v>3425</v>
      </c>
      <c r="C17" s="14" t="s">
        <v>3426</v>
      </c>
      <c r="D17" s="14">
        <v>-5</v>
      </c>
      <c r="E17" s="14" t="s">
        <v>3371</v>
      </c>
      <c r="F17" s="14" t="s">
        <v>3372</v>
      </c>
      <c r="G17" s="14"/>
      <c r="H17" s="14" t="s">
        <v>3427</v>
      </c>
      <c r="I17" s="14" t="s">
        <v>3406</v>
      </c>
      <c r="J17" s="14" t="s">
        <v>3428</v>
      </c>
    </row>
    <row r="18" spans="1:10" x14ac:dyDescent="0.35">
      <c r="A18" s="14" t="s">
        <v>203</v>
      </c>
      <c r="B18" s="14" t="s">
        <v>3429</v>
      </c>
      <c r="C18" s="14" t="s">
        <v>3356</v>
      </c>
      <c r="D18" s="14" t="s">
        <v>3396</v>
      </c>
      <c r="E18" s="14" t="s">
        <v>3409</v>
      </c>
      <c r="F18" s="14" t="s">
        <v>3379</v>
      </c>
      <c r="G18" s="14" t="s">
        <v>3430</v>
      </c>
      <c r="H18" s="14" t="s">
        <v>3431</v>
      </c>
      <c r="I18" s="14" t="s">
        <v>3173</v>
      </c>
      <c r="J18" s="14" t="s">
        <v>3432</v>
      </c>
    </row>
    <row r="19" spans="1:10" x14ac:dyDescent="0.35">
      <c r="A19" s="14" t="s">
        <v>786</v>
      </c>
      <c r="B19" s="14" t="s">
        <v>3433</v>
      </c>
      <c r="C19" s="14" t="s">
        <v>3434</v>
      </c>
      <c r="D19" s="14">
        <v>-5</v>
      </c>
      <c r="E19" s="14" t="s">
        <v>3357</v>
      </c>
      <c r="F19" s="14" t="s">
        <v>3358</v>
      </c>
      <c r="G19" s="14" t="s">
        <v>3435</v>
      </c>
      <c r="H19" s="14"/>
      <c r="I19" s="14" t="s">
        <v>3173</v>
      </c>
      <c r="J19" s="14" t="s">
        <v>3436</v>
      </c>
    </row>
    <row r="20" spans="1:10" x14ac:dyDescent="0.35">
      <c r="A20" s="14" t="s">
        <v>811</v>
      </c>
      <c r="B20" s="14" t="s">
        <v>3437</v>
      </c>
      <c r="C20" s="14" t="s">
        <v>3363</v>
      </c>
      <c r="D20" s="14" t="s">
        <v>3396</v>
      </c>
      <c r="E20" s="14" t="s">
        <v>3409</v>
      </c>
      <c r="F20" s="14" t="s">
        <v>3379</v>
      </c>
      <c r="G20" s="14"/>
      <c r="H20" s="14"/>
      <c r="I20" s="14" t="s">
        <v>3156</v>
      </c>
      <c r="J20" s="14" t="s">
        <v>3438</v>
      </c>
    </row>
    <row r="21" spans="1:10" x14ac:dyDescent="0.35">
      <c r="A21" s="14" t="s">
        <v>859</v>
      </c>
      <c r="B21" s="14" t="s">
        <v>3439</v>
      </c>
      <c r="C21" s="14" t="s">
        <v>3370</v>
      </c>
      <c r="D21" s="14" t="s">
        <v>3396</v>
      </c>
      <c r="E21" s="14" t="s">
        <v>3440</v>
      </c>
      <c r="F21" s="14" t="s">
        <v>3346</v>
      </c>
      <c r="G21" s="14" t="s">
        <v>3441</v>
      </c>
      <c r="H21" s="14"/>
      <c r="I21" s="14" t="s">
        <v>3406</v>
      </c>
      <c r="J21" s="14" t="s">
        <v>3442</v>
      </c>
    </row>
    <row r="22" spans="1:10" x14ac:dyDescent="0.35">
      <c r="A22" s="14" t="s">
        <v>254</v>
      </c>
      <c r="B22" s="14" t="s">
        <v>3443</v>
      </c>
      <c r="C22" s="14" t="s">
        <v>3434</v>
      </c>
      <c r="D22" s="14" t="s">
        <v>3396</v>
      </c>
      <c r="E22" s="14" t="s">
        <v>3409</v>
      </c>
      <c r="F22" s="14" t="s">
        <v>3379</v>
      </c>
      <c r="G22" s="14"/>
      <c r="H22" s="14" t="s">
        <v>3444</v>
      </c>
      <c r="I22" s="14" t="s">
        <v>3406</v>
      </c>
      <c r="J22" s="14" t="s">
        <v>3445</v>
      </c>
    </row>
    <row r="23" spans="1:10" x14ac:dyDescent="0.35">
      <c r="A23" s="14" t="s">
        <v>491</v>
      </c>
      <c r="B23" s="14" t="s">
        <v>3446</v>
      </c>
      <c r="C23" s="14" t="s">
        <v>3351</v>
      </c>
      <c r="D23" s="14" t="s">
        <v>3396</v>
      </c>
      <c r="E23" s="14" t="s">
        <v>3371</v>
      </c>
      <c r="F23" s="14" t="s">
        <v>3372</v>
      </c>
      <c r="G23" s="14" t="s">
        <v>3447</v>
      </c>
      <c r="H23" s="14" t="s">
        <v>3448</v>
      </c>
      <c r="I23" s="14" t="s">
        <v>3156</v>
      </c>
      <c r="J23" s="14" t="s">
        <v>3449</v>
      </c>
    </row>
    <row r="24" spans="1:10" x14ac:dyDescent="0.35">
      <c r="A24" s="14" t="s">
        <v>674</v>
      </c>
      <c r="B24" s="14" t="s">
        <v>3450</v>
      </c>
      <c r="C24" s="14" t="s">
        <v>3377</v>
      </c>
      <c r="D24" s="14">
        <v>-5</v>
      </c>
      <c r="E24" s="14" t="s">
        <v>3392</v>
      </c>
      <c r="F24" s="14" t="s">
        <v>3358</v>
      </c>
      <c r="G24" s="14" t="s">
        <v>3451</v>
      </c>
      <c r="H24" s="14" t="s">
        <v>3452</v>
      </c>
      <c r="I24" s="14" t="s">
        <v>3406</v>
      </c>
      <c r="J24" s="14" t="s">
        <v>3453</v>
      </c>
    </row>
    <row r="25" spans="1:10" x14ac:dyDescent="0.35">
      <c r="A25" s="14" t="s">
        <v>903</v>
      </c>
      <c r="B25" s="14" t="s">
        <v>3454</v>
      </c>
      <c r="C25" s="14" t="s">
        <v>3426</v>
      </c>
      <c r="D25" s="14"/>
      <c r="E25" s="14" t="s">
        <v>3440</v>
      </c>
      <c r="F25" s="14" t="s">
        <v>3346</v>
      </c>
      <c r="G25" s="14" t="s">
        <v>3455</v>
      </c>
      <c r="H25" s="14" t="s">
        <v>3456</v>
      </c>
      <c r="I25" s="14" t="s">
        <v>3173</v>
      </c>
      <c r="J25" s="14" t="s">
        <v>3457</v>
      </c>
    </row>
    <row r="26" spans="1:10" x14ac:dyDescent="0.35">
      <c r="A26" s="14" t="s">
        <v>1009</v>
      </c>
      <c r="B26" s="14" t="s">
        <v>3458</v>
      </c>
      <c r="C26" s="14" t="s">
        <v>3434</v>
      </c>
      <c r="D26" s="14">
        <v>27</v>
      </c>
      <c r="E26" s="14" t="s">
        <v>3352</v>
      </c>
      <c r="F26" s="14" t="s">
        <v>3352</v>
      </c>
      <c r="G26" s="14" t="s">
        <v>3459</v>
      </c>
      <c r="H26" s="14"/>
      <c r="I26" s="14" t="s">
        <v>3131</v>
      </c>
      <c r="J26" s="14" t="s">
        <v>3460</v>
      </c>
    </row>
    <row r="27" spans="1:10" x14ac:dyDescent="0.35">
      <c r="A27" s="14" t="s">
        <v>248</v>
      </c>
      <c r="B27" s="14" t="s">
        <v>3461</v>
      </c>
      <c r="C27" s="14" t="s">
        <v>3344</v>
      </c>
      <c r="D27" s="14">
        <v>-5</v>
      </c>
      <c r="E27" s="14" t="s">
        <v>3462</v>
      </c>
      <c r="F27" s="14" t="s">
        <v>3346</v>
      </c>
      <c r="G27" s="14" t="s">
        <v>3463</v>
      </c>
      <c r="H27" s="14" t="s">
        <v>3464</v>
      </c>
      <c r="I27" s="14" t="s">
        <v>3173</v>
      </c>
      <c r="J27" s="14" t="s">
        <v>3465</v>
      </c>
    </row>
    <row r="28" spans="1:10" x14ac:dyDescent="0.35">
      <c r="A28" s="14" t="s">
        <v>106</v>
      </c>
      <c r="B28" s="14" t="s">
        <v>3466</v>
      </c>
      <c r="C28" s="14" t="s">
        <v>3344</v>
      </c>
      <c r="D28" s="14" t="s">
        <v>3396</v>
      </c>
      <c r="E28" s="14" t="s">
        <v>3352</v>
      </c>
      <c r="F28" s="14" t="s">
        <v>3352</v>
      </c>
      <c r="G28" s="14"/>
      <c r="H28" s="14" t="s">
        <v>3467</v>
      </c>
      <c r="I28" s="14" t="s">
        <v>3131</v>
      </c>
      <c r="J28" s="14" t="s">
        <v>3468</v>
      </c>
    </row>
    <row r="29" spans="1:10" x14ac:dyDescent="0.35">
      <c r="A29" s="14" t="s">
        <v>558</v>
      </c>
      <c r="B29" s="14" t="s">
        <v>3469</v>
      </c>
      <c r="C29" s="14" t="s">
        <v>3408</v>
      </c>
      <c r="D29" s="14">
        <v>-5</v>
      </c>
      <c r="E29" s="14" t="s">
        <v>3357</v>
      </c>
      <c r="F29" s="14" t="s">
        <v>3358</v>
      </c>
      <c r="G29" s="14" t="s">
        <v>3470</v>
      </c>
      <c r="H29" s="14" t="s">
        <v>3471</v>
      </c>
      <c r="I29" s="14" t="s">
        <v>3156</v>
      </c>
      <c r="J29" s="14" t="s">
        <v>3472</v>
      </c>
    </row>
    <row r="30" spans="1:10" x14ac:dyDescent="0.35">
      <c r="A30" s="14" t="s">
        <v>129</v>
      </c>
      <c r="B30" s="14" t="s">
        <v>3473</v>
      </c>
      <c r="C30" s="14" t="s">
        <v>3351</v>
      </c>
      <c r="D30" s="14"/>
      <c r="E30" s="14" t="s">
        <v>3364</v>
      </c>
      <c r="F30" s="14" t="s">
        <v>3365</v>
      </c>
      <c r="G30" s="14" t="s">
        <v>3474</v>
      </c>
      <c r="H30" s="14" t="s">
        <v>3475</v>
      </c>
      <c r="I30" s="14" t="s">
        <v>3156</v>
      </c>
      <c r="J30" s="14" t="s">
        <v>3476</v>
      </c>
    </row>
    <row r="31" spans="1:10" x14ac:dyDescent="0.35">
      <c r="A31" s="14" t="s">
        <v>854</v>
      </c>
      <c r="B31" s="14" t="s">
        <v>3477</v>
      </c>
      <c r="C31" s="14" t="s">
        <v>3344</v>
      </c>
      <c r="D31" s="14">
        <v>-5</v>
      </c>
      <c r="E31" s="14" t="s">
        <v>3378</v>
      </c>
      <c r="F31" s="14" t="s">
        <v>3379</v>
      </c>
      <c r="G31" s="14" t="s">
        <v>3478</v>
      </c>
      <c r="H31" s="14" t="s">
        <v>3479</v>
      </c>
      <c r="I31" s="14" t="s">
        <v>3131</v>
      </c>
      <c r="J31" s="14" t="s">
        <v>3480</v>
      </c>
    </row>
    <row r="32" spans="1:10" x14ac:dyDescent="0.35">
      <c r="A32" s="14" t="s">
        <v>157</v>
      </c>
      <c r="B32" s="14" t="s">
        <v>3481</v>
      </c>
      <c r="C32" s="14" t="s">
        <v>3363</v>
      </c>
      <c r="D32" s="14" t="s">
        <v>3396</v>
      </c>
      <c r="E32" s="14" t="s">
        <v>3416</v>
      </c>
      <c r="F32" s="14" t="s">
        <v>3417</v>
      </c>
      <c r="G32" s="14" t="s">
        <v>3482</v>
      </c>
      <c r="H32" s="14" t="s">
        <v>3483</v>
      </c>
      <c r="I32" s="14" t="s">
        <v>3156</v>
      </c>
      <c r="J32" s="14" t="s">
        <v>3484</v>
      </c>
    </row>
    <row r="33" spans="1:10" x14ac:dyDescent="0.35">
      <c r="A33" s="14" t="s">
        <v>87</v>
      </c>
      <c r="B33" s="14" t="s">
        <v>3485</v>
      </c>
      <c r="C33" s="14" t="s">
        <v>3356</v>
      </c>
      <c r="D33" s="14" t="s">
        <v>3396</v>
      </c>
      <c r="E33" s="14" t="s">
        <v>3364</v>
      </c>
      <c r="F33" s="14" t="s">
        <v>3365</v>
      </c>
      <c r="G33" s="14" t="s">
        <v>3486</v>
      </c>
      <c r="H33" s="14"/>
      <c r="I33" s="14" t="s">
        <v>3131</v>
      </c>
      <c r="J33" s="14" t="s">
        <v>3487</v>
      </c>
    </row>
    <row r="34" spans="1:10" x14ac:dyDescent="0.35">
      <c r="A34" s="14" t="s">
        <v>234</v>
      </c>
      <c r="B34" s="14" t="s">
        <v>3488</v>
      </c>
      <c r="C34" s="14" t="s">
        <v>3434</v>
      </c>
      <c r="D34" s="14">
        <v>65</v>
      </c>
      <c r="E34" s="14" t="s">
        <v>3352</v>
      </c>
      <c r="F34" s="14" t="s">
        <v>3352</v>
      </c>
      <c r="G34" s="14" t="s">
        <v>3489</v>
      </c>
      <c r="H34" s="14" t="s">
        <v>3490</v>
      </c>
      <c r="I34" s="14" t="s">
        <v>3406</v>
      </c>
      <c r="J34" s="14" t="s">
        <v>3491</v>
      </c>
    </row>
    <row r="35" spans="1:10" x14ac:dyDescent="0.35">
      <c r="A35" s="14" t="s">
        <v>298</v>
      </c>
      <c r="B35" s="14" t="s">
        <v>3492</v>
      </c>
      <c r="C35" s="14" t="s">
        <v>3434</v>
      </c>
      <c r="D35" s="14"/>
      <c r="E35" s="14" t="s">
        <v>3493</v>
      </c>
      <c r="F35" s="14" t="s">
        <v>3398</v>
      </c>
      <c r="G35" s="14" t="s">
        <v>3494</v>
      </c>
      <c r="H35" s="14" t="s">
        <v>3495</v>
      </c>
      <c r="I35" s="14" t="s">
        <v>3173</v>
      </c>
      <c r="J35" s="14" t="s">
        <v>3496</v>
      </c>
    </row>
    <row r="36" spans="1:10" x14ac:dyDescent="0.35">
      <c r="A36" s="14" t="s">
        <v>727</v>
      </c>
      <c r="B36" s="14" t="s">
        <v>3497</v>
      </c>
      <c r="C36" s="14" t="s">
        <v>3384</v>
      </c>
      <c r="D36" s="14" t="s">
        <v>3396</v>
      </c>
      <c r="E36" s="14" t="s">
        <v>3364</v>
      </c>
      <c r="F36" s="14" t="s">
        <v>3365</v>
      </c>
      <c r="G36" s="14" t="s">
        <v>3498</v>
      </c>
      <c r="H36" s="14"/>
      <c r="I36" s="14" t="s">
        <v>3406</v>
      </c>
      <c r="J36" s="14" t="s">
        <v>3499</v>
      </c>
    </row>
    <row r="37" spans="1:10" x14ac:dyDescent="0.35">
      <c r="A37" s="14" t="s">
        <v>621</v>
      </c>
      <c r="B37" s="14" t="s">
        <v>3500</v>
      </c>
      <c r="C37" s="14" t="s">
        <v>3408</v>
      </c>
      <c r="D37" s="14" t="s">
        <v>3396</v>
      </c>
      <c r="E37" s="14" t="s">
        <v>3364</v>
      </c>
      <c r="F37" s="14" t="s">
        <v>3365</v>
      </c>
      <c r="G37" s="14"/>
      <c r="H37" s="14"/>
      <c r="I37" s="14" t="s">
        <v>3406</v>
      </c>
      <c r="J37" s="14" t="s">
        <v>3501</v>
      </c>
    </row>
    <row r="38" spans="1:10" x14ac:dyDescent="0.35">
      <c r="A38" s="14" t="s">
        <v>1470</v>
      </c>
      <c r="B38" s="14" t="s">
        <v>3502</v>
      </c>
      <c r="C38" s="14" t="s">
        <v>3377</v>
      </c>
      <c r="D38" s="14"/>
      <c r="E38" s="14" t="s">
        <v>3352</v>
      </c>
      <c r="F38" s="14" t="s">
        <v>3352</v>
      </c>
      <c r="G38" s="14" t="s">
        <v>3503</v>
      </c>
      <c r="H38" s="14" t="s">
        <v>3504</v>
      </c>
      <c r="I38" s="14" t="s">
        <v>3131</v>
      </c>
      <c r="J38" s="14" t="s">
        <v>3505</v>
      </c>
    </row>
    <row r="39" spans="1:10" x14ac:dyDescent="0.35">
      <c r="A39" s="14" t="s">
        <v>148</v>
      </c>
      <c r="B39" s="14" t="s">
        <v>3506</v>
      </c>
      <c r="C39" s="14" t="s">
        <v>3356</v>
      </c>
      <c r="D39" s="14"/>
      <c r="E39" s="14" t="s">
        <v>3371</v>
      </c>
      <c r="F39" s="14" t="s">
        <v>3372</v>
      </c>
      <c r="G39" s="14" t="s">
        <v>3507</v>
      </c>
      <c r="H39" s="14" t="s">
        <v>3508</v>
      </c>
      <c r="I39" s="14" t="s">
        <v>3173</v>
      </c>
      <c r="J39" s="14" t="s">
        <v>3509</v>
      </c>
    </row>
    <row r="40" spans="1:10" x14ac:dyDescent="0.35">
      <c r="A40" s="14" t="s">
        <v>1013</v>
      </c>
      <c r="B40" s="14" t="s">
        <v>3510</v>
      </c>
      <c r="C40" s="14" t="s">
        <v>3363</v>
      </c>
      <c r="D40" s="14"/>
      <c r="E40" s="14" t="s">
        <v>3352</v>
      </c>
      <c r="F40" s="14" t="s">
        <v>3352</v>
      </c>
      <c r="G40" s="14" t="s">
        <v>3511</v>
      </c>
      <c r="H40" s="14"/>
      <c r="I40" s="14" t="s">
        <v>3131</v>
      </c>
      <c r="J40" s="14" t="s">
        <v>3512</v>
      </c>
    </row>
    <row r="41" spans="1:10" x14ac:dyDescent="0.35">
      <c r="A41" s="14" t="s">
        <v>314</v>
      </c>
      <c r="B41" s="14" t="s">
        <v>3513</v>
      </c>
      <c r="C41" s="14" t="s">
        <v>3370</v>
      </c>
      <c r="D41" s="14">
        <v>-5</v>
      </c>
      <c r="E41" s="14" t="s">
        <v>3378</v>
      </c>
      <c r="F41" s="14" t="s">
        <v>3379</v>
      </c>
      <c r="G41" s="14" t="s">
        <v>3514</v>
      </c>
      <c r="H41" s="14" t="s">
        <v>3515</v>
      </c>
      <c r="I41" s="14" t="s">
        <v>3173</v>
      </c>
      <c r="J41" s="14" t="s">
        <v>3516</v>
      </c>
    </row>
    <row r="42" spans="1:10" x14ac:dyDescent="0.35">
      <c r="A42" s="14" t="s">
        <v>309</v>
      </c>
      <c r="B42" s="14" t="s">
        <v>3517</v>
      </c>
      <c r="C42" s="14" t="s">
        <v>3370</v>
      </c>
      <c r="D42" s="14">
        <v>49</v>
      </c>
      <c r="E42" s="14" t="s">
        <v>3518</v>
      </c>
      <c r="F42" s="14" t="s">
        <v>3346</v>
      </c>
      <c r="G42" s="14" t="s">
        <v>3519</v>
      </c>
      <c r="H42" s="14" t="s">
        <v>3520</v>
      </c>
      <c r="I42" s="14" t="s">
        <v>3131</v>
      </c>
      <c r="J42" s="14" t="s">
        <v>3521</v>
      </c>
    </row>
    <row r="43" spans="1:10" x14ac:dyDescent="0.35">
      <c r="A43" s="14" t="s">
        <v>78</v>
      </c>
      <c r="B43" s="14" t="s">
        <v>3522</v>
      </c>
      <c r="C43" s="14" t="s">
        <v>3408</v>
      </c>
      <c r="D43" s="14">
        <v>29</v>
      </c>
      <c r="E43" s="14" t="s">
        <v>3523</v>
      </c>
      <c r="F43" s="14" t="s">
        <v>3379</v>
      </c>
      <c r="G43" s="14" t="s">
        <v>3524</v>
      </c>
      <c r="H43" s="14" t="s">
        <v>3525</v>
      </c>
      <c r="I43" s="14" t="s">
        <v>3173</v>
      </c>
      <c r="J43" s="14" t="s">
        <v>3526</v>
      </c>
    </row>
    <row r="44" spans="1:10" x14ac:dyDescent="0.35">
      <c r="A44" s="14" t="s">
        <v>1025</v>
      </c>
      <c r="B44" s="14" t="s">
        <v>3527</v>
      </c>
      <c r="C44" s="14" t="s">
        <v>3356</v>
      </c>
      <c r="D44" s="14" t="s">
        <v>3396</v>
      </c>
      <c r="E44" s="14" t="s">
        <v>3392</v>
      </c>
      <c r="F44" s="14" t="s">
        <v>3358</v>
      </c>
      <c r="G44" s="14" t="s">
        <v>3528</v>
      </c>
      <c r="H44" s="14" t="s">
        <v>3529</v>
      </c>
      <c r="I44" s="14" t="s">
        <v>3131</v>
      </c>
      <c r="J44" s="14" t="s">
        <v>3530</v>
      </c>
    </row>
    <row r="45" spans="1:10" x14ac:dyDescent="0.35">
      <c r="A45" s="14" t="s">
        <v>1378</v>
      </c>
      <c r="B45" s="14" t="s">
        <v>3531</v>
      </c>
      <c r="C45" s="14" t="s">
        <v>3377</v>
      </c>
      <c r="D45" s="14"/>
      <c r="E45" s="14" t="s">
        <v>3403</v>
      </c>
      <c r="F45" s="14" t="s">
        <v>3404</v>
      </c>
      <c r="G45" s="14" t="s">
        <v>3532</v>
      </c>
      <c r="H45" s="14"/>
      <c r="I45" s="14" t="s">
        <v>3173</v>
      </c>
      <c r="J45" s="14" t="s">
        <v>3533</v>
      </c>
    </row>
    <row r="46" spans="1:10" x14ac:dyDescent="0.35">
      <c r="A46" s="14" t="s">
        <v>768</v>
      </c>
      <c r="B46" s="14" t="s">
        <v>3534</v>
      </c>
      <c r="C46" s="14" t="s">
        <v>3384</v>
      </c>
      <c r="D46" s="14"/>
      <c r="E46" s="14" t="s">
        <v>3535</v>
      </c>
      <c r="F46" s="14" t="s">
        <v>3398</v>
      </c>
      <c r="G46" s="14" t="s">
        <v>3536</v>
      </c>
      <c r="H46" s="14" t="s">
        <v>3537</v>
      </c>
      <c r="I46" s="14" t="s">
        <v>3131</v>
      </c>
      <c r="J46" s="14" t="s">
        <v>3538</v>
      </c>
    </row>
    <row r="47" spans="1:10" x14ac:dyDescent="0.35">
      <c r="A47" s="14" t="s">
        <v>325</v>
      </c>
      <c r="B47" s="14" t="s">
        <v>3539</v>
      </c>
      <c r="C47" s="14" t="s">
        <v>3344</v>
      </c>
      <c r="D47" s="14">
        <v>40</v>
      </c>
      <c r="E47" s="14" t="s">
        <v>3392</v>
      </c>
      <c r="F47" s="14" t="s">
        <v>3358</v>
      </c>
      <c r="G47" s="14" t="s">
        <v>3540</v>
      </c>
      <c r="H47" s="14" t="s">
        <v>3541</v>
      </c>
      <c r="I47" s="14" t="s">
        <v>3131</v>
      </c>
      <c r="J47" s="14" t="s">
        <v>3542</v>
      </c>
    </row>
    <row r="48" spans="1:10" x14ac:dyDescent="0.35">
      <c r="A48" s="14" t="s">
        <v>285</v>
      </c>
      <c r="B48" s="14" t="s">
        <v>3543</v>
      </c>
      <c r="C48" s="14" t="s">
        <v>3408</v>
      </c>
      <c r="D48" s="14">
        <v>-5</v>
      </c>
      <c r="E48" s="14" t="s">
        <v>3409</v>
      </c>
      <c r="F48" s="14" t="s">
        <v>3379</v>
      </c>
      <c r="G48" s="14" t="s">
        <v>3544</v>
      </c>
      <c r="H48" s="14" t="s">
        <v>3545</v>
      </c>
      <c r="I48" s="14" t="s">
        <v>3406</v>
      </c>
      <c r="J48" s="14" t="s">
        <v>3546</v>
      </c>
    </row>
    <row r="49" spans="1:10" x14ac:dyDescent="0.35">
      <c r="A49" s="14" t="s">
        <v>1289</v>
      </c>
      <c r="B49" s="14" t="s">
        <v>3547</v>
      </c>
      <c r="C49" s="14" t="s">
        <v>3351</v>
      </c>
      <c r="D49" s="14" t="s">
        <v>3396</v>
      </c>
      <c r="E49" s="14" t="s">
        <v>3409</v>
      </c>
      <c r="F49" s="14" t="s">
        <v>3379</v>
      </c>
      <c r="G49" s="14" t="s">
        <v>3548</v>
      </c>
      <c r="H49" s="14" t="s">
        <v>3549</v>
      </c>
      <c r="I49" s="14" t="s">
        <v>3131</v>
      </c>
      <c r="J49" s="14" t="s">
        <v>3550</v>
      </c>
    </row>
    <row r="50" spans="1:10" x14ac:dyDescent="0.35">
      <c r="A50" s="14" t="s">
        <v>1224</v>
      </c>
      <c r="B50" s="14" t="s">
        <v>3551</v>
      </c>
      <c r="C50" s="14" t="s">
        <v>3384</v>
      </c>
      <c r="D50" s="14">
        <v>-5</v>
      </c>
      <c r="E50" s="14" t="s">
        <v>3403</v>
      </c>
      <c r="F50" s="14" t="s">
        <v>3404</v>
      </c>
      <c r="G50" s="14" t="s">
        <v>3552</v>
      </c>
      <c r="H50" s="14" t="s">
        <v>3553</v>
      </c>
      <c r="I50" s="14" t="s">
        <v>3131</v>
      </c>
      <c r="J50" s="14" t="s">
        <v>3554</v>
      </c>
    </row>
    <row r="51" spans="1:10" x14ac:dyDescent="0.35">
      <c r="A51" s="14" t="s">
        <v>368</v>
      </c>
      <c r="B51" s="14" t="s">
        <v>3555</v>
      </c>
      <c r="C51" s="14" t="s">
        <v>3426</v>
      </c>
      <c r="D51" s="14">
        <v>-5</v>
      </c>
      <c r="E51" s="14" t="s">
        <v>3364</v>
      </c>
      <c r="F51" s="14" t="s">
        <v>3365</v>
      </c>
      <c r="G51" s="14"/>
      <c r="H51" s="14" t="s">
        <v>3556</v>
      </c>
      <c r="I51" s="14" t="s">
        <v>3406</v>
      </c>
      <c r="J51" s="14" t="s">
        <v>3557</v>
      </c>
    </row>
    <row r="52" spans="1:10" x14ac:dyDescent="0.35">
      <c r="A52" s="14" t="s">
        <v>263</v>
      </c>
      <c r="B52" s="14" t="s">
        <v>3558</v>
      </c>
      <c r="C52" s="14" t="s">
        <v>3426</v>
      </c>
      <c r="D52" s="14" t="s">
        <v>3396</v>
      </c>
      <c r="E52" s="14" t="s">
        <v>3409</v>
      </c>
      <c r="F52" s="14" t="s">
        <v>3379</v>
      </c>
      <c r="G52" s="14" t="s">
        <v>3559</v>
      </c>
      <c r="H52" s="14" t="s">
        <v>3560</v>
      </c>
      <c r="I52" s="14" t="s">
        <v>3156</v>
      </c>
      <c r="J52" s="14" t="s">
        <v>3561</v>
      </c>
    </row>
    <row r="53" spans="1:10" x14ac:dyDescent="0.35">
      <c r="A53" s="14" t="s">
        <v>597</v>
      </c>
      <c r="B53" s="14" t="s">
        <v>3562</v>
      </c>
      <c r="C53" s="14" t="s">
        <v>3408</v>
      </c>
      <c r="D53" s="14">
        <v>-5</v>
      </c>
      <c r="E53" s="14" t="s">
        <v>3371</v>
      </c>
      <c r="F53" s="14" t="s">
        <v>3372</v>
      </c>
      <c r="G53" s="14" t="s">
        <v>3563</v>
      </c>
      <c r="H53" s="14" t="s">
        <v>3564</v>
      </c>
      <c r="I53" s="14" t="s">
        <v>3131</v>
      </c>
      <c r="J53" s="14" t="s">
        <v>3565</v>
      </c>
    </row>
    <row r="54" spans="1:10" x14ac:dyDescent="0.35">
      <c r="A54" s="14" t="s">
        <v>62</v>
      </c>
      <c r="B54" s="14" t="s">
        <v>3566</v>
      </c>
      <c r="C54" s="14" t="s">
        <v>3408</v>
      </c>
      <c r="D54" s="14">
        <v>-5</v>
      </c>
      <c r="E54" s="14" t="s">
        <v>3440</v>
      </c>
      <c r="F54" s="14" t="s">
        <v>3346</v>
      </c>
      <c r="G54" s="14" t="s">
        <v>3567</v>
      </c>
      <c r="H54" s="14"/>
      <c r="I54" s="14" t="s">
        <v>3131</v>
      </c>
      <c r="J54" s="14" t="s">
        <v>3568</v>
      </c>
    </row>
    <row r="55" spans="1:10" x14ac:dyDescent="0.35">
      <c r="A55" s="14" t="s">
        <v>661</v>
      </c>
      <c r="B55" s="14" t="s">
        <v>3569</v>
      </c>
      <c r="C55" s="14" t="s">
        <v>3426</v>
      </c>
      <c r="D55" s="14"/>
      <c r="E55" s="14" t="s">
        <v>3403</v>
      </c>
      <c r="F55" s="14" t="s">
        <v>3404</v>
      </c>
      <c r="G55" s="14" t="s">
        <v>3570</v>
      </c>
      <c r="H55" s="14" t="s">
        <v>3571</v>
      </c>
      <c r="I55" s="14" t="s">
        <v>3131</v>
      </c>
      <c r="J55" s="14" t="s">
        <v>3572</v>
      </c>
    </row>
    <row r="56" spans="1:10" x14ac:dyDescent="0.35">
      <c r="A56" s="14" t="s">
        <v>591</v>
      </c>
      <c r="B56" s="14" t="s">
        <v>3573</v>
      </c>
      <c r="C56" s="14" t="s">
        <v>3370</v>
      </c>
      <c r="D56" s="14" t="s">
        <v>3396</v>
      </c>
      <c r="E56" s="14" t="s">
        <v>3574</v>
      </c>
      <c r="F56" s="14" t="s">
        <v>3346</v>
      </c>
      <c r="G56" s="14" t="s">
        <v>3575</v>
      </c>
      <c r="H56" s="14" t="s">
        <v>3576</v>
      </c>
      <c r="I56" s="14" t="s">
        <v>3131</v>
      </c>
      <c r="J56" s="14" t="s">
        <v>3577</v>
      </c>
    </row>
    <row r="57" spans="1:10" x14ac:dyDescent="0.35">
      <c r="A57" s="14" t="s">
        <v>1418</v>
      </c>
      <c r="B57" s="14" t="s">
        <v>3578</v>
      </c>
      <c r="C57" s="14" t="s">
        <v>3370</v>
      </c>
      <c r="D57" s="14">
        <v>44</v>
      </c>
      <c r="E57" s="14" t="s">
        <v>3416</v>
      </c>
      <c r="F57" s="14" t="s">
        <v>3417</v>
      </c>
      <c r="G57" s="14" t="s">
        <v>3579</v>
      </c>
      <c r="H57" s="14" t="s">
        <v>3580</v>
      </c>
      <c r="I57" s="14" t="s">
        <v>3173</v>
      </c>
      <c r="J57" s="14" t="s">
        <v>3581</v>
      </c>
    </row>
    <row r="58" spans="1:10" x14ac:dyDescent="0.35">
      <c r="A58" s="14" t="s">
        <v>804</v>
      </c>
      <c r="B58" s="14" t="s">
        <v>3582</v>
      </c>
      <c r="C58" s="14" t="s">
        <v>3408</v>
      </c>
      <c r="D58" s="14"/>
      <c r="E58" s="14" t="s">
        <v>3462</v>
      </c>
      <c r="F58" s="14" t="s">
        <v>3346</v>
      </c>
      <c r="G58" s="14" t="s">
        <v>3583</v>
      </c>
      <c r="H58" s="14" t="s">
        <v>3584</v>
      </c>
      <c r="I58" s="14" t="s">
        <v>3173</v>
      </c>
      <c r="J58" s="14" t="s">
        <v>3585</v>
      </c>
    </row>
    <row r="59" spans="1:10" x14ac:dyDescent="0.35">
      <c r="A59" s="14" t="s">
        <v>1058</v>
      </c>
      <c r="B59" s="14" t="s">
        <v>3586</v>
      </c>
      <c r="C59" s="14" t="s">
        <v>3363</v>
      </c>
      <c r="D59" s="14" t="s">
        <v>3396</v>
      </c>
      <c r="E59" s="14" t="s">
        <v>3493</v>
      </c>
      <c r="F59" s="14" t="s">
        <v>3398</v>
      </c>
      <c r="G59" s="14" t="s">
        <v>3587</v>
      </c>
      <c r="H59" s="14" t="s">
        <v>3588</v>
      </c>
      <c r="I59" s="14" t="s">
        <v>3131</v>
      </c>
      <c r="J59" s="14" t="s">
        <v>3589</v>
      </c>
    </row>
    <row r="60" spans="1:10" x14ac:dyDescent="0.35">
      <c r="A60" s="14" t="s">
        <v>723</v>
      </c>
      <c r="B60" s="14" t="s">
        <v>3590</v>
      </c>
      <c r="C60" s="14" t="s">
        <v>3384</v>
      </c>
      <c r="D60" s="14"/>
      <c r="E60" s="14" t="s">
        <v>3462</v>
      </c>
      <c r="F60" s="14" t="s">
        <v>3346</v>
      </c>
      <c r="G60" s="14" t="s">
        <v>3591</v>
      </c>
      <c r="H60" s="14" t="s">
        <v>3592</v>
      </c>
      <c r="I60" s="14" t="s">
        <v>3131</v>
      </c>
      <c r="J60" s="14" t="s">
        <v>3593</v>
      </c>
    </row>
    <row r="61" spans="1:10" x14ac:dyDescent="0.35">
      <c r="A61" s="14" t="s">
        <v>171</v>
      </c>
      <c r="B61" s="14" t="s">
        <v>3594</v>
      </c>
      <c r="C61" s="14" t="s">
        <v>3344</v>
      </c>
      <c r="D61" s="14" t="s">
        <v>3396</v>
      </c>
      <c r="E61" s="14" t="s">
        <v>3595</v>
      </c>
      <c r="F61" s="14" t="s">
        <v>3379</v>
      </c>
      <c r="G61" s="14" t="s">
        <v>3596</v>
      </c>
      <c r="H61" s="14"/>
      <c r="I61" s="14" t="s">
        <v>3406</v>
      </c>
      <c r="J61" s="14" t="s">
        <v>3597</v>
      </c>
    </row>
    <row r="62" spans="1:10" x14ac:dyDescent="0.35">
      <c r="A62" s="14" t="s">
        <v>1305</v>
      </c>
      <c r="B62" s="14" t="s">
        <v>3598</v>
      </c>
      <c r="C62" s="14" t="s">
        <v>3356</v>
      </c>
      <c r="D62" s="14">
        <v>-5</v>
      </c>
      <c r="E62" s="14" t="s">
        <v>3462</v>
      </c>
      <c r="F62" s="14" t="s">
        <v>3346</v>
      </c>
      <c r="G62" s="14" t="s">
        <v>3599</v>
      </c>
      <c r="H62" s="14" t="s">
        <v>3600</v>
      </c>
      <c r="I62" s="14" t="s">
        <v>3131</v>
      </c>
      <c r="J62" s="14" t="s">
        <v>3601</v>
      </c>
    </row>
    <row r="63" spans="1:10" x14ac:dyDescent="0.35">
      <c r="A63" s="14" t="s">
        <v>178</v>
      </c>
      <c r="B63" s="14" t="s">
        <v>3602</v>
      </c>
      <c r="C63" s="14" t="s">
        <v>3356</v>
      </c>
      <c r="D63" s="14" t="s">
        <v>3396</v>
      </c>
      <c r="E63" s="14" t="s">
        <v>3409</v>
      </c>
      <c r="F63" s="14" t="s">
        <v>3379</v>
      </c>
      <c r="G63" s="14" t="s">
        <v>3603</v>
      </c>
      <c r="H63" s="14" t="s">
        <v>3604</v>
      </c>
      <c r="I63" s="14" t="s">
        <v>3131</v>
      </c>
      <c r="J63" s="14" t="s">
        <v>3605</v>
      </c>
    </row>
    <row r="64" spans="1:10" x14ac:dyDescent="0.35">
      <c r="A64" s="14" t="s">
        <v>396</v>
      </c>
      <c r="B64" s="14" t="s">
        <v>3606</v>
      </c>
      <c r="C64" s="14" t="s">
        <v>3408</v>
      </c>
      <c r="D64" s="14">
        <v>-5</v>
      </c>
      <c r="E64" s="14" t="s">
        <v>3397</v>
      </c>
      <c r="F64" s="14" t="s">
        <v>3398</v>
      </c>
      <c r="G64" s="14" t="s">
        <v>3607</v>
      </c>
      <c r="H64" s="14"/>
      <c r="I64" s="14" t="s">
        <v>3131</v>
      </c>
      <c r="J64" s="14" t="s">
        <v>3608</v>
      </c>
    </row>
    <row r="65" spans="1:10" x14ac:dyDescent="0.35">
      <c r="A65" s="14" t="s">
        <v>239</v>
      </c>
      <c r="B65" s="14" t="s">
        <v>3609</v>
      </c>
      <c r="C65" s="14" t="s">
        <v>3370</v>
      </c>
      <c r="D65" s="14" t="s">
        <v>3396</v>
      </c>
      <c r="E65" s="14" t="s">
        <v>3416</v>
      </c>
      <c r="F65" s="14" t="s">
        <v>3417</v>
      </c>
      <c r="G65" s="14" t="s">
        <v>3610</v>
      </c>
      <c r="H65" s="14" t="s">
        <v>3611</v>
      </c>
      <c r="I65" s="14" t="s">
        <v>3131</v>
      </c>
      <c r="J65" s="14" t="s">
        <v>69</v>
      </c>
    </row>
    <row r="66" spans="1:10" x14ac:dyDescent="0.35">
      <c r="A66" s="14" t="s">
        <v>355</v>
      </c>
      <c r="B66" s="14" t="s">
        <v>3612</v>
      </c>
      <c r="C66" s="14" t="s">
        <v>3356</v>
      </c>
      <c r="D66" s="14">
        <v>-5</v>
      </c>
      <c r="E66" s="14" t="s">
        <v>3364</v>
      </c>
      <c r="F66" s="14" t="s">
        <v>3365</v>
      </c>
      <c r="G66" s="14" t="s">
        <v>3613</v>
      </c>
      <c r="H66" s="14" t="s">
        <v>3614</v>
      </c>
      <c r="I66" s="14" t="s">
        <v>3173</v>
      </c>
      <c r="J66" s="14" t="s">
        <v>2568</v>
      </c>
    </row>
    <row r="67" spans="1:10" x14ac:dyDescent="0.35">
      <c r="A67" s="14" t="s">
        <v>1218</v>
      </c>
      <c r="B67" s="14" t="s">
        <v>3615</v>
      </c>
      <c r="C67" s="14" t="s">
        <v>3351</v>
      </c>
      <c r="D67" s="14">
        <v>-5</v>
      </c>
      <c r="E67" s="14" t="s">
        <v>3378</v>
      </c>
      <c r="F67" s="14" t="s">
        <v>3379</v>
      </c>
      <c r="G67" s="14" t="s">
        <v>3616</v>
      </c>
      <c r="H67" s="14" t="s">
        <v>3617</v>
      </c>
      <c r="I67" s="14" t="s">
        <v>3406</v>
      </c>
      <c r="J67" s="14" t="s">
        <v>3618</v>
      </c>
    </row>
    <row r="68" spans="1:10" x14ac:dyDescent="0.35">
      <c r="A68" s="14" t="s">
        <v>319</v>
      </c>
      <c r="B68" s="14" t="s">
        <v>3619</v>
      </c>
      <c r="C68" s="14" t="s">
        <v>3384</v>
      </c>
      <c r="D68" s="14"/>
      <c r="E68" s="14" t="s">
        <v>3416</v>
      </c>
      <c r="F68" s="14" t="s">
        <v>3417</v>
      </c>
      <c r="G68" s="14" t="s">
        <v>3620</v>
      </c>
      <c r="H68" s="14" t="s">
        <v>3621</v>
      </c>
      <c r="I68" s="14" t="s">
        <v>3131</v>
      </c>
      <c r="J68" s="14" t="s">
        <v>3622</v>
      </c>
    </row>
    <row r="69" spans="1:10" x14ac:dyDescent="0.35">
      <c r="A69" s="14" t="s">
        <v>139</v>
      </c>
      <c r="B69" s="14" t="s">
        <v>3623</v>
      </c>
      <c r="C69" s="14" t="s">
        <v>3344</v>
      </c>
      <c r="D69" s="14" t="s">
        <v>3396</v>
      </c>
      <c r="E69" s="14" t="s">
        <v>3416</v>
      </c>
      <c r="F69" s="14" t="s">
        <v>3417</v>
      </c>
      <c r="G69" s="14" t="s">
        <v>3624</v>
      </c>
      <c r="H69" s="14" t="s">
        <v>3625</v>
      </c>
      <c r="I69" s="14" t="s">
        <v>3173</v>
      </c>
      <c r="J69" s="14" t="s">
        <v>3626</v>
      </c>
    </row>
    <row r="70" spans="1:10" x14ac:dyDescent="0.35">
      <c r="A70" s="14" t="s">
        <v>1584</v>
      </c>
      <c r="B70" s="14" t="s">
        <v>3627</v>
      </c>
      <c r="C70" s="14" t="s">
        <v>3377</v>
      </c>
      <c r="D70" s="14" t="s">
        <v>3396</v>
      </c>
      <c r="E70" s="14" t="s">
        <v>3364</v>
      </c>
      <c r="F70" s="14" t="s">
        <v>3365</v>
      </c>
      <c r="G70" s="14" t="s">
        <v>3628</v>
      </c>
      <c r="H70" s="14"/>
      <c r="I70" s="14" t="s">
        <v>3131</v>
      </c>
      <c r="J70" s="14" t="s">
        <v>3629</v>
      </c>
    </row>
    <row r="71" spans="1:10" x14ac:dyDescent="0.35">
      <c r="A71" s="14" t="s">
        <v>359</v>
      </c>
      <c r="B71" s="14" t="s">
        <v>3630</v>
      </c>
      <c r="C71" s="14" t="s">
        <v>3363</v>
      </c>
      <c r="D71" s="14" t="s">
        <v>3396</v>
      </c>
      <c r="E71" s="14" t="s">
        <v>3357</v>
      </c>
      <c r="F71" s="14" t="s">
        <v>3358</v>
      </c>
      <c r="G71" s="14" t="s">
        <v>3631</v>
      </c>
      <c r="H71" s="14"/>
      <c r="I71" s="14" t="s">
        <v>3406</v>
      </c>
      <c r="J71" s="14" t="s">
        <v>3632</v>
      </c>
    </row>
    <row r="72" spans="1:10" x14ac:dyDescent="0.35">
      <c r="A72" s="14" t="s">
        <v>689</v>
      </c>
      <c r="B72" s="14" t="s">
        <v>3633</v>
      </c>
      <c r="C72" s="14" t="s">
        <v>3408</v>
      </c>
      <c r="D72" s="14" t="s">
        <v>3396</v>
      </c>
      <c r="E72" s="14" t="s">
        <v>3378</v>
      </c>
      <c r="F72" s="14" t="s">
        <v>3379</v>
      </c>
      <c r="G72" s="14" t="s">
        <v>3634</v>
      </c>
      <c r="H72" s="14" t="s">
        <v>3635</v>
      </c>
      <c r="I72" s="14" t="s">
        <v>3131</v>
      </c>
      <c r="J72" s="14" t="s">
        <v>3636</v>
      </c>
    </row>
    <row r="73" spans="1:10" x14ac:dyDescent="0.35">
      <c r="A73" s="14" t="s">
        <v>301</v>
      </c>
      <c r="B73" s="14" t="s">
        <v>3637</v>
      </c>
      <c r="C73" s="14" t="s">
        <v>3344</v>
      </c>
      <c r="D73" s="14">
        <v>-5</v>
      </c>
      <c r="E73" s="14" t="s">
        <v>3357</v>
      </c>
      <c r="F73" s="14" t="s">
        <v>3358</v>
      </c>
      <c r="G73" s="14" t="s">
        <v>3638</v>
      </c>
      <c r="H73" s="14" t="s">
        <v>3639</v>
      </c>
      <c r="I73" s="14" t="s">
        <v>3173</v>
      </c>
      <c r="J73" s="14" t="s">
        <v>3640</v>
      </c>
    </row>
    <row r="74" spans="1:10" x14ac:dyDescent="0.35">
      <c r="A74" s="14" t="s">
        <v>524</v>
      </c>
      <c r="B74" s="14" t="s">
        <v>3641</v>
      </c>
      <c r="C74" s="14" t="s">
        <v>3434</v>
      </c>
      <c r="D74" s="14"/>
      <c r="E74" s="14" t="s">
        <v>3642</v>
      </c>
      <c r="F74" s="14" t="s">
        <v>3379</v>
      </c>
      <c r="G74" s="14" t="s">
        <v>3643</v>
      </c>
      <c r="H74" s="14"/>
      <c r="I74" s="14" t="s">
        <v>3131</v>
      </c>
      <c r="J74" s="14" t="s">
        <v>3644</v>
      </c>
    </row>
    <row r="75" spans="1:10" x14ac:dyDescent="0.35">
      <c r="A75" s="14" t="s">
        <v>602</v>
      </c>
      <c r="B75" s="14" t="s">
        <v>3645</v>
      </c>
      <c r="C75" s="14" t="s">
        <v>3434</v>
      </c>
      <c r="D75" s="14">
        <v>-5</v>
      </c>
      <c r="E75" s="14" t="s">
        <v>3364</v>
      </c>
      <c r="F75" s="14" t="s">
        <v>3365</v>
      </c>
      <c r="G75" s="14" t="s">
        <v>3646</v>
      </c>
      <c r="H75" s="14" t="s">
        <v>3647</v>
      </c>
      <c r="I75" s="14" t="s">
        <v>3406</v>
      </c>
      <c r="J75" s="14" t="s">
        <v>3648</v>
      </c>
    </row>
    <row r="76" spans="1:10" x14ac:dyDescent="0.35">
      <c r="A76" s="14" t="s">
        <v>613</v>
      </c>
      <c r="B76" s="14" t="s">
        <v>3649</v>
      </c>
      <c r="C76" s="14" t="s">
        <v>3344</v>
      </c>
      <c r="D76" s="14" t="s">
        <v>3396</v>
      </c>
      <c r="E76" s="14" t="s">
        <v>3371</v>
      </c>
      <c r="F76" s="14" t="s">
        <v>3372</v>
      </c>
      <c r="G76" s="14" t="s">
        <v>3650</v>
      </c>
      <c r="H76" s="14" t="s">
        <v>3651</v>
      </c>
      <c r="I76" s="14" t="s">
        <v>3131</v>
      </c>
      <c r="J76" s="14" t="s">
        <v>3652</v>
      </c>
    </row>
    <row r="77" spans="1:10" x14ac:dyDescent="0.35">
      <c r="A77" s="14" t="s">
        <v>457</v>
      </c>
      <c r="B77" s="14" t="s">
        <v>3653</v>
      </c>
      <c r="C77" s="14" t="s">
        <v>3426</v>
      </c>
      <c r="D77" s="14" t="s">
        <v>3396</v>
      </c>
      <c r="E77" s="14" t="s">
        <v>3403</v>
      </c>
      <c r="F77" s="14" t="s">
        <v>3404</v>
      </c>
      <c r="G77" s="14" t="s">
        <v>3654</v>
      </c>
      <c r="H77" s="14"/>
      <c r="I77" s="14" t="s">
        <v>3173</v>
      </c>
      <c r="J77" s="14" t="s">
        <v>3655</v>
      </c>
    </row>
    <row r="78" spans="1:10" x14ac:dyDescent="0.35">
      <c r="A78" s="14" t="s">
        <v>2377</v>
      </c>
      <c r="B78" s="14" t="s">
        <v>3656</v>
      </c>
      <c r="C78" s="14" t="s">
        <v>3426</v>
      </c>
      <c r="D78" s="14" t="s">
        <v>3396</v>
      </c>
      <c r="E78" s="14" t="s">
        <v>3397</v>
      </c>
      <c r="F78" s="14" t="s">
        <v>3398</v>
      </c>
      <c r="G78" s="14" t="s">
        <v>3657</v>
      </c>
      <c r="H78" s="14" t="s">
        <v>3658</v>
      </c>
      <c r="I78" s="14" t="s">
        <v>3406</v>
      </c>
      <c r="J78" s="14" t="s">
        <v>3659</v>
      </c>
    </row>
    <row r="79" spans="1:10" x14ac:dyDescent="0.35">
      <c r="A79" s="14" t="s">
        <v>211</v>
      </c>
      <c r="B79" s="14" t="s">
        <v>3660</v>
      </c>
      <c r="C79" s="14" t="s">
        <v>3434</v>
      </c>
      <c r="D79" s="14"/>
      <c r="E79" s="14" t="s">
        <v>3364</v>
      </c>
      <c r="F79" s="14" t="s">
        <v>3365</v>
      </c>
      <c r="G79" s="14" t="s">
        <v>3661</v>
      </c>
      <c r="H79" s="14" t="s">
        <v>3662</v>
      </c>
      <c r="I79" s="14" t="s">
        <v>3131</v>
      </c>
      <c r="J79" s="14" t="s">
        <v>3239</v>
      </c>
    </row>
    <row r="80" spans="1:10" x14ac:dyDescent="0.35">
      <c r="A80" s="14" t="s">
        <v>890</v>
      </c>
      <c r="B80" s="14" t="s">
        <v>3663</v>
      </c>
      <c r="C80" s="14" t="s">
        <v>3370</v>
      </c>
      <c r="D80" s="14">
        <v>26</v>
      </c>
      <c r="E80" s="14" t="s">
        <v>3409</v>
      </c>
      <c r="F80" s="14" t="s">
        <v>3379</v>
      </c>
      <c r="G80" s="14" t="s">
        <v>3664</v>
      </c>
      <c r="H80" s="14" t="s">
        <v>3665</v>
      </c>
      <c r="I80" s="14" t="s">
        <v>3156</v>
      </c>
      <c r="J80" s="14" t="s">
        <v>3666</v>
      </c>
    </row>
    <row r="81" spans="1:10" x14ac:dyDescent="0.35">
      <c r="A81" s="14" t="s">
        <v>967</v>
      </c>
      <c r="B81" s="14" t="s">
        <v>3667</v>
      </c>
      <c r="C81" s="14" t="s">
        <v>3408</v>
      </c>
      <c r="D81" s="14">
        <v>21</v>
      </c>
      <c r="E81" s="14" t="s">
        <v>3462</v>
      </c>
      <c r="F81" s="14" t="s">
        <v>3346</v>
      </c>
      <c r="G81" s="14" t="s">
        <v>3668</v>
      </c>
      <c r="H81" s="14" t="s">
        <v>3669</v>
      </c>
      <c r="I81" s="14" t="s">
        <v>3131</v>
      </c>
      <c r="J81" s="14" t="s">
        <v>3670</v>
      </c>
    </row>
    <row r="82" spans="1:10" x14ac:dyDescent="0.35">
      <c r="A82" s="14" t="s">
        <v>1006</v>
      </c>
      <c r="B82" s="14" t="s">
        <v>3671</v>
      </c>
      <c r="C82" s="14" t="s">
        <v>3434</v>
      </c>
      <c r="D82" s="14" t="s">
        <v>3396</v>
      </c>
      <c r="E82" s="14" t="s">
        <v>3409</v>
      </c>
      <c r="F82" s="14" t="s">
        <v>3379</v>
      </c>
      <c r="G82" s="14" t="s">
        <v>3672</v>
      </c>
      <c r="H82" s="14" t="s">
        <v>3673</v>
      </c>
      <c r="I82" s="14" t="s">
        <v>3406</v>
      </c>
      <c r="J82" s="14" t="s">
        <v>3674</v>
      </c>
    </row>
    <row r="83" spans="1:10" x14ac:dyDescent="0.35">
      <c r="A83" s="14" t="s">
        <v>333</v>
      </c>
      <c r="B83" s="14" t="s">
        <v>3675</v>
      </c>
      <c r="C83" s="14" t="s">
        <v>3363</v>
      </c>
      <c r="D83" s="14">
        <v>-5</v>
      </c>
      <c r="E83" s="14" t="s">
        <v>3416</v>
      </c>
      <c r="F83" s="14" t="s">
        <v>3417</v>
      </c>
      <c r="G83" s="14" t="s">
        <v>3676</v>
      </c>
      <c r="H83" s="14" t="s">
        <v>3677</v>
      </c>
      <c r="I83" s="14" t="s">
        <v>3173</v>
      </c>
      <c r="J83" s="14" t="s">
        <v>3678</v>
      </c>
    </row>
    <row r="84" spans="1:10" x14ac:dyDescent="0.35">
      <c r="A84" s="14" t="s">
        <v>562</v>
      </c>
      <c r="B84" s="14" t="s">
        <v>3679</v>
      </c>
      <c r="C84" s="14" t="s">
        <v>3426</v>
      </c>
      <c r="D84" s="14"/>
      <c r="E84" s="14" t="s">
        <v>3403</v>
      </c>
      <c r="F84" s="14" t="s">
        <v>3404</v>
      </c>
      <c r="G84" s="14" t="s">
        <v>3680</v>
      </c>
      <c r="H84" s="14"/>
      <c r="I84" s="14" t="s">
        <v>3131</v>
      </c>
      <c r="J84" s="14" t="s">
        <v>3681</v>
      </c>
    </row>
    <row r="85" spans="1:10" x14ac:dyDescent="0.35">
      <c r="A85" s="14" t="s">
        <v>1301</v>
      </c>
      <c r="B85" s="14" t="s">
        <v>3682</v>
      </c>
      <c r="C85" s="14" t="s">
        <v>3351</v>
      </c>
      <c r="D85" s="14">
        <v>33</v>
      </c>
      <c r="E85" s="14" t="s">
        <v>3409</v>
      </c>
      <c r="F85" s="14" t="s">
        <v>3379</v>
      </c>
      <c r="G85" s="14" t="s">
        <v>3683</v>
      </c>
      <c r="H85" s="14" t="s">
        <v>3684</v>
      </c>
      <c r="I85" s="14" t="s">
        <v>3173</v>
      </c>
      <c r="J85" s="14" t="s">
        <v>3685</v>
      </c>
    </row>
    <row r="86" spans="1:10" x14ac:dyDescent="0.35">
      <c r="A86" s="14" t="s">
        <v>143</v>
      </c>
      <c r="B86" s="14" t="s">
        <v>3686</v>
      </c>
      <c r="C86" s="14" t="s">
        <v>3426</v>
      </c>
      <c r="D86" s="14">
        <v>33</v>
      </c>
      <c r="E86" s="14" t="s">
        <v>3416</v>
      </c>
      <c r="F86" s="14" t="s">
        <v>3417</v>
      </c>
      <c r="G86" s="14" t="s">
        <v>3687</v>
      </c>
      <c r="H86" s="14"/>
      <c r="I86" s="14" t="s">
        <v>3173</v>
      </c>
      <c r="J86" s="14" t="s">
        <v>3688</v>
      </c>
    </row>
    <row r="87" spans="1:10" x14ac:dyDescent="0.35">
      <c r="A87" s="14" t="s">
        <v>134</v>
      </c>
      <c r="B87" s="14" t="s">
        <v>3689</v>
      </c>
      <c r="C87" s="14" t="s">
        <v>3344</v>
      </c>
      <c r="D87" s="14" t="s">
        <v>3396</v>
      </c>
      <c r="E87" s="14" t="s">
        <v>3403</v>
      </c>
      <c r="F87" s="14" t="s">
        <v>3404</v>
      </c>
      <c r="G87" s="14" t="s">
        <v>3690</v>
      </c>
      <c r="H87" s="14" t="s">
        <v>3691</v>
      </c>
      <c r="I87" s="14" t="s">
        <v>3406</v>
      </c>
      <c r="J87" s="14" t="s">
        <v>3692</v>
      </c>
    </row>
    <row r="88" spans="1:10" x14ac:dyDescent="0.35">
      <c r="A88" s="14" t="s">
        <v>468</v>
      </c>
      <c r="B88" s="14" t="s">
        <v>3693</v>
      </c>
      <c r="C88" s="14" t="s">
        <v>3384</v>
      </c>
      <c r="D88" s="14"/>
      <c r="E88" s="14" t="s">
        <v>3392</v>
      </c>
      <c r="F88" s="14" t="s">
        <v>3358</v>
      </c>
      <c r="G88" s="14" t="s">
        <v>3694</v>
      </c>
      <c r="H88" s="14" t="s">
        <v>3695</v>
      </c>
      <c r="I88" s="14" t="s">
        <v>3173</v>
      </c>
      <c r="J88" s="14" t="s">
        <v>3696</v>
      </c>
    </row>
    <row r="89" spans="1:10" x14ac:dyDescent="0.35">
      <c r="A89" s="14" t="s">
        <v>220</v>
      </c>
      <c r="B89" s="14" t="s">
        <v>3697</v>
      </c>
      <c r="C89" s="14" t="s">
        <v>3351</v>
      </c>
      <c r="D89" s="14"/>
      <c r="E89" s="14" t="s">
        <v>3357</v>
      </c>
      <c r="F89" s="14" t="s">
        <v>3358</v>
      </c>
      <c r="G89" s="14" t="s">
        <v>3698</v>
      </c>
      <c r="H89" s="14"/>
      <c r="I89" s="14" t="s">
        <v>3406</v>
      </c>
      <c r="J89" s="14" t="s">
        <v>3699</v>
      </c>
    </row>
    <row r="90" spans="1:10" x14ac:dyDescent="0.35">
      <c r="A90" s="14" t="s">
        <v>740</v>
      </c>
      <c r="B90" s="14" t="s">
        <v>3700</v>
      </c>
      <c r="C90" s="14" t="s">
        <v>3377</v>
      </c>
      <c r="D90" s="14"/>
      <c r="E90" s="14" t="s">
        <v>3392</v>
      </c>
      <c r="F90" s="14" t="s">
        <v>3358</v>
      </c>
      <c r="G90" s="14" t="s">
        <v>3701</v>
      </c>
      <c r="H90" s="14"/>
      <c r="I90" s="14" t="s">
        <v>3406</v>
      </c>
      <c r="J90" s="14" t="s">
        <v>3702</v>
      </c>
    </row>
    <row r="91" spans="1:10" x14ac:dyDescent="0.35">
      <c r="A91" s="14" t="s">
        <v>70</v>
      </c>
      <c r="B91" s="14" t="s">
        <v>3703</v>
      </c>
      <c r="C91" s="14" t="s">
        <v>3426</v>
      </c>
      <c r="D91" s="14"/>
      <c r="E91" s="14" t="s">
        <v>3403</v>
      </c>
      <c r="F91" s="14" t="s">
        <v>3404</v>
      </c>
      <c r="G91" s="14" t="s">
        <v>3704</v>
      </c>
      <c r="H91" s="14" t="s">
        <v>3705</v>
      </c>
      <c r="I91" s="14" t="s">
        <v>3406</v>
      </c>
      <c r="J91" s="14" t="s">
        <v>3706</v>
      </c>
    </row>
    <row r="92" spans="1:10" x14ac:dyDescent="0.35">
      <c r="A92" s="14" t="s">
        <v>462</v>
      </c>
      <c r="B92" s="14" t="s">
        <v>3707</v>
      </c>
      <c r="C92" s="14" t="s">
        <v>3377</v>
      </c>
      <c r="D92" s="14"/>
      <c r="E92" s="14" t="s">
        <v>3595</v>
      </c>
      <c r="F92" s="14" t="s">
        <v>3379</v>
      </c>
      <c r="G92" s="14" t="s">
        <v>3708</v>
      </c>
      <c r="H92" s="14"/>
      <c r="I92" s="14" t="s">
        <v>3131</v>
      </c>
      <c r="J92" s="14" t="s">
        <v>3709</v>
      </c>
    </row>
    <row r="93" spans="1:10" x14ac:dyDescent="0.35">
      <c r="A93" s="14" t="s">
        <v>414</v>
      </c>
      <c r="B93" s="14" t="s">
        <v>3710</v>
      </c>
      <c r="C93" s="14" t="s">
        <v>3408</v>
      </c>
      <c r="D93" s="14"/>
      <c r="E93" s="14" t="s">
        <v>3409</v>
      </c>
      <c r="F93" s="14" t="s">
        <v>3379</v>
      </c>
      <c r="G93" s="14" t="s">
        <v>3711</v>
      </c>
      <c r="H93" s="14" t="s">
        <v>3712</v>
      </c>
      <c r="I93" s="14" t="s">
        <v>3406</v>
      </c>
      <c r="J93" s="14" t="s">
        <v>3713</v>
      </c>
    </row>
    <row r="94" spans="1:10" x14ac:dyDescent="0.35">
      <c r="A94" s="14" t="s">
        <v>1861</v>
      </c>
      <c r="B94" s="14" t="s">
        <v>3714</v>
      </c>
      <c r="C94" s="14" t="s">
        <v>3344</v>
      </c>
      <c r="D94" s="14">
        <v>-5</v>
      </c>
      <c r="E94" s="14" t="s">
        <v>3493</v>
      </c>
      <c r="F94" s="14" t="s">
        <v>3398</v>
      </c>
      <c r="G94" s="14" t="s">
        <v>3715</v>
      </c>
      <c r="H94" s="14" t="s">
        <v>3716</v>
      </c>
      <c r="I94" s="14" t="s">
        <v>3406</v>
      </c>
      <c r="J94" s="14" t="s">
        <v>3717</v>
      </c>
    </row>
    <row r="95" spans="1:10" x14ac:dyDescent="0.35">
      <c r="A95" s="14" t="s">
        <v>111</v>
      </c>
      <c r="B95" s="14" t="s">
        <v>3718</v>
      </c>
      <c r="C95" s="14" t="s">
        <v>3384</v>
      </c>
      <c r="D95" s="14">
        <v>44</v>
      </c>
      <c r="E95" s="14" t="s">
        <v>3416</v>
      </c>
      <c r="F95" s="14" t="s">
        <v>3417</v>
      </c>
      <c r="G95" s="14" t="s">
        <v>3719</v>
      </c>
      <c r="H95" s="14" t="s">
        <v>3720</v>
      </c>
      <c r="I95" s="14" t="s">
        <v>3406</v>
      </c>
      <c r="J95" s="14" t="s">
        <v>3721</v>
      </c>
    </row>
    <row r="96" spans="1:10" x14ac:dyDescent="0.35">
      <c r="A96" s="14" t="s">
        <v>400</v>
      </c>
      <c r="B96" s="14" t="s">
        <v>3722</v>
      </c>
      <c r="C96" s="14" t="s">
        <v>3356</v>
      </c>
      <c r="D96" s="14"/>
      <c r="E96" s="14" t="s">
        <v>3357</v>
      </c>
      <c r="F96" s="14" t="s">
        <v>3358</v>
      </c>
      <c r="G96" s="14" t="s">
        <v>3723</v>
      </c>
      <c r="H96" s="14" t="s">
        <v>3724</v>
      </c>
      <c r="I96" s="14" t="s">
        <v>3131</v>
      </c>
      <c r="J96" s="14" t="s">
        <v>3725</v>
      </c>
    </row>
    <row r="97" spans="1:10" x14ac:dyDescent="0.35">
      <c r="A97" s="14" t="s">
        <v>341</v>
      </c>
      <c r="B97" s="14" t="s">
        <v>3726</v>
      </c>
      <c r="C97" s="14" t="s">
        <v>3384</v>
      </c>
      <c r="D97" s="14" t="s">
        <v>3396</v>
      </c>
      <c r="E97" s="14" t="s">
        <v>3403</v>
      </c>
      <c r="F97" s="14" t="s">
        <v>3404</v>
      </c>
      <c r="G97" s="14" t="s">
        <v>3727</v>
      </c>
      <c r="H97" s="14" t="s">
        <v>3728</v>
      </c>
      <c r="I97" s="14" t="s">
        <v>3406</v>
      </c>
      <c r="J97" s="14" t="s">
        <v>3729</v>
      </c>
    </row>
    <row r="98" spans="1:10" x14ac:dyDescent="0.35">
      <c r="A98" s="14" t="s">
        <v>831</v>
      </c>
      <c r="B98" s="14" t="s">
        <v>3730</v>
      </c>
      <c r="C98" s="14" t="s">
        <v>3356</v>
      </c>
      <c r="D98" s="14"/>
      <c r="E98" s="14" t="s">
        <v>3416</v>
      </c>
      <c r="F98" s="14" t="s">
        <v>3417</v>
      </c>
      <c r="G98" s="14" t="s">
        <v>3731</v>
      </c>
      <c r="H98" s="14"/>
      <c r="I98" s="14" t="s">
        <v>3406</v>
      </c>
      <c r="J98" s="14" t="s">
        <v>3732</v>
      </c>
    </row>
    <row r="99" spans="1:10" x14ac:dyDescent="0.35">
      <c r="A99" s="14" t="s">
        <v>444</v>
      </c>
      <c r="B99" s="14" t="s">
        <v>3733</v>
      </c>
      <c r="C99" s="14" t="s">
        <v>3363</v>
      </c>
      <c r="D99" s="14"/>
      <c r="E99" s="14" t="s">
        <v>3462</v>
      </c>
      <c r="F99" s="14" t="s">
        <v>3346</v>
      </c>
      <c r="G99" s="14" t="s">
        <v>3734</v>
      </c>
      <c r="H99" s="14" t="s">
        <v>3735</v>
      </c>
      <c r="I99" s="14" t="s">
        <v>3156</v>
      </c>
      <c r="J99" s="14" t="s">
        <v>3736</v>
      </c>
    </row>
    <row r="100" spans="1:10" x14ac:dyDescent="0.35">
      <c r="A100" s="14" t="s">
        <v>162</v>
      </c>
      <c r="B100" s="14" t="s">
        <v>3737</v>
      </c>
      <c r="C100" s="14" t="s">
        <v>3384</v>
      </c>
      <c r="D100" s="14">
        <v>-5</v>
      </c>
      <c r="E100" s="14" t="s">
        <v>3440</v>
      </c>
      <c r="F100" s="14" t="s">
        <v>3346</v>
      </c>
      <c r="G100" s="14" t="s">
        <v>3738</v>
      </c>
      <c r="H100" s="14" t="s">
        <v>3739</v>
      </c>
      <c r="I100" s="14" t="s">
        <v>3406</v>
      </c>
      <c r="J100" s="14" t="s">
        <v>3740</v>
      </c>
    </row>
    <row r="101" spans="1:10" x14ac:dyDescent="0.35">
      <c r="A101" s="14" t="s">
        <v>753</v>
      </c>
      <c r="B101" s="14" t="s">
        <v>3741</v>
      </c>
      <c r="C101" s="14" t="s">
        <v>3384</v>
      </c>
      <c r="D101" s="14"/>
      <c r="E101" s="14" t="s">
        <v>3371</v>
      </c>
      <c r="F101" s="14" t="s">
        <v>3372</v>
      </c>
      <c r="G101" s="14"/>
      <c r="H101" s="14"/>
      <c r="I101" s="14" t="s">
        <v>3131</v>
      </c>
      <c r="J101" s="14" t="s">
        <v>561</v>
      </c>
    </row>
    <row r="102" spans="1:10" x14ac:dyDescent="0.35">
      <c r="A102" s="14" t="s">
        <v>267</v>
      </c>
      <c r="B102" s="14" t="s">
        <v>3742</v>
      </c>
      <c r="C102" s="14" t="s">
        <v>3370</v>
      </c>
      <c r="D102" s="14" t="s">
        <v>3396</v>
      </c>
      <c r="E102" s="14" t="s">
        <v>3574</v>
      </c>
      <c r="F102" s="14" t="s">
        <v>3346</v>
      </c>
      <c r="G102" s="14" t="s">
        <v>3743</v>
      </c>
      <c r="H102" s="14" t="s">
        <v>3744</v>
      </c>
      <c r="I102" s="14" t="s">
        <v>3406</v>
      </c>
      <c r="J102" s="14" t="s">
        <v>3745</v>
      </c>
    </row>
    <row r="103" spans="1:10" x14ac:dyDescent="0.35">
      <c r="A103" s="14" t="s">
        <v>54</v>
      </c>
      <c r="B103" s="14" t="s">
        <v>3746</v>
      </c>
      <c r="C103" s="14" t="s">
        <v>3370</v>
      </c>
      <c r="D103" s="14">
        <v>-5</v>
      </c>
      <c r="E103" s="14" t="s">
        <v>3403</v>
      </c>
      <c r="F103" s="14" t="s">
        <v>3404</v>
      </c>
      <c r="G103" s="14" t="s">
        <v>3747</v>
      </c>
      <c r="H103" s="14" t="s">
        <v>3748</v>
      </c>
      <c r="I103" s="14" t="s">
        <v>3173</v>
      </c>
      <c r="J103" s="14" t="s">
        <v>3749</v>
      </c>
    </row>
    <row r="104" spans="1:10" x14ac:dyDescent="0.35">
      <c r="A104" s="14" t="s">
        <v>93</v>
      </c>
      <c r="B104" s="14" t="s">
        <v>3750</v>
      </c>
      <c r="C104" s="14" t="s">
        <v>3408</v>
      </c>
      <c r="D104" s="14">
        <v>-5</v>
      </c>
      <c r="E104" s="14" t="s">
        <v>3364</v>
      </c>
      <c r="F104" s="14" t="s">
        <v>3365</v>
      </c>
      <c r="G104" s="14" t="s">
        <v>3751</v>
      </c>
      <c r="H104" s="14"/>
      <c r="I104" s="14" t="s">
        <v>3173</v>
      </c>
      <c r="J104" s="14" t="s">
        <v>3752</v>
      </c>
    </row>
    <row r="105" spans="1:10" x14ac:dyDescent="0.35">
      <c r="A105" s="14" t="s">
        <v>225</v>
      </c>
      <c r="B105" s="14" t="s">
        <v>3753</v>
      </c>
      <c r="C105" s="14" t="s">
        <v>3384</v>
      </c>
      <c r="D105" s="14"/>
      <c r="E105" s="14" t="s">
        <v>3371</v>
      </c>
      <c r="F105" s="14" t="s">
        <v>3372</v>
      </c>
      <c r="G105" s="14"/>
      <c r="H105" s="14"/>
      <c r="I105" s="14" t="s">
        <v>3173</v>
      </c>
      <c r="J105" s="14" t="s">
        <v>3313</v>
      </c>
    </row>
    <row r="106" spans="1:10" x14ac:dyDescent="0.35">
      <c r="A106" s="14" t="s">
        <v>758</v>
      </c>
      <c r="B106" s="14" t="s">
        <v>3754</v>
      </c>
      <c r="C106" s="14" t="s">
        <v>3363</v>
      </c>
      <c r="D106" s="14" t="s">
        <v>3396</v>
      </c>
      <c r="E106" s="14" t="s">
        <v>3518</v>
      </c>
      <c r="F106" s="14" t="s">
        <v>3346</v>
      </c>
      <c r="G106" s="14" t="s">
        <v>3755</v>
      </c>
      <c r="H106" s="14"/>
      <c r="I106" s="14" t="s">
        <v>3173</v>
      </c>
      <c r="J106" s="14" t="s">
        <v>3756</v>
      </c>
    </row>
    <row r="107" spans="1:10" x14ac:dyDescent="0.35">
      <c r="A107" s="14" t="s">
        <v>411</v>
      </c>
      <c r="B107" s="14" t="s">
        <v>3757</v>
      </c>
      <c r="C107" s="14" t="s">
        <v>3408</v>
      </c>
      <c r="D107" s="14"/>
      <c r="E107" s="14" t="s">
        <v>3397</v>
      </c>
      <c r="F107" s="14" t="s">
        <v>3398</v>
      </c>
      <c r="G107" s="14" t="s">
        <v>3758</v>
      </c>
      <c r="H107" s="14" t="s">
        <v>3759</v>
      </c>
      <c r="I107" s="14" t="s">
        <v>3156</v>
      </c>
      <c r="J107" s="14" t="s">
        <v>3760</v>
      </c>
    </row>
    <row r="108" spans="1:10" x14ac:dyDescent="0.35">
      <c r="A108" s="14" t="s">
        <v>495</v>
      </c>
      <c r="B108" s="14" t="s">
        <v>3761</v>
      </c>
      <c r="C108" s="14" t="s">
        <v>3370</v>
      </c>
      <c r="D108" s="14"/>
      <c r="E108" s="14" t="s">
        <v>3642</v>
      </c>
      <c r="F108" s="14" t="s">
        <v>3379</v>
      </c>
      <c r="G108" s="14"/>
      <c r="H108" s="14"/>
      <c r="I108" s="14" t="s">
        <v>3131</v>
      </c>
      <c r="J108" s="14" t="s">
        <v>3762</v>
      </c>
    </row>
    <row r="109" spans="1:10" x14ac:dyDescent="0.35">
      <c r="A109" s="14"/>
      <c r="B109" s="14" t="s">
        <v>3763</v>
      </c>
      <c r="C109" s="14" t="s">
        <v>3408</v>
      </c>
      <c r="D109" s="14" t="s">
        <v>3396</v>
      </c>
      <c r="E109" s="14" t="s">
        <v>3595</v>
      </c>
      <c r="F109" s="14" t="s">
        <v>3379</v>
      </c>
      <c r="G109" s="14" t="s">
        <v>3764</v>
      </c>
      <c r="H109" s="14" t="s">
        <v>3765</v>
      </c>
      <c r="I109" s="14" t="s">
        <v>3173</v>
      </c>
      <c r="J109" s="14" t="s">
        <v>3766</v>
      </c>
    </row>
    <row r="110" spans="1:10" x14ac:dyDescent="0.35">
      <c r="A110" s="14" t="s">
        <v>504</v>
      </c>
      <c r="B110" s="14" t="s">
        <v>3767</v>
      </c>
      <c r="C110" s="14" t="s">
        <v>3384</v>
      </c>
      <c r="D110" s="14" t="s">
        <v>3396</v>
      </c>
      <c r="E110" s="14" t="s">
        <v>3352</v>
      </c>
      <c r="F110" s="14" t="s">
        <v>3352</v>
      </c>
      <c r="G110" s="14" t="s">
        <v>3768</v>
      </c>
      <c r="H110" s="14" t="s">
        <v>3769</v>
      </c>
      <c r="I110" s="14" t="s">
        <v>3131</v>
      </c>
      <c r="J110" s="14" t="s">
        <v>3770</v>
      </c>
    </row>
    <row r="111" spans="1:10" x14ac:dyDescent="0.35">
      <c r="A111" s="14" t="s">
        <v>1486</v>
      </c>
      <c r="B111" s="14" t="s">
        <v>3771</v>
      </c>
      <c r="C111" s="14" t="s">
        <v>3363</v>
      </c>
      <c r="D111" s="14" t="s">
        <v>3396</v>
      </c>
      <c r="E111" s="14" t="s">
        <v>3409</v>
      </c>
      <c r="F111" s="14" t="s">
        <v>3379</v>
      </c>
      <c r="G111" s="14" t="s">
        <v>3772</v>
      </c>
      <c r="H111" s="14" t="s">
        <v>3773</v>
      </c>
      <c r="I111" s="14" t="s">
        <v>3406</v>
      </c>
      <c r="J111" s="14" t="s">
        <v>3774</v>
      </c>
    </row>
    <row r="112" spans="1:10" x14ac:dyDescent="0.35">
      <c r="A112" s="14" t="s">
        <v>183</v>
      </c>
      <c r="B112" s="14" t="s">
        <v>3775</v>
      </c>
      <c r="C112" s="14" t="s">
        <v>3370</v>
      </c>
      <c r="D112" s="14">
        <v>58</v>
      </c>
      <c r="E112" s="14" t="s">
        <v>3409</v>
      </c>
      <c r="F112" s="14" t="s">
        <v>3379</v>
      </c>
      <c r="G112" s="14" t="s">
        <v>3776</v>
      </c>
      <c r="H112" s="14" t="s">
        <v>3777</v>
      </c>
      <c r="I112" s="14" t="s">
        <v>3173</v>
      </c>
      <c r="J112" s="14" t="s">
        <v>3778</v>
      </c>
    </row>
    <row r="113" spans="1:10" x14ac:dyDescent="0.35">
      <c r="A113" s="14" t="s">
        <v>1829</v>
      </c>
      <c r="B113" s="14" t="s">
        <v>3779</v>
      </c>
      <c r="C113" s="14" t="s">
        <v>3426</v>
      </c>
      <c r="D113" s="14">
        <v>-5</v>
      </c>
      <c r="E113" s="14" t="s">
        <v>3357</v>
      </c>
      <c r="F113" s="14" t="s">
        <v>3358</v>
      </c>
      <c r="G113" s="14" t="s">
        <v>3780</v>
      </c>
      <c r="H113" s="14" t="s">
        <v>3781</v>
      </c>
      <c r="I113" s="14" t="s">
        <v>3131</v>
      </c>
      <c r="J113" s="14" t="s">
        <v>3782</v>
      </c>
    </row>
    <row r="114" spans="1:10" x14ac:dyDescent="0.35">
      <c r="A114" s="14" t="s">
        <v>637</v>
      </c>
      <c r="B114" s="14" t="s">
        <v>3783</v>
      </c>
      <c r="C114" s="14" t="s">
        <v>3344</v>
      </c>
      <c r="D114" s="14"/>
      <c r="E114" s="14" t="s">
        <v>3357</v>
      </c>
      <c r="F114" s="14" t="s">
        <v>3358</v>
      </c>
      <c r="G114" s="14" t="s">
        <v>3784</v>
      </c>
      <c r="H114" s="14"/>
      <c r="I114" s="14" t="s">
        <v>3131</v>
      </c>
      <c r="J114" s="14" t="s">
        <v>3785</v>
      </c>
    </row>
    <row r="115" spans="1:10" x14ac:dyDescent="0.35">
      <c r="A115" s="14" t="s">
        <v>898</v>
      </c>
      <c r="B115" s="14" t="s">
        <v>3786</v>
      </c>
      <c r="C115" s="14" t="s">
        <v>3384</v>
      </c>
      <c r="D115" s="14" t="s">
        <v>3396</v>
      </c>
      <c r="E115" s="14" t="s">
        <v>3357</v>
      </c>
      <c r="F115" s="14" t="s">
        <v>3358</v>
      </c>
      <c r="G115" s="14" t="s">
        <v>3787</v>
      </c>
      <c r="H115" s="14" t="s">
        <v>3788</v>
      </c>
      <c r="I115" s="14" t="s">
        <v>3156</v>
      </c>
      <c r="J115" s="14" t="s">
        <v>3789</v>
      </c>
    </row>
    <row r="116" spans="1:10" x14ac:dyDescent="0.35">
      <c r="A116" s="14" t="s">
        <v>573</v>
      </c>
      <c r="B116" s="14" t="s">
        <v>3790</v>
      </c>
      <c r="C116" s="14" t="s">
        <v>3377</v>
      </c>
      <c r="D116" s="14" t="s">
        <v>3396</v>
      </c>
      <c r="E116" s="14" t="s">
        <v>3403</v>
      </c>
      <c r="F116" s="14" t="s">
        <v>3404</v>
      </c>
      <c r="G116" s="14" t="s">
        <v>3791</v>
      </c>
      <c r="H116" s="14"/>
      <c r="I116" s="14" t="s">
        <v>3173</v>
      </c>
      <c r="J116" s="14" t="s">
        <v>3792</v>
      </c>
    </row>
    <row r="117" spans="1:10" x14ac:dyDescent="0.35">
      <c r="A117" s="14" t="s">
        <v>1244</v>
      </c>
      <c r="B117" s="14" t="s">
        <v>3793</v>
      </c>
      <c r="C117" s="14" t="s">
        <v>3351</v>
      </c>
      <c r="D117" s="14">
        <v>-5</v>
      </c>
      <c r="E117" s="14" t="s">
        <v>3462</v>
      </c>
      <c r="F117" s="14" t="s">
        <v>3346</v>
      </c>
      <c r="G117" s="14" t="s">
        <v>3794</v>
      </c>
      <c r="H117" s="14"/>
      <c r="I117" s="14" t="s">
        <v>3131</v>
      </c>
      <c r="J117" s="14" t="s">
        <v>3795</v>
      </c>
    </row>
    <row r="118" spans="1:10" x14ac:dyDescent="0.35">
      <c r="A118" s="14" t="s">
        <v>230</v>
      </c>
      <c r="B118" s="14" t="s">
        <v>3796</v>
      </c>
      <c r="C118" s="14" t="s">
        <v>3384</v>
      </c>
      <c r="D118" s="14"/>
      <c r="E118" s="14" t="s">
        <v>3403</v>
      </c>
      <c r="F118" s="14" t="s">
        <v>3404</v>
      </c>
      <c r="G118" s="14" t="s">
        <v>3797</v>
      </c>
      <c r="H118" s="14" t="s">
        <v>3798</v>
      </c>
      <c r="I118" s="14" t="s">
        <v>3131</v>
      </c>
      <c r="J118" s="14" t="s">
        <v>3799</v>
      </c>
    </row>
    <row r="119" spans="1:10" x14ac:dyDescent="0.35">
      <c r="A119" s="14" t="s">
        <v>187</v>
      </c>
      <c r="B119" s="14" t="s">
        <v>3800</v>
      </c>
      <c r="C119" s="14" t="s">
        <v>3370</v>
      </c>
      <c r="D119" s="14"/>
      <c r="E119" s="14" t="s">
        <v>3416</v>
      </c>
      <c r="F119" s="14" t="s">
        <v>3417</v>
      </c>
      <c r="G119" s="14" t="s">
        <v>3801</v>
      </c>
      <c r="H119" s="14"/>
      <c r="I119" s="14" t="s">
        <v>3131</v>
      </c>
      <c r="J119" s="14" t="s">
        <v>3802</v>
      </c>
    </row>
    <row r="120" spans="1:10" x14ac:dyDescent="0.35">
      <c r="A120" s="14" t="s">
        <v>791</v>
      </c>
      <c r="B120" s="14" t="s">
        <v>3803</v>
      </c>
      <c r="C120" s="14" t="s">
        <v>3363</v>
      </c>
      <c r="D120" s="14">
        <v>42</v>
      </c>
      <c r="E120" s="14" t="s">
        <v>3364</v>
      </c>
      <c r="F120" s="14" t="s">
        <v>3365</v>
      </c>
      <c r="G120" s="14" t="s">
        <v>3804</v>
      </c>
      <c r="H120" s="14"/>
      <c r="I120" s="14" t="s">
        <v>3406</v>
      </c>
      <c r="J120" s="14" t="s">
        <v>2876</v>
      </c>
    </row>
    <row r="121" spans="1:10" x14ac:dyDescent="0.35">
      <c r="A121" s="14" t="s">
        <v>376</v>
      </c>
      <c r="B121" s="14" t="s">
        <v>3805</v>
      </c>
      <c r="C121" s="14" t="s">
        <v>3377</v>
      </c>
      <c r="D121" s="14" t="s">
        <v>3396</v>
      </c>
      <c r="E121" s="14" t="s">
        <v>3364</v>
      </c>
      <c r="F121" s="14" t="s">
        <v>3365</v>
      </c>
      <c r="G121" s="14" t="s">
        <v>3806</v>
      </c>
      <c r="H121" s="14" t="s">
        <v>3807</v>
      </c>
      <c r="I121" s="14" t="s">
        <v>3131</v>
      </c>
      <c r="J121" s="14" t="s">
        <v>3808</v>
      </c>
    </row>
    <row r="122" spans="1:10" x14ac:dyDescent="0.35">
      <c r="A122" s="14" t="s">
        <v>1336</v>
      </c>
      <c r="B122" s="14" t="s">
        <v>3809</v>
      </c>
      <c r="C122" s="14" t="s">
        <v>3408</v>
      </c>
      <c r="D122" s="14">
        <v>-5</v>
      </c>
      <c r="E122" s="14" t="s">
        <v>3416</v>
      </c>
      <c r="F122" s="14" t="s">
        <v>3417</v>
      </c>
      <c r="G122" s="14" t="s">
        <v>3810</v>
      </c>
      <c r="H122" s="14" t="s">
        <v>3811</v>
      </c>
      <c r="I122" s="14" t="s">
        <v>3131</v>
      </c>
      <c r="J122" s="14" t="s">
        <v>3812</v>
      </c>
    </row>
    <row r="123" spans="1:10" x14ac:dyDescent="0.35">
      <c r="A123" s="14" t="s">
        <v>1321</v>
      </c>
      <c r="B123" s="14" t="s">
        <v>3813</v>
      </c>
      <c r="C123" s="14" t="s">
        <v>3363</v>
      </c>
      <c r="D123" s="14">
        <v>-5</v>
      </c>
      <c r="E123" s="14" t="s">
        <v>3642</v>
      </c>
      <c r="F123" s="14" t="s">
        <v>3379</v>
      </c>
      <c r="G123" s="14" t="s">
        <v>3814</v>
      </c>
      <c r="H123" s="14" t="s">
        <v>3815</v>
      </c>
      <c r="I123" s="14" t="s">
        <v>3173</v>
      </c>
      <c r="J123" s="14" t="s">
        <v>3816</v>
      </c>
    </row>
    <row r="124" spans="1:10" x14ac:dyDescent="0.35">
      <c r="A124" s="14" t="s">
        <v>498</v>
      </c>
      <c r="B124" s="14" t="s">
        <v>3817</v>
      </c>
      <c r="C124" s="14" t="s">
        <v>3356</v>
      </c>
      <c r="D124" s="14">
        <v>-5</v>
      </c>
      <c r="E124" s="14" t="s">
        <v>3371</v>
      </c>
      <c r="F124" s="14" t="s">
        <v>3372</v>
      </c>
      <c r="G124" s="14" t="s">
        <v>3818</v>
      </c>
      <c r="H124" s="14" t="s">
        <v>3819</v>
      </c>
      <c r="I124" s="14" t="s">
        <v>3131</v>
      </c>
      <c r="J124" s="14" t="s">
        <v>3820</v>
      </c>
    </row>
    <row r="125" spans="1:10" x14ac:dyDescent="0.35">
      <c r="A125" s="14" t="s">
        <v>277</v>
      </c>
      <c r="B125" s="14" t="s">
        <v>3821</v>
      </c>
      <c r="C125" s="14" t="s">
        <v>3408</v>
      </c>
      <c r="D125" s="14"/>
      <c r="E125" s="14" t="s">
        <v>3371</v>
      </c>
      <c r="F125" s="14" t="s">
        <v>3372</v>
      </c>
      <c r="G125" s="14" t="s">
        <v>3822</v>
      </c>
      <c r="H125" s="14" t="s">
        <v>3823</v>
      </c>
      <c r="I125" s="14" t="s">
        <v>3173</v>
      </c>
      <c r="J125" s="14" t="s">
        <v>358</v>
      </c>
    </row>
    <row r="126" spans="1:10" x14ac:dyDescent="0.35">
      <c r="A126" s="14" t="s">
        <v>1240</v>
      </c>
      <c r="B126" s="14" t="s">
        <v>3824</v>
      </c>
      <c r="C126" s="14" t="s">
        <v>3384</v>
      </c>
      <c r="D126" s="14" t="s">
        <v>3396</v>
      </c>
      <c r="E126" s="14" t="s">
        <v>3392</v>
      </c>
      <c r="F126" s="14" t="s">
        <v>3358</v>
      </c>
      <c r="G126" s="14" t="s">
        <v>3825</v>
      </c>
      <c r="H126" s="14" t="s">
        <v>3826</v>
      </c>
      <c r="I126" s="14" t="s">
        <v>3156</v>
      </c>
      <c r="J126" s="14" t="s">
        <v>3827</v>
      </c>
    </row>
    <row r="127" spans="1:10" x14ac:dyDescent="0.35">
      <c r="A127" s="14" t="s">
        <v>389</v>
      </c>
      <c r="B127" s="14" t="s">
        <v>3828</v>
      </c>
      <c r="C127" s="14" t="s">
        <v>3351</v>
      </c>
      <c r="D127" s="14">
        <v>-5</v>
      </c>
      <c r="E127" s="14" t="s">
        <v>3392</v>
      </c>
      <c r="F127" s="14" t="s">
        <v>3358</v>
      </c>
      <c r="G127" s="14" t="s">
        <v>3829</v>
      </c>
      <c r="H127" s="14" t="s">
        <v>3830</v>
      </c>
      <c r="I127" s="14" t="s">
        <v>3173</v>
      </c>
      <c r="J127" s="14" t="s">
        <v>3831</v>
      </c>
    </row>
    <row r="128" spans="1:10" x14ac:dyDescent="0.35">
      <c r="A128" s="14" t="s">
        <v>915</v>
      </c>
      <c r="B128" s="14" t="s">
        <v>3832</v>
      </c>
      <c r="C128" s="14" t="s">
        <v>3370</v>
      </c>
      <c r="D128" s="14">
        <v>-5</v>
      </c>
      <c r="E128" s="14" t="s">
        <v>3440</v>
      </c>
      <c r="F128" s="14" t="s">
        <v>3346</v>
      </c>
      <c r="G128" s="14" t="s">
        <v>3833</v>
      </c>
      <c r="H128" s="14" t="s">
        <v>3834</v>
      </c>
      <c r="I128" s="14" t="s">
        <v>3173</v>
      </c>
      <c r="J128" s="14" t="s">
        <v>3835</v>
      </c>
    </row>
    <row r="129" spans="1:10" x14ac:dyDescent="0.35">
      <c r="A129" s="14" t="s">
        <v>407</v>
      </c>
      <c r="B129" s="14" t="s">
        <v>3836</v>
      </c>
      <c r="C129" s="14" t="s">
        <v>3351</v>
      </c>
      <c r="D129" s="14"/>
      <c r="E129" s="14" t="s">
        <v>3595</v>
      </c>
      <c r="F129" s="14" t="s">
        <v>3379</v>
      </c>
      <c r="G129" s="14" t="s">
        <v>3837</v>
      </c>
      <c r="H129" s="14"/>
      <c r="I129" s="14" t="s">
        <v>3173</v>
      </c>
      <c r="J129" s="14" t="s">
        <v>3838</v>
      </c>
    </row>
    <row r="130" spans="1:10" x14ac:dyDescent="0.35">
      <c r="A130" s="14" t="s">
        <v>450</v>
      </c>
      <c r="B130" s="14" t="s">
        <v>3839</v>
      </c>
      <c r="C130" s="14" t="s">
        <v>3363</v>
      </c>
      <c r="D130" s="14">
        <v>23</v>
      </c>
      <c r="E130" s="14" t="s">
        <v>3642</v>
      </c>
      <c r="F130" s="14" t="s">
        <v>3379</v>
      </c>
      <c r="G130" s="14" t="s">
        <v>3840</v>
      </c>
      <c r="H130" s="14" t="s">
        <v>3841</v>
      </c>
      <c r="I130" s="14" t="s">
        <v>3173</v>
      </c>
      <c r="J130" s="14" t="s">
        <v>3842</v>
      </c>
    </row>
    <row r="131" spans="1:10" x14ac:dyDescent="0.35">
      <c r="A131" s="14" t="s">
        <v>99</v>
      </c>
      <c r="B131" s="14" t="s">
        <v>3843</v>
      </c>
      <c r="C131" s="14" t="s">
        <v>3408</v>
      </c>
      <c r="D131" s="14">
        <v>-5</v>
      </c>
      <c r="E131" s="14" t="s">
        <v>3518</v>
      </c>
      <c r="F131" s="14" t="s">
        <v>3346</v>
      </c>
      <c r="G131" s="14" t="s">
        <v>3844</v>
      </c>
      <c r="H131" s="14" t="s">
        <v>3845</v>
      </c>
      <c r="I131" s="14" t="s">
        <v>3131</v>
      </c>
      <c r="J131" s="14" t="s">
        <v>3846</v>
      </c>
    </row>
    <row r="132" spans="1:10" x14ac:dyDescent="0.35">
      <c r="A132" s="14" t="s">
        <v>352</v>
      </c>
      <c r="B132" s="14" t="s">
        <v>3847</v>
      </c>
      <c r="C132" s="14" t="s">
        <v>3370</v>
      </c>
      <c r="D132" s="14"/>
      <c r="E132" s="14" t="s">
        <v>3371</v>
      </c>
      <c r="F132" s="14" t="s">
        <v>3372</v>
      </c>
      <c r="G132" s="14" t="s">
        <v>3848</v>
      </c>
      <c r="H132" s="14"/>
      <c r="I132" s="14" t="s">
        <v>3131</v>
      </c>
      <c r="J132" s="14" t="s">
        <v>3849</v>
      </c>
    </row>
    <row r="133" spans="1:10" x14ac:dyDescent="0.35">
      <c r="A133" s="14" t="s">
        <v>119</v>
      </c>
      <c r="B133" s="14" t="s">
        <v>3850</v>
      </c>
      <c r="C133" s="14" t="s">
        <v>3356</v>
      </c>
      <c r="D133" s="14">
        <v>43</v>
      </c>
      <c r="E133" s="14" t="s">
        <v>3462</v>
      </c>
      <c r="F133" s="14" t="s">
        <v>3346</v>
      </c>
      <c r="G133" s="14" t="s">
        <v>3851</v>
      </c>
      <c r="H133" s="14" t="s">
        <v>3852</v>
      </c>
      <c r="I133" s="14" t="s">
        <v>3156</v>
      </c>
      <c r="J133" s="14" t="s">
        <v>3853</v>
      </c>
    </row>
    <row r="134" spans="1:10" x14ac:dyDescent="0.35">
      <c r="A134" s="14" t="s">
        <v>799</v>
      </c>
      <c r="B134" s="14" t="s">
        <v>3854</v>
      </c>
      <c r="C134" s="14" t="s">
        <v>3408</v>
      </c>
      <c r="D134" s="14">
        <v>69</v>
      </c>
      <c r="E134" s="14" t="s">
        <v>3855</v>
      </c>
      <c r="F134" s="14" t="s">
        <v>3379</v>
      </c>
      <c r="G134" s="14" t="s">
        <v>3856</v>
      </c>
      <c r="H134" s="14" t="s">
        <v>3857</v>
      </c>
      <c r="I134" s="14" t="s">
        <v>3406</v>
      </c>
      <c r="J134" s="14" t="s">
        <v>3858</v>
      </c>
    </row>
    <row r="135" spans="1:10" x14ac:dyDescent="0.35">
      <c r="A135" s="14" t="s">
        <v>703</v>
      </c>
      <c r="B135" s="14" t="s">
        <v>3859</v>
      </c>
      <c r="C135" s="14" t="s">
        <v>3356</v>
      </c>
      <c r="D135" s="14">
        <v>-5</v>
      </c>
      <c r="E135" s="14" t="s">
        <v>3352</v>
      </c>
      <c r="F135" s="14" t="s">
        <v>3352</v>
      </c>
      <c r="G135" s="14" t="s">
        <v>3860</v>
      </c>
      <c r="H135" s="14" t="s">
        <v>3861</v>
      </c>
      <c r="I135" s="14" t="s">
        <v>3406</v>
      </c>
      <c r="J135" s="14" t="s">
        <v>1355</v>
      </c>
    </row>
    <row r="136" spans="1:10" x14ac:dyDescent="0.35">
      <c r="A136" s="14" t="s">
        <v>894</v>
      </c>
      <c r="B136" s="14" t="s">
        <v>3862</v>
      </c>
      <c r="C136" s="14" t="s">
        <v>3344</v>
      </c>
      <c r="D136" s="14" t="s">
        <v>3396</v>
      </c>
      <c r="E136" s="14" t="s">
        <v>3397</v>
      </c>
      <c r="F136" s="14" t="s">
        <v>3398</v>
      </c>
      <c r="G136" s="14" t="s">
        <v>3863</v>
      </c>
      <c r="H136" s="14" t="s">
        <v>3864</v>
      </c>
      <c r="I136" s="14" t="s">
        <v>3131</v>
      </c>
      <c r="J136" s="14" t="s">
        <v>3593</v>
      </c>
    </row>
    <row r="137" spans="1:10" x14ac:dyDescent="0.35">
      <c r="A137" s="14" t="s">
        <v>1075</v>
      </c>
      <c r="B137" s="14" t="s">
        <v>3865</v>
      </c>
      <c r="C137" s="14" t="s">
        <v>3384</v>
      </c>
      <c r="D137" s="14">
        <v>-5</v>
      </c>
      <c r="E137" s="14" t="s">
        <v>3364</v>
      </c>
      <c r="F137" s="14" t="s">
        <v>3365</v>
      </c>
      <c r="G137" s="14" t="s">
        <v>3866</v>
      </c>
      <c r="H137" s="14" t="s">
        <v>3867</v>
      </c>
      <c r="I137" s="14" t="s">
        <v>3131</v>
      </c>
      <c r="J137" s="14" t="s">
        <v>3868</v>
      </c>
    </row>
    <row r="138" spans="1:10" x14ac:dyDescent="0.35">
      <c r="A138" s="14" t="s">
        <v>347</v>
      </c>
      <c r="B138" s="14" t="s">
        <v>3869</v>
      </c>
      <c r="C138" s="14" t="s">
        <v>3426</v>
      </c>
      <c r="D138" s="14">
        <v>40</v>
      </c>
      <c r="E138" s="14" t="s">
        <v>3493</v>
      </c>
      <c r="F138" s="14" t="s">
        <v>3398</v>
      </c>
      <c r="G138" s="14" t="s">
        <v>3870</v>
      </c>
      <c r="H138" s="14" t="s">
        <v>3871</v>
      </c>
      <c r="I138" s="14" t="s">
        <v>3173</v>
      </c>
      <c r="J138" s="14" t="s">
        <v>3872</v>
      </c>
    </row>
    <row r="139" spans="1:10" x14ac:dyDescent="0.35">
      <c r="A139" s="14" t="s">
        <v>1332</v>
      </c>
      <c r="B139" s="14" t="s">
        <v>3873</v>
      </c>
      <c r="C139" s="14" t="s">
        <v>3408</v>
      </c>
      <c r="D139" s="14"/>
      <c r="E139" s="14" t="s">
        <v>3462</v>
      </c>
      <c r="F139" s="14" t="s">
        <v>3346</v>
      </c>
      <c r="G139" s="14" t="s">
        <v>3874</v>
      </c>
      <c r="H139" s="14" t="s">
        <v>3875</v>
      </c>
      <c r="I139" s="14" t="s">
        <v>3406</v>
      </c>
      <c r="J139" s="14" t="s">
        <v>3876</v>
      </c>
    </row>
    <row r="140" spans="1:10" x14ac:dyDescent="0.35">
      <c r="A140" s="14" t="s">
        <v>645</v>
      </c>
      <c r="B140" s="14" t="s">
        <v>3877</v>
      </c>
      <c r="C140" s="14" t="s">
        <v>3363</v>
      </c>
      <c r="D140" s="14">
        <v>-5</v>
      </c>
      <c r="E140" s="14" t="s">
        <v>3378</v>
      </c>
      <c r="F140" s="14" t="s">
        <v>3379</v>
      </c>
      <c r="G140" s="14" t="s">
        <v>3878</v>
      </c>
      <c r="H140" s="14"/>
      <c r="I140" s="14" t="s">
        <v>3131</v>
      </c>
      <c r="J140" s="14" t="s">
        <v>3879</v>
      </c>
    </row>
    <row r="141" spans="1:10" x14ac:dyDescent="0.35">
      <c r="A141" s="14" t="s">
        <v>549</v>
      </c>
      <c r="B141" s="14" t="s">
        <v>3880</v>
      </c>
      <c r="C141" s="14" t="s">
        <v>3377</v>
      </c>
      <c r="D141" s="14">
        <v>66</v>
      </c>
      <c r="E141" s="14" t="s">
        <v>3352</v>
      </c>
      <c r="F141" s="14" t="s">
        <v>3352</v>
      </c>
      <c r="G141" s="14" t="s">
        <v>3881</v>
      </c>
      <c r="H141" s="14"/>
      <c r="I141" s="14" t="s">
        <v>3173</v>
      </c>
      <c r="J141" s="14" t="s">
        <v>3882</v>
      </c>
    </row>
    <row r="142" spans="1:10" x14ac:dyDescent="0.35">
      <c r="A142" s="14" t="s">
        <v>1085</v>
      </c>
      <c r="B142" s="14" t="s">
        <v>3883</v>
      </c>
      <c r="C142" s="14" t="s">
        <v>3351</v>
      </c>
      <c r="D142" s="14">
        <v>40</v>
      </c>
      <c r="E142" s="14" t="s">
        <v>3403</v>
      </c>
      <c r="F142" s="14" t="s">
        <v>3404</v>
      </c>
      <c r="G142" s="14" t="s">
        <v>3884</v>
      </c>
      <c r="H142" s="14" t="s">
        <v>3885</v>
      </c>
      <c r="I142" s="14" t="s">
        <v>3173</v>
      </c>
      <c r="J142" s="14" t="s">
        <v>3886</v>
      </c>
    </row>
    <row r="143" spans="1:10" x14ac:dyDescent="0.35">
      <c r="A143" s="14" t="s">
        <v>781</v>
      </c>
      <c r="B143" s="14" t="s">
        <v>3887</v>
      </c>
      <c r="C143" s="14" t="s">
        <v>3434</v>
      </c>
      <c r="D143" s="14"/>
      <c r="E143" s="14" t="s">
        <v>3403</v>
      </c>
      <c r="F143" s="14" t="s">
        <v>3404</v>
      </c>
      <c r="G143" s="14" t="s">
        <v>3888</v>
      </c>
      <c r="H143" s="14" t="s">
        <v>3889</v>
      </c>
      <c r="I143" s="14" t="s">
        <v>3173</v>
      </c>
      <c r="J143" s="14" t="s">
        <v>3890</v>
      </c>
    </row>
    <row r="144" spans="1:10" x14ac:dyDescent="0.35">
      <c r="A144" s="14" t="s">
        <v>579</v>
      </c>
      <c r="B144" s="14" t="s">
        <v>3891</v>
      </c>
      <c r="C144" s="14" t="s">
        <v>3344</v>
      </c>
      <c r="D144" s="14" t="s">
        <v>3396</v>
      </c>
      <c r="E144" s="14" t="s">
        <v>3416</v>
      </c>
      <c r="F144" s="14" t="s">
        <v>3417</v>
      </c>
      <c r="G144" s="14" t="s">
        <v>3892</v>
      </c>
      <c r="H144" s="14" t="s">
        <v>3893</v>
      </c>
      <c r="I144" s="14" t="s">
        <v>3131</v>
      </c>
      <c r="J144" s="14" t="s">
        <v>3894</v>
      </c>
    </row>
    <row r="145" spans="1:10" x14ac:dyDescent="0.35">
      <c r="A145" s="14" t="s">
        <v>306</v>
      </c>
      <c r="B145" s="14" t="s">
        <v>3895</v>
      </c>
      <c r="C145" s="14" t="s">
        <v>3351</v>
      </c>
      <c r="D145" s="14"/>
      <c r="E145" s="14" t="s">
        <v>3416</v>
      </c>
      <c r="F145" s="14" t="s">
        <v>3417</v>
      </c>
      <c r="G145" s="14" t="s">
        <v>3896</v>
      </c>
      <c r="H145" s="14"/>
      <c r="I145" s="14" t="s">
        <v>3131</v>
      </c>
      <c r="J145" s="14" t="s">
        <v>3897</v>
      </c>
    </row>
    <row r="146" spans="1:10" x14ac:dyDescent="0.35">
      <c r="A146" s="14" t="s">
        <v>290</v>
      </c>
      <c r="B146" s="14" t="s">
        <v>3898</v>
      </c>
      <c r="C146" s="14" t="s">
        <v>3408</v>
      </c>
      <c r="D146" s="14">
        <v>67</v>
      </c>
      <c r="E146" s="14" t="s">
        <v>3409</v>
      </c>
      <c r="F146" s="14" t="s">
        <v>3379</v>
      </c>
      <c r="G146" s="14" t="s">
        <v>3899</v>
      </c>
      <c r="H146" s="14" t="s">
        <v>3900</v>
      </c>
      <c r="I146" s="14" t="s">
        <v>3406</v>
      </c>
      <c r="J146" s="14" t="s">
        <v>3901</v>
      </c>
    </row>
    <row r="147" spans="1:10" x14ac:dyDescent="0.35">
      <c r="A147" s="14" t="s">
        <v>1502</v>
      </c>
      <c r="B147" s="14" t="s">
        <v>3902</v>
      </c>
      <c r="C147" s="14" t="s">
        <v>3408</v>
      </c>
      <c r="D147" s="14">
        <v>64</v>
      </c>
      <c r="E147" s="14" t="s">
        <v>3392</v>
      </c>
      <c r="F147" s="14" t="s">
        <v>3358</v>
      </c>
      <c r="G147" s="14" t="s">
        <v>3903</v>
      </c>
      <c r="H147" s="14"/>
      <c r="I147" s="14" t="s">
        <v>3406</v>
      </c>
      <c r="J147" s="14" t="s">
        <v>3904</v>
      </c>
    </row>
    <row r="148" spans="1:10" x14ac:dyDescent="0.35">
      <c r="A148" s="14" t="s">
        <v>1142</v>
      </c>
      <c r="B148" s="14" t="s">
        <v>3905</v>
      </c>
      <c r="C148" s="14" t="s">
        <v>3351</v>
      </c>
      <c r="D148" s="14" t="s">
        <v>3396</v>
      </c>
      <c r="E148" s="14" t="s">
        <v>3364</v>
      </c>
      <c r="F148" s="14" t="s">
        <v>3365</v>
      </c>
      <c r="G148" s="14" t="s">
        <v>3906</v>
      </c>
      <c r="H148" s="14" t="s">
        <v>3907</v>
      </c>
      <c r="I148" s="14" t="s">
        <v>3406</v>
      </c>
      <c r="J148" s="14" t="s">
        <v>3908</v>
      </c>
    </row>
    <row r="149" spans="1:10" x14ac:dyDescent="0.35">
      <c r="A149" s="14" t="s">
        <v>294</v>
      </c>
      <c r="B149" s="14" t="s">
        <v>3909</v>
      </c>
      <c r="C149" s="14" t="s">
        <v>3377</v>
      </c>
      <c r="D149" s="14">
        <v>-5</v>
      </c>
      <c r="E149" s="14" t="s">
        <v>3392</v>
      </c>
      <c r="F149" s="14" t="s">
        <v>3358</v>
      </c>
      <c r="G149" s="14"/>
      <c r="H149" s="14" t="s">
        <v>3910</v>
      </c>
      <c r="I149" s="14" t="s">
        <v>3131</v>
      </c>
      <c r="J149" s="14" t="s">
        <v>3911</v>
      </c>
    </row>
    <row r="150" spans="1:10" x14ac:dyDescent="0.35">
      <c r="A150" s="14" t="s">
        <v>973</v>
      </c>
      <c r="B150" s="14" t="s">
        <v>3912</v>
      </c>
      <c r="C150" s="14" t="s">
        <v>3356</v>
      </c>
      <c r="D150" s="14">
        <v>35</v>
      </c>
      <c r="E150" s="14" t="s">
        <v>3574</v>
      </c>
      <c r="F150" s="14" t="s">
        <v>3346</v>
      </c>
      <c r="G150" s="14" t="s">
        <v>3913</v>
      </c>
      <c r="H150" s="14" t="s">
        <v>3914</v>
      </c>
      <c r="I150" s="14" t="s">
        <v>3406</v>
      </c>
      <c r="J150" s="14" t="s">
        <v>3915</v>
      </c>
    </row>
    <row r="151" spans="1:10" x14ac:dyDescent="0.35">
      <c r="A151" s="14" t="s">
        <v>1018</v>
      </c>
      <c r="B151" s="14" t="s">
        <v>3916</v>
      </c>
      <c r="C151" s="14" t="s">
        <v>3370</v>
      </c>
      <c r="D151" s="14">
        <v>63</v>
      </c>
      <c r="E151" s="14" t="s">
        <v>3409</v>
      </c>
      <c r="F151" s="14" t="s">
        <v>3379</v>
      </c>
      <c r="G151" s="14"/>
      <c r="H151" s="14"/>
      <c r="I151" s="14" t="s">
        <v>3156</v>
      </c>
      <c r="J151" s="14" t="s">
        <v>3917</v>
      </c>
    </row>
    <row r="152" spans="1:10" x14ac:dyDescent="0.35">
      <c r="A152" s="14" t="s">
        <v>385</v>
      </c>
      <c r="B152" s="14" t="s">
        <v>3402</v>
      </c>
      <c r="C152" s="14" t="s">
        <v>3351</v>
      </c>
      <c r="D152" s="14">
        <v>-5</v>
      </c>
      <c r="E152" s="14" t="s">
        <v>3403</v>
      </c>
      <c r="F152" s="14" t="s">
        <v>3404</v>
      </c>
      <c r="G152" s="14" t="s">
        <v>3405</v>
      </c>
      <c r="H152" s="14"/>
      <c r="I152" s="14" t="s">
        <v>3406</v>
      </c>
      <c r="J152" s="14" t="s">
        <v>807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9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5" width="14" customWidth="1"/>
    <col min="6" max="6" width="15" customWidth="1"/>
  </cols>
  <sheetData>
    <row r="1" spans="1:6" x14ac:dyDescent="0.35">
      <c r="A1" s="15" t="s">
        <v>45</v>
      </c>
      <c r="B1" s="15" t="s">
        <v>3918</v>
      </c>
      <c r="C1" s="15" t="s">
        <v>3337</v>
      </c>
      <c r="D1" s="15" t="s">
        <v>3338</v>
      </c>
      <c r="E1" s="15" t="s">
        <v>3919</v>
      </c>
      <c r="F1" s="15" t="s">
        <v>3920</v>
      </c>
    </row>
    <row r="2" spans="1:6" x14ac:dyDescent="0.35">
      <c r="A2" s="14" t="s">
        <v>113</v>
      </c>
      <c r="B2" s="14" t="s">
        <v>3921</v>
      </c>
      <c r="C2" s="14" t="s">
        <v>3357</v>
      </c>
      <c r="D2" s="14" t="s">
        <v>3358</v>
      </c>
      <c r="E2" s="14" t="s">
        <v>3922</v>
      </c>
      <c r="F2" s="14" t="s">
        <v>3923</v>
      </c>
    </row>
    <row r="3" spans="1:6" x14ac:dyDescent="0.35">
      <c r="A3" s="14" t="s">
        <v>80</v>
      </c>
      <c r="B3" s="14" t="s">
        <v>3924</v>
      </c>
      <c r="C3" s="14" t="s">
        <v>3925</v>
      </c>
      <c r="D3" s="14" t="s">
        <v>3346</v>
      </c>
      <c r="E3" s="14" t="s">
        <v>3926</v>
      </c>
      <c r="F3" s="14" t="s">
        <v>3927</v>
      </c>
    </row>
    <row r="4" spans="1:6" x14ac:dyDescent="0.35">
      <c r="A4" s="14" t="s">
        <v>101</v>
      </c>
      <c r="B4" s="14" t="s">
        <v>3928</v>
      </c>
      <c r="C4" s="14" t="s">
        <v>3364</v>
      </c>
      <c r="D4" s="14" t="s">
        <v>3365</v>
      </c>
      <c r="E4" s="14" t="s">
        <v>3929</v>
      </c>
      <c r="F4" s="14" t="s">
        <v>3930</v>
      </c>
    </row>
    <row r="5" spans="1:6" x14ac:dyDescent="0.35">
      <c r="A5" s="14" t="s">
        <v>126</v>
      </c>
      <c r="B5" s="14" t="s">
        <v>3931</v>
      </c>
      <c r="C5" s="14" t="s">
        <v>3392</v>
      </c>
      <c r="D5" s="14" t="s">
        <v>3358</v>
      </c>
      <c r="E5" s="14" t="s">
        <v>3932</v>
      </c>
      <c r="F5" s="14" t="s">
        <v>3933</v>
      </c>
    </row>
    <row r="6" spans="1:6" x14ac:dyDescent="0.35">
      <c r="A6" s="14" t="s">
        <v>56</v>
      </c>
      <c r="B6" s="14" t="s">
        <v>3934</v>
      </c>
      <c r="C6" s="14" t="s">
        <v>3935</v>
      </c>
      <c r="D6" s="14" t="s">
        <v>3379</v>
      </c>
      <c r="E6" s="14" t="s">
        <v>3936</v>
      </c>
      <c r="F6" s="14" t="s">
        <v>3937</v>
      </c>
    </row>
    <row r="7" spans="1:6" x14ac:dyDescent="0.35">
      <c r="A7" s="14" t="s">
        <v>108</v>
      </c>
      <c r="B7" s="14" t="s">
        <v>3938</v>
      </c>
      <c r="C7" s="14" t="s">
        <v>3403</v>
      </c>
      <c r="D7" s="14" t="s">
        <v>3404</v>
      </c>
      <c r="E7" s="14" t="s">
        <v>3939</v>
      </c>
      <c r="F7" s="14" t="s">
        <v>3940</v>
      </c>
    </row>
    <row r="8" spans="1:6" x14ac:dyDescent="0.35">
      <c r="A8" s="14" t="s">
        <v>72</v>
      </c>
      <c r="B8" s="14" t="s">
        <v>3941</v>
      </c>
      <c r="C8" s="14" t="s">
        <v>3371</v>
      </c>
      <c r="D8" s="14" t="s">
        <v>3372</v>
      </c>
      <c r="E8" s="14" t="s">
        <v>3942</v>
      </c>
      <c r="F8" s="14" t="s">
        <v>3943</v>
      </c>
    </row>
    <row r="9" spans="1:6" x14ac:dyDescent="0.35">
      <c r="A9" s="14" t="s">
        <v>64</v>
      </c>
      <c r="B9" s="14" t="s">
        <v>3944</v>
      </c>
      <c r="C9" s="14" t="s">
        <v>3945</v>
      </c>
      <c r="D9" s="14" t="s">
        <v>3398</v>
      </c>
      <c r="E9" s="14" t="s">
        <v>3946</v>
      </c>
      <c r="F9" s="14" t="s">
        <v>3947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9"/>
  <sheetViews>
    <sheetView zoomScaleNormal="100" workbookViewId="0">
      <pane ySplit="3" topLeftCell="A4" activePane="bottomLeft" state="frozen"/>
      <selection pane="bottomLeft" sqref="A1:C1"/>
    </sheetView>
  </sheetViews>
  <sheetFormatPr defaultColWidth="8.6328125" defaultRowHeight="14.5" x14ac:dyDescent="0.35"/>
  <cols>
    <col min="1" max="1" width="32" customWidth="1"/>
    <col min="2" max="2" width="60" customWidth="1"/>
    <col min="3" max="3" width="20" customWidth="1"/>
  </cols>
  <sheetData>
    <row r="1" spans="1:3" ht="18" x14ac:dyDescent="0.4">
      <c r="A1" s="2" t="s">
        <v>3948</v>
      </c>
      <c r="B1" s="2"/>
      <c r="C1" s="2"/>
    </row>
    <row r="3" spans="1:3" x14ac:dyDescent="0.35">
      <c r="A3" s="17" t="s">
        <v>3949</v>
      </c>
      <c r="B3" s="17" t="s">
        <v>3950</v>
      </c>
      <c r="C3" s="17" t="s">
        <v>3951</v>
      </c>
    </row>
    <row r="4" spans="1:3" x14ac:dyDescent="0.35">
      <c r="A4" s="14" t="s">
        <v>3952</v>
      </c>
      <c r="B4" s="14" t="s">
        <v>3953</v>
      </c>
      <c r="C4" s="14">
        <v>2</v>
      </c>
    </row>
    <row r="5" spans="1:3" x14ac:dyDescent="0.35">
      <c r="A5" s="14" t="s">
        <v>3952</v>
      </c>
      <c r="B5" s="14" t="s">
        <v>3954</v>
      </c>
      <c r="C5" s="14">
        <v>2</v>
      </c>
    </row>
    <row r="6" spans="1:3" x14ac:dyDescent="0.35">
      <c r="A6" s="14" t="s">
        <v>3952</v>
      </c>
      <c r="B6" s="14" t="s">
        <v>3955</v>
      </c>
      <c r="C6" s="14">
        <v>1</v>
      </c>
    </row>
    <row r="7" spans="1:3" x14ac:dyDescent="0.35">
      <c r="A7" s="14" t="s">
        <v>3952</v>
      </c>
      <c r="B7" s="14" t="s">
        <v>3956</v>
      </c>
      <c r="C7" s="14">
        <v>2</v>
      </c>
    </row>
    <row r="8" spans="1:3" x14ac:dyDescent="0.35">
      <c r="A8" s="14" t="s">
        <v>3957</v>
      </c>
      <c r="B8" s="14" t="s">
        <v>3958</v>
      </c>
      <c r="C8" s="14">
        <v>1</v>
      </c>
    </row>
    <row r="9" spans="1:3" x14ac:dyDescent="0.35">
      <c r="A9" s="14" t="s">
        <v>3957</v>
      </c>
      <c r="B9" s="14" t="s">
        <v>3959</v>
      </c>
      <c r="C9" s="14">
        <v>1</v>
      </c>
    </row>
    <row r="10" spans="1:3" x14ac:dyDescent="0.35">
      <c r="A10" s="14" t="s">
        <v>3957</v>
      </c>
      <c r="B10" s="14" t="s">
        <v>3960</v>
      </c>
      <c r="C10" s="14">
        <v>123</v>
      </c>
    </row>
    <row r="11" spans="1:3" x14ac:dyDescent="0.35">
      <c r="A11" s="14" t="s">
        <v>3957</v>
      </c>
      <c r="B11" s="14" t="s">
        <v>3961</v>
      </c>
      <c r="C11" s="14">
        <v>12</v>
      </c>
    </row>
    <row r="12" spans="1:3" x14ac:dyDescent="0.35">
      <c r="A12" s="14" t="s">
        <v>3962</v>
      </c>
      <c r="B12" s="14" t="s">
        <v>3963</v>
      </c>
      <c r="C12" s="14">
        <v>4</v>
      </c>
    </row>
    <row r="13" spans="1:3" x14ac:dyDescent="0.35">
      <c r="A13" s="14" t="s">
        <v>3962</v>
      </c>
      <c r="B13" s="14" t="s">
        <v>3964</v>
      </c>
      <c r="C13" s="14">
        <v>237</v>
      </c>
    </row>
    <row r="14" spans="1:3" x14ac:dyDescent="0.35">
      <c r="A14" s="14" t="s">
        <v>3962</v>
      </c>
      <c r="B14" s="14" t="s">
        <v>3965</v>
      </c>
      <c r="C14" s="14">
        <v>27</v>
      </c>
    </row>
    <row r="15" spans="1:3" x14ac:dyDescent="0.35">
      <c r="A15" s="14" t="s">
        <v>3962</v>
      </c>
      <c r="B15" s="14" t="s">
        <v>3966</v>
      </c>
      <c r="C15" s="14">
        <v>0</v>
      </c>
    </row>
    <row r="17" spans="1:2" x14ac:dyDescent="0.35">
      <c r="A17" s="18" t="s">
        <v>3967</v>
      </c>
      <c r="B17">
        <v>954</v>
      </c>
    </row>
    <row r="18" spans="1:2" x14ac:dyDescent="0.35">
      <c r="A18" s="18" t="s">
        <v>3968</v>
      </c>
      <c r="B18">
        <f>COUNTA(Cleaned_Sales!A2:A714)</f>
        <v>713</v>
      </c>
    </row>
    <row r="19" spans="1:2" x14ac:dyDescent="0.35">
      <c r="A19" s="18" t="s">
        <v>3969</v>
      </c>
      <c r="B19" s="19">
        <f>B18/B17</f>
        <v>0.74737945492662472</v>
      </c>
    </row>
  </sheetData>
  <mergeCells count="1">
    <mergeCell ref="A1:C1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714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15" customWidth="1"/>
    <col min="2" max="2" width="21" style="20" customWidth="1"/>
    <col min="3" max="12" width="13" customWidth="1"/>
    <col min="13" max="13" width="14" customWidth="1"/>
    <col min="14" max="14" width="20" customWidth="1"/>
    <col min="15" max="16" width="32" customWidth="1"/>
  </cols>
  <sheetData>
    <row r="1" spans="1:16" x14ac:dyDescent="0.35">
      <c r="A1" s="17" t="s">
        <v>41</v>
      </c>
      <c r="B1" s="17" t="s">
        <v>42</v>
      </c>
      <c r="C1" s="17" t="s">
        <v>3970</v>
      </c>
      <c r="D1" s="17" t="s">
        <v>3971</v>
      </c>
      <c r="E1" s="17" t="s">
        <v>43</v>
      </c>
      <c r="F1" s="17" t="s">
        <v>44</v>
      </c>
      <c r="G1" s="17" t="s">
        <v>45</v>
      </c>
      <c r="H1" s="17" t="s">
        <v>46</v>
      </c>
      <c r="I1" s="17" t="s">
        <v>47</v>
      </c>
      <c r="J1" s="17" t="s">
        <v>48</v>
      </c>
      <c r="K1" s="17" t="s">
        <v>3972</v>
      </c>
      <c r="L1" s="17" t="s">
        <v>49</v>
      </c>
      <c r="M1" s="17" t="s">
        <v>50</v>
      </c>
      <c r="N1" s="17" t="s">
        <v>51</v>
      </c>
      <c r="O1" s="17" t="s">
        <v>3100</v>
      </c>
      <c r="P1" s="17" t="s">
        <v>3101</v>
      </c>
    </row>
    <row r="2" spans="1:16" x14ac:dyDescent="0.35">
      <c r="A2" s="14" t="s">
        <v>52</v>
      </c>
      <c r="B2" s="21">
        <v>45048</v>
      </c>
      <c r="C2" s="14" t="s">
        <v>3973</v>
      </c>
      <c r="D2" s="14">
        <v>2023</v>
      </c>
      <c r="E2" s="14" t="s">
        <v>54</v>
      </c>
      <c r="F2" s="14" t="s">
        <v>55</v>
      </c>
      <c r="G2" s="14" t="s">
        <v>56</v>
      </c>
      <c r="H2" s="14">
        <v>1</v>
      </c>
      <c r="I2" s="14">
        <v>164590</v>
      </c>
      <c r="J2" s="14">
        <v>0</v>
      </c>
      <c r="K2" s="14">
        <v>164590</v>
      </c>
      <c r="L2" s="14" t="s">
        <v>3974</v>
      </c>
      <c r="M2" s="14" t="s">
        <v>3975</v>
      </c>
      <c r="N2" s="14" t="s">
        <v>59</v>
      </c>
      <c r="O2" s="14" t="str">
        <f>IFERROR(INDEX(Cleaned_Products!$C$2:$C$61,MATCH(F2,Cleaned_Products!$A$2:$A$61,0)),"Unknown")</f>
        <v>Anklets</v>
      </c>
      <c r="P2" s="14" t="str">
        <f>IFERROR(INDEX(Cleaned_Products!$D$2:$D$61,MATCH(F2,Cleaned_Products!$A$2:$A$61,0)),"Unknown")</f>
        <v>Gold</v>
      </c>
    </row>
    <row r="3" spans="1:16" x14ac:dyDescent="0.35">
      <c r="A3" s="14" t="s">
        <v>60</v>
      </c>
      <c r="B3" s="21">
        <v>45623</v>
      </c>
      <c r="C3" s="14" t="s">
        <v>3976</v>
      </c>
      <c r="D3" s="14">
        <v>2024</v>
      </c>
      <c r="E3" s="14" t="s">
        <v>62</v>
      </c>
      <c r="F3" s="14" t="s">
        <v>63</v>
      </c>
      <c r="G3" s="14" t="s">
        <v>64</v>
      </c>
      <c r="H3" s="14">
        <v>1</v>
      </c>
      <c r="I3" s="14">
        <v>95070</v>
      </c>
      <c r="J3" s="14">
        <v>15</v>
      </c>
      <c r="K3" s="14">
        <v>80809.5</v>
      </c>
      <c r="L3" s="14" t="s">
        <v>3977</v>
      </c>
      <c r="M3" s="14" t="s">
        <v>3975</v>
      </c>
      <c r="N3" s="14" t="s">
        <v>67</v>
      </c>
      <c r="O3" s="14" t="str">
        <f>IFERROR(INDEX(Cleaned_Products!$C$2:$C$61,MATCH(F3,Cleaned_Products!$A$2:$A$61,0)),"Unknown")</f>
        <v>Anklets</v>
      </c>
      <c r="P3" s="14" t="str">
        <f>IFERROR(INDEX(Cleaned_Products!$D$2:$D$61,MATCH(F3,Cleaned_Products!$A$2:$A$61,0)),"Unknown")</f>
        <v>Diamond</v>
      </c>
    </row>
    <row r="4" spans="1:16" x14ac:dyDescent="0.35">
      <c r="A4" s="14" t="s">
        <v>76</v>
      </c>
      <c r="B4" s="21">
        <v>45258</v>
      </c>
      <c r="C4" s="14" t="s">
        <v>3978</v>
      </c>
      <c r="D4" s="14">
        <v>2023</v>
      </c>
      <c r="E4" s="14" t="s">
        <v>78</v>
      </c>
      <c r="F4" s="14" t="s">
        <v>79</v>
      </c>
      <c r="G4" s="14" t="s">
        <v>80</v>
      </c>
      <c r="H4" s="14">
        <v>1</v>
      </c>
      <c r="I4" s="14">
        <v>32080</v>
      </c>
      <c r="J4" s="14">
        <v>10</v>
      </c>
      <c r="K4" s="14">
        <v>28872</v>
      </c>
      <c r="L4" s="14" t="s">
        <v>3979</v>
      </c>
      <c r="M4" s="14" t="s">
        <v>3980</v>
      </c>
      <c r="N4" s="14" t="s">
        <v>84</v>
      </c>
      <c r="O4" s="14" t="str">
        <f>IFERROR(INDEX(Cleaned_Products!$C$2:$C$61,MATCH(F4,Cleaned_Products!$A$2:$A$61,0)),"Unknown")</f>
        <v>Rings</v>
      </c>
      <c r="P4" s="14" t="str">
        <f>IFERROR(INDEX(Cleaned_Products!$D$2:$D$61,MATCH(F4,Cleaned_Products!$A$2:$A$61,0)),"Unknown")</f>
        <v>Rose Gold</v>
      </c>
    </row>
    <row r="5" spans="1:16" x14ac:dyDescent="0.35">
      <c r="A5" s="14" t="s">
        <v>91</v>
      </c>
      <c r="B5" s="21">
        <v>45592</v>
      </c>
      <c r="C5" s="14" t="s">
        <v>3981</v>
      </c>
      <c r="D5" s="14">
        <v>2024</v>
      </c>
      <c r="E5" s="14" t="s">
        <v>93</v>
      </c>
      <c r="F5" s="14" t="s">
        <v>94</v>
      </c>
      <c r="G5" s="14" t="s">
        <v>80</v>
      </c>
      <c r="H5" s="14">
        <v>2</v>
      </c>
      <c r="I5" s="14">
        <v>170430</v>
      </c>
      <c r="J5" s="14">
        <v>5</v>
      </c>
      <c r="K5" s="14">
        <v>323817</v>
      </c>
      <c r="L5" s="14" t="s">
        <v>95</v>
      </c>
      <c r="M5" s="14" t="s">
        <v>3980</v>
      </c>
      <c r="N5" s="14" t="s">
        <v>96</v>
      </c>
      <c r="O5" s="14" t="str">
        <f>IFERROR(INDEX(Cleaned_Products!$C$2:$C$61,MATCH(F5,Cleaned_Products!$A$2:$A$61,0)),"Unknown")</f>
        <v>Nose Pins</v>
      </c>
      <c r="P5" s="14" t="str">
        <f>IFERROR(INDEX(Cleaned_Products!$D$2:$D$61,MATCH(F5,Cleaned_Products!$A$2:$A$61,0)),"Unknown")</f>
        <v>Rose Gold</v>
      </c>
    </row>
    <row r="6" spans="1:16" x14ac:dyDescent="0.35">
      <c r="A6" s="14" t="s">
        <v>97</v>
      </c>
      <c r="B6" s="21">
        <v>45012</v>
      </c>
      <c r="C6" s="14" t="s">
        <v>3982</v>
      </c>
      <c r="D6" s="14">
        <v>2023</v>
      </c>
      <c r="E6" s="14" t="s">
        <v>99</v>
      </c>
      <c r="F6" s="14" t="s">
        <v>100</v>
      </c>
      <c r="G6" s="14" t="s">
        <v>101</v>
      </c>
      <c r="H6" s="14">
        <v>3</v>
      </c>
      <c r="I6" s="14">
        <v>136950</v>
      </c>
      <c r="J6" s="14">
        <v>10</v>
      </c>
      <c r="K6" s="14">
        <v>369765</v>
      </c>
      <c r="L6" s="14" t="s">
        <v>95</v>
      </c>
      <c r="M6" s="14" t="s">
        <v>3975</v>
      </c>
      <c r="N6" s="14" t="s">
        <v>103</v>
      </c>
      <c r="O6" s="14" t="str">
        <f>IFERROR(INDEX(Cleaned_Products!$C$2:$C$61,MATCH(F6,Cleaned_Products!$A$2:$A$61,0)),"Unknown")</f>
        <v>Nose Pins</v>
      </c>
      <c r="P6" s="14" t="str">
        <f>IFERROR(INDEX(Cleaned_Products!$D$2:$D$61,MATCH(F6,Cleaned_Products!$A$2:$A$61,0)),"Unknown")</f>
        <v>Diamond</v>
      </c>
    </row>
    <row r="7" spans="1:16" x14ac:dyDescent="0.35">
      <c r="A7" s="14" t="s">
        <v>104</v>
      </c>
      <c r="B7" s="21">
        <v>45257</v>
      </c>
      <c r="C7" s="14" t="s">
        <v>3978</v>
      </c>
      <c r="D7" s="14">
        <v>2023</v>
      </c>
      <c r="E7" s="14" t="s">
        <v>106</v>
      </c>
      <c r="F7" s="14" t="s">
        <v>107</v>
      </c>
      <c r="G7" s="14" t="s">
        <v>108</v>
      </c>
      <c r="H7" s="14">
        <v>1</v>
      </c>
      <c r="I7" s="14">
        <v>43050</v>
      </c>
      <c r="J7" s="14">
        <v>10</v>
      </c>
      <c r="K7" s="14">
        <v>38745</v>
      </c>
      <c r="L7" s="14" t="s">
        <v>73</v>
      </c>
      <c r="M7" s="14" t="s">
        <v>3980</v>
      </c>
      <c r="N7" s="14" t="s">
        <v>3983</v>
      </c>
      <c r="O7" s="14" t="str">
        <f>IFERROR(INDEX(Cleaned_Products!$C$2:$C$61,MATCH(F7,Cleaned_Products!$A$2:$A$61,0)),"Unknown")</f>
        <v>Earrings</v>
      </c>
      <c r="P7" s="14" t="str">
        <f>IFERROR(INDEX(Cleaned_Products!$D$2:$D$61,MATCH(F7,Cleaned_Products!$A$2:$A$61,0)),"Unknown")</f>
        <v>Platinum</v>
      </c>
    </row>
    <row r="8" spans="1:16" x14ac:dyDescent="0.35">
      <c r="A8" s="14" t="s">
        <v>109</v>
      </c>
      <c r="B8" s="21">
        <v>45454</v>
      </c>
      <c r="C8" s="14" t="s">
        <v>3984</v>
      </c>
      <c r="D8" s="14">
        <v>2024</v>
      </c>
      <c r="E8" s="14" t="s">
        <v>111</v>
      </c>
      <c r="F8" s="14" t="s">
        <v>112</v>
      </c>
      <c r="G8" s="14" t="s">
        <v>113</v>
      </c>
      <c r="H8" s="14">
        <v>1</v>
      </c>
      <c r="I8" s="14">
        <v>98210</v>
      </c>
      <c r="J8" s="14">
        <v>0</v>
      </c>
      <c r="K8" s="14">
        <v>98210</v>
      </c>
      <c r="L8" s="14" t="s">
        <v>3977</v>
      </c>
      <c r="M8" s="14" t="s">
        <v>3980</v>
      </c>
      <c r="N8" s="14" t="s">
        <v>116</v>
      </c>
      <c r="O8" s="14" t="str">
        <f>IFERROR(INDEX(Cleaned_Products!$C$2:$C$61,MATCH(F8,Cleaned_Products!$A$2:$A$61,0)),"Unknown")</f>
        <v>Bangles</v>
      </c>
      <c r="P8" s="14" t="str">
        <f>IFERROR(INDEX(Cleaned_Products!$D$2:$D$61,MATCH(F8,Cleaned_Products!$A$2:$A$61,0)),"Unknown")</f>
        <v>Rose Gold</v>
      </c>
    </row>
    <row r="9" spans="1:16" x14ac:dyDescent="0.35">
      <c r="A9" s="14" t="s">
        <v>132</v>
      </c>
      <c r="B9" s="21">
        <v>45368</v>
      </c>
      <c r="C9" s="14" t="s">
        <v>3985</v>
      </c>
      <c r="D9" s="14">
        <v>2024</v>
      </c>
      <c r="E9" s="14" t="s">
        <v>134</v>
      </c>
      <c r="F9" s="14" t="s">
        <v>135</v>
      </c>
      <c r="G9" s="14" t="s">
        <v>64</v>
      </c>
      <c r="H9" s="14">
        <v>2</v>
      </c>
      <c r="I9" s="14">
        <v>94970</v>
      </c>
      <c r="J9" s="14">
        <v>0</v>
      </c>
      <c r="K9" s="14">
        <v>189940</v>
      </c>
      <c r="L9" s="14" t="s">
        <v>73</v>
      </c>
      <c r="M9" s="14" t="s">
        <v>3980</v>
      </c>
      <c r="N9" s="14" t="s">
        <v>3983</v>
      </c>
      <c r="O9" s="14" t="str">
        <f>IFERROR(INDEX(Cleaned_Products!$C$2:$C$61,MATCH(F9,Cleaned_Products!$A$2:$A$61,0)),"Unknown")</f>
        <v>Necklaces</v>
      </c>
      <c r="P9" s="14" t="str">
        <f>IFERROR(INDEX(Cleaned_Products!$D$2:$D$61,MATCH(F9,Cleaned_Products!$A$2:$A$61,0)),"Unknown")</f>
        <v>Silver</v>
      </c>
    </row>
    <row r="10" spans="1:16" x14ac:dyDescent="0.35">
      <c r="A10" s="14" t="s">
        <v>137</v>
      </c>
      <c r="B10" s="21">
        <v>45630</v>
      </c>
      <c r="C10" s="14" t="s">
        <v>3986</v>
      </c>
      <c r="D10" s="14">
        <v>2024</v>
      </c>
      <c r="E10" s="14" t="s">
        <v>139</v>
      </c>
      <c r="F10" s="14" t="s">
        <v>94</v>
      </c>
      <c r="G10" s="14" t="s">
        <v>113</v>
      </c>
      <c r="H10" s="14">
        <v>1</v>
      </c>
      <c r="I10" s="14">
        <v>204040</v>
      </c>
      <c r="J10" s="14">
        <v>15</v>
      </c>
      <c r="K10" s="14">
        <v>173434</v>
      </c>
      <c r="L10" s="14" t="s">
        <v>3977</v>
      </c>
      <c r="M10" s="14" t="s">
        <v>3975</v>
      </c>
      <c r="N10" s="14" t="s">
        <v>140</v>
      </c>
      <c r="O10" s="14" t="str">
        <f>IFERROR(INDEX(Cleaned_Products!$C$2:$C$61,MATCH(F10,Cleaned_Products!$A$2:$A$61,0)),"Unknown")</f>
        <v>Nose Pins</v>
      </c>
      <c r="P10" s="14" t="str">
        <f>IFERROR(INDEX(Cleaned_Products!$D$2:$D$61,MATCH(F10,Cleaned_Products!$A$2:$A$61,0)),"Unknown")</f>
        <v>Rose Gold</v>
      </c>
    </row>
    <row r="11" spans="1:16" x14ac:dyDescent="0.35">
      <c r="A11" s="14" t="s">
        <v>141</v>
      </c>
      <c r="B11" s="21">
        <v>44931</v>
      </c>
      <c r="C11" s="14" t="s">
        <v>3987</v>
      </c>
      <c r="D11" s="14">
        <v>2023</v>
      </c>
      <c r="E11" s="14" t="s">
        <v>143</v>
      </c>
      <c r="F11" s="14" t="s">
        <v>144</v>
      </c>
      <c r="G11" s="14" t="s">
        <v>72</v>
      </c>
      <c r="H11" s="14">
        <v>2</v>
      </c>
      <c r="I11" s="14">
        <v>95460</v>
      </c>
      <c r="J11" s="14">
        <v>0</v>
      </c>
      <c r="K11" s="14">
        <v>190920</v>
      </c>
      <c r="L11" s="14" t="s">
        <v>121</v>
      </c>
      <c r="M11" s="14" t="s">
        <v>3980</v>
      </c>
      <c r="N11" s="14" t="s">
        <v>145</v>
      </c>
      <c r="O11" s="14" t="str">
        <f>IFERROR(INDEX(Cleaned_Products!$C$2:$C$61,MATCH(F11,Cleaned_Products!$A$2:$A$61,0)),"Unknown")</f>
        <v>Necklaces</v>
      </c>
      <c r="P11" s="14" t="str">
        <f>IFERROR(INDEX(Cleaned_Products!$D$2:$D$61,MATCH(F11,Cleaned_Products!$A$2:$A$61,0)),"Unknown")</f>
        <v>Gold</v>
      </c>
    </row>
    <row r="12" spans="1:16" x14ac:dyDescent="0.35">
      <c r="A12" s="14" t="s">
        <v>151</v>
      </c>
      <c r="B12" s="21">
        <v>45132</v>
      </c>
      <c r="C12" s="14" t="s">
        <v>3988</v>
      </c>
      <c r="D12" s="14">
        <v>2023</v>
      </c>
      <c r="E12" s="14" t="s">
        <v>153</v>
      </c>
      <c r="F12" s="14" t="s">
        <v>154</v>
      </c>
      <c r="G12" s="14" t="s">
        <v>126</v>
      </c>
      <c r="H12" s="14">
        <v>3</v>
      </c>
      <c r="I12" s="14">
        <v>231350</v>
      </c>
      <c r="J12" s="14">
        <v>0</v>
      </c>
      <c r="K12" s="14">
        <v>694050</v>
      </c>
      <c r="L12" s="14" t="s">
        <v>121</v>
      </c>
      <c r="M12" s="14" t="s">
        <v>3980</v>
      </c>
      <c r="N12" s="14" t="s">
        <v>3983</v>
      </c>
      <c r="O12" s="14" t="str">
        <f>IFERROR(INDEX(Cleaned_Products!$C$2:$C$61,MATCH(F12,Cleaned_Products!$A$2:$A$61,0)),"Unknown")</f>
        <v>Rings</v>
      </c>
      <c r="P12" s="14" t="str">
        <f>IFERROR(INDEX(Cleaned_Products!$D$2:$D$61,MATCH(F12,Cleaned_Products!$A$2:$A$61,0)),"Unknown")</f>
        <v>Silver</v>
      </c>
    </row>
    <row r="13" spans="1:16" x14ac:dyDescent="0.35">
      <c r="A13" s="14" t="s">
        <v>155</v>
      </c>
      <c r="B13" s="21">
        <v>45472</v>
      </c>
      <c r="C13" s="14" t="s">
        <v>3984</v>
      </c>
      <c r="D13" s="14">
        <v>2024</v>
      </c>
      <c r="E13" s="14" t="s">
        <v>157</v>
      </c>
      <c r="F13" s="14" t="s">
        <v>144</v>
      </c>
      <c r="G13" s="14" t="s">
        <v>108</v>
      </c>
      <c r="H13" s="14">
        <v>1</v>
      </c>
      <c r="I13" s="14">
        <v>182860</v>
      </c>
      <c r="J13" s="14">
        <v>0</v>
      </c>
      <c r="K13" s="14">
        <v>182860</v>
      </c>
      <c r="L13" s="14" t="s">
        <v>3974</v>
      </c>
      <c r="M13" s="14" t="s">
        <v>3975</v>
      </c>
      <c r="N13" s="14" t="s">
        <v>159</v>
      </c>
      <c r="O13" s="14" t="str">
        <f>IFERROR(INDEX(Cleaned_Products!$C$2:$C$61,MATCH(F13,Cleaned_Products!$A$2:$A$61,0)),"Unknown")</f>
        <v>Necklaces</v>
      </c>
      <c r="P13" s="14" t="str">
        <f>IFERROR(INDEX(Cleaned_Products!$D$2:$D$61,MATCH(F13,Cleaned_Products!$A$2:$A$61,0)),"Unknown")</f>
        <v>Gold</v>
      </c>
    </row>
    <row r="14" spans="1:16" x14ac:dyDescent="0.35">
      <c r="A14" s="14" t="s">
        <v>160</v>
      </c>
      <c r="B14" s="21">
        <v>45697</v>
      </c>
      <c r="C14" s="14" t="s">
        <v>3989</v>
      </c>
      <c r="D14" s="14">
        <v>2025</v>
      </c>
      <c r="E14" s="14" t="s">
        <v>162</v>
      </c>
      <c r="F14" s="14" t="s">
        <v>163</v>
      </c>
      <c r="G14" s="14" t="s">
        <v>80</v>
      </c>
      <c r="H14" s="14">
        <v>2</v>
      </c>
      <c r="I14" s="14">
        <v>18920</v>
      </c>
      <c r="J14" s="14">
        <v>0</v>
      </c>
      <c r="K14" s="14">
        <v>37840</v>
      </c>
      <c r="L14" s="14" t="s">
        <v>3979</v>
      </c>
      <c r="M14" s="14" t="s">
        <v>3980</v>
      </c>
      <c r="N14" s="14" t="s">
        <v>164</v>
      </c>
      <c r="O14" s="14" t="str">
        <f>IFERROR(INDEX(Cleaned_Products!$C$2:$C$61,MATCH(F14,Cleaned_Products!$A$2:$A$61,0)),"Unknown")</f>
        <v>Earrings</v>
      </c>
      <c r="P14" s="14" t="str">
        <f>IFERROR(INDEX(Cleaned_Products!$D$2:$D$61,MATCH(F14,Cleaned_Products!$A$2:$A$61,0)),"Unknown")</f>
        <v>Diamond</v>
      </c>
    </row>
    <row r="15" spans="1:16" x14ac:dyDescent="0.35">
      <c r="A15" s="14" t="s">
        <v>169</v>
      </c>
      <c r="B15" s="21">
        <v>45712</v>
      </c>
      <c r="C15" s="14" t="s">
        <v>3989</v>
      </c>
      <c r="D15" s="14">
        <v>2025</v>
      </c>
      <c r="E15" s="14" t="s">
        <v>171</v>
      </c>
      <c r="F15" s="14" t="s">
        <v>172</v>
      </c>
      <c r="G15" s="14" t="s">
        <v>80</v>
      </c>
      <c r="H15" s="14">
        <v>2</v>
      </c>
      <c r="I15" s="14">
        <v>165590</v>
      </c>
      <c r="J15" s="14">
        <v>0</v>
      </c>
      <c r="K15" s="14">
        <v>331180</v>
      </c>
      <c r="L15" s="14" t="s">
        <v>121</v>
      </c>
      <c r="M15" s="14" t="s">
        <v>3975</v>
      </c>
      <c r="N15" s="14" t="s">
        <v>175</v>
      </c>
      <c r="O15" s="14" t="str">
        <f>IFERROR(INDEX(Cleaned_Products!$C$2:$C$61,MATCH(F15,Cleaned_Products!$A$2:$A$61,0)),"Unknown")</f>
        <v>Bracelets</v>
      </c>
      <c r="P15" s="14" t="str">
        <f>IFERROR(INDEX(Cleaned_Products!$D$2:$D$61,MATCH(F15,Cleaned_Products!$A$2:$A$61,0)),"Unknown")</f>
        <v>Gold</v>
      </c>
    </row>
    <row r="16" spans="1:16" x14ac:dyDescent="0.35">
      <c r="A16" s="14" t="s">
        <v>176</v>
      </c>
      <c r="B16" s="21">
        <v>45634</v>
      </c>
      <c r="C16" s="14" t="s">
        <v>3986</v>
      </c>
      <c r="D16" s="14">
        <v>2024</v>
      </c>
      <c r="E16" s="14" t="s">
        <v>178</v>
      </c>
      <c r="F16" s="14" t="s">
        <v>179</v>
      </c>
      <c r="G16" s="14" t="s">
        <v>80</v>
      </c>
      <c r="H16" s="14">
        <v>2</v>
      </c>
      <c r="I16" s="14">
        <v>59710</v>
      </c>
      <c r="J16" s="14">
        <v>0</v>
      </c>
      <c r="K16" s="14">
        <v>119420</v>
      </c>
      <c r="L16" s="14" t="s">
        <v>3974</v>
      </c>
      <c r="M16" s="14" t="s">
        <v>3980</v>
      </c>
      <c r="N16" s="14" t="s">
        <v>180</v>
      </c>
      <c r="O16" s="14" t="str">
        <f>IFERROR(INDEX(Cleaned_Products!$C$2:$C$61,MATCH(F16,Cleaned_Products!$A$2:$A$61,0)),"Unknown")</f>
        <v>Bracelets</v>
      </c>
      <c r="P16" s="14" t="str">
        <f>IFERROR(INDEX(Cleaned_Products!$D$2:$D$61,MATCH(F16,Cleaned_Products!$A$2:$A$61,0)),"Unknown")</f>
        <v>Rose Gold</v>
      </c>
    </row>
    <row r="17" spans="1:16" x14ac:dyDescent="0.35">
      <c r="A17" s="14" t="s">
        <v>181</v>
      </c>
      <c r="B17" s="21">
        <v>44941</v>
      </c>
      <c r="C17" s="14" t="s">
        <v>3987</v>
      </c>
      <c r="D17" s="14">
        <v>2023</v>
      </c>
      <c r="E17" s="14" t="s">
        <v>183</v>
      </c>
      <c r="F17" s="14" t="s">
        <v>167</v>
      </c>
      <c r="G17" s="14" t="s">
        <v>126</v>
      </c>
      <c r="H17" s="14">
        <v>2</v>
      </c>
      <c r="I17" s="14">
        <v>84510</v>
      </c>
      <c r="J17" s="14">
        <v>5</v>
      </c>
      <c r="K17" s="14">
        <v>160569</v>
      </c>
      <c r="L17" s="14" t="s">
        <v>95</v>
      </c>
      <c r="M17" s="14" t="s">
        <v>3975</v>
      </c>
      <c r="N17" s="14" t="s">
        <v>184</v>
      </c>
      <c r="O17" s="14" t="str">
        <f>IFERROR(INDEX(Cleaned_Products!$C$2:$C$61,MATCH(F17,Cleaned_Products!$A$2:$A$61,0)),"Unknown")</f>
        <v>Nose Pins</v>
      </c>
      <c r="P17" s="14" t="str">
        <f>IFERROR(INDEX(Cleaned_Products!$D$2:$D$61,MATCH(F17,Cleaned_Products!$A$2:$A$61,0)),"Unknown")</f>
        <v>Rose Gold</v>
      </c>
    </row>
    <row r="18" spans="1:16" x14ac:dyDescent="0.35">
      <c r="A18" s="14" t="s">
        <v>185</v>
      </c>
      <c r="B18" s="21">
        <v>45211</v>
      </c>
      <c r="C18" s="14" t="s">
        <v>3990</v>
      </c>
      <c r="D18" s="14">
        <v>2023</v>
      </c>
      <c r="E18" s="14" t="s">
        <v>187</v>
      </c>
      <c r="F18" s="14" t="s">
        <v>107</v>
      </c>
      <c r="G18" s="14" t="s">
        <v>80</v>
      </c>
      <c r="H18" s="14">
        <v>3</v>
      </c>
      <c r="I18" s="14">
        <v>223500</v>
      </c>
      <c r="J18" s="14">
        <v>0</v>
      </c>
      <c r="K18" s="14">
        <v>670500</v>
      </c>
      <c r="L18" s="14" t="s">
        <v>73</v>
      </c>
      <c r="M18" s="14" t="s">
        <v>3980</v>
      </c>
      <c r="N18" s="14" t="s">
        <v>189</v>
      </c>
      <c r="O18" s="14" t="str">
        <f>IFERROR(INDEX(Cleaned_Products!$C$2:$C$61,MATCH(F18,Cleaned_Products!$A$2:$A$61,0)),"Unknown")</f>
        <v>Earrings</v>
      </c>
      <c r="P18" s="14" t="str">
        <f>IFERROR(INDEX(Cleaned_Products!$D$2:$D$61,MATCH(F18,Cleaned_Products!$A$2:$A$61,0)),"Unknown")</f>
        <v>Platinum</v>
      </c>
    </row>
    <row r="19" spans="1:16" x14ac:dyDescent="0.35">
      <c r="A19" s="14" t="s">
        <v>190</v>
      </c>
      <c r="B19" s="21">
        <v>44996</v>
      </c>
      <c r="C19" s="14" t="s">
        <v>3982</v>
      </c>
      <c r="D19" s="14">
        <v>2023</v>
      </c>
      <c r="E19" s="14" t="s">
        <v>183</v>
      </c>
      <c r="F19" s="14" t="s">
        <v>192</v>
      </c>
      <c r="G19" s="14" t="s">
        <v>101</v>
      </c>
      <c r="H19" s="14">
        <v>2</v>
      </c>
      <c r="I19" s="14">
        <v>30740</v>
      </c>
      <c r="J19" s="14">
        <v>0</v>
      </c>
      <c r="K19" s="14">
        <v>61480</v>
      </c>
      <c r="L19" s="14" t="s">
        <v>121</v>
      </c>
      <c r="M19" s="14" t="s">
        <v>3975</v>
      </c>
      <c r="N19" s="14" t="s">
        <v>193</v>
      </c>
      <c r="O19" s="14" t="str">
        <f>IFERROR(INDEX(Cleaned_Products!$C$2:$C$61,MATCH(F19,Cleaned_Products!$A$2:$A$61,0)),"Unknown")</f>
        <v>Bangles</v>
      </c>
      <c r="P19" s="14" t="str">
        <f>IFERROR(INDEX(Cleaned_Products!$D$2:$D$61,MATCH(F19,Cleaned_Products!$A$2:$A$61,0)),"Unknown")</f>
        <v>Silver</v>
      </c>
    </row>
    <row r="20" spans="1:16" x14ac:dyDescent="0.35">
      <c r="A20" s="14" t="s">
        <v>194</v>
      </c>
      <c r="B20" s="21">
        <v>45865</v>
      </c>
      <c r="C20" s="14" t="s">
        <v>3991</v>
      </c>
      <c r="D20" s="14">
        <v>2025</v>
      </c>
      <c r="E20" s="14" t="s">
        <v>129</v>
      </c>
      <c r="F20" s="14" t="s">
        <v>196</v>
      </c>
      <c r="G20" s="14" t="s">
        <v>126</v>
      </c>
      <c r="H20" s="14">
        <v>3</v>
      </c>
      <c r="I20" s="14">
        <v>75920</v>
      </c>
      <c r="J20" s="14">
        <v>0</v>
      </c>
      <c r="K20" s="14">
        <v>227760</v>
      </c>
      <c r="L20" s="14" t="s">
        <v>3977</v>
      </c>
      <c r="M20" s="14" t="s">
        <v>3975</v>
      </c>
      <c r="N20" s="14" t="s">
        <v>197</v>
      </c>
      <c r="O20" s="14" t="str">
        <f>IFERROR(INDEX(Cleaned_Products!$C$2:$C$61,MATCH(F20,Cleaned_Products!$A$2:$A$61,0)),"Unknown")</f>
        <v>Pendants</v>
      </c>
      <c r="P20" s="14" t="str">
        <f>IFERROR(INDEX(Cleaned_Products!$D$2:$D$61,MATCH(F20,Cleaned_Products!$A$2:$A$61,0)),"Unknown")</f>
        <v>Diamond</v>
      </c>
    </row>
    <row r="21" spans="1:16" x14ac:dyDescent="0.35">
      <c r="A21" s="14" t="s">
        <v>198</v>
      </c>
      <c r="B21" s="21">
        <v>45506</v>
      </c>
      <c r="C21" s="14" t="s">
        <v>3992</v>
      </c>
      <c r="D21" s="14">
        <v>2024</v>
      </c>
      <c r="E21" s="14" t="s">
        <v>148</v>
      </c>
      <c r="F21" s="14" t="s">
        <v>167</v>
      </c>
      <c r="G21" s="14" t="s">
        <v>64</v>
      </c>
      <c r="H21" s="14">
        <v>3</v>
      </c>
      <c r="I21" s="14">
        <v>13940</v>
      </c>
      <c r="J21" s="14">
        <v>10</v>
      </c>
      <c r="K21" s="14">
        <v>37638</v>
      </c>
      <c r="L21" s="14" t="s">
        <v>3979</v>
      </c>
      <c r="M21" s="14" t="s">
        <v>3975</v>
      </c>
      <c r="N21" s="14" t="s">
        <v>200</v>
      </c>
      <c r="O21" s="14" t="str">
        <f>IFERROR(INDEX(Cleaned_Products!$C$2:$C$61,MATCH(F21,Cleaned_Products!$A$2:$A$61,0)),"Unknown")</f>
        <v>Nose Pins</v>
      </c>
      <c r="P21" s="14" t="str">
        <f>IFERROR(INDEX(Cleaned_Products!$D$2:$D$61,MATCH(F21,Cleaned_Products!$A$2:$A$61,0)),"Unknown")</f>
        <v>Rose Gold</v>
      </c>
    </row>
    <row r="22" spans="1:16" x14ac:dyDescent="0.35">
      <c r="A22" s="14" t="s">
        <v>201</v>
      </c>
      <c r="B22" s="21">
        <v>45320</v>
      </c>
      <c r="C22" s="14" t="s">
        <v>3993</v>
      </c>
      <c r="D22" s="14">
        <v>2024</v>
      </c>
      <c r="E22" s="14" t="s">
        <v>203</v>
      </c>
      <c r="F22" s="14" t="s">
        <v>135</v>
      </c>
      <c r="G22" s="14" t="s">
        <v>56</v>
      </c>
      <c r="H22" s="14">
        <v>1</v>
      </c>
      <c r="I22" s="14">
        <v>13200</v>
      </c>
      <c r="J22" s="14">
        <v>0</v>
      </c>
      <c r="K22" s="14">
        <v>13200</v>
      </c>
      <c r="L22" s="14" t="s">
        <v>3977</v>
      </c>
      <c r="M22" s="14" t="s">
        <v>3980</v>
      </c>
      <c r="N22" s="14" t="s">
        <v>3983</v>
      </c>
      <c r="O22" s="14" t="str">
        <f>IFERROR(INDEX(Cleaned_Products!$C$2:$C$61,MATCH(F22,Cleaned_Products!$A$2:$A$61,0)),"Unknown")</f>
        <v>Necklaces</v>
      </c>
      <c r="P22" s="14" t="str">
        <f>IFERROR(INDEX(Cleaned_Products!$D$2:$D$61,MATCH(F22,Cleaned_Products!$A$2:$A$61,0)),"Unknown")</f>
        <v>Silver</v>
      </c>
    </row>
    <row r="23" spans="1:16" x14ac:dyDescent="0.35">
      <c r="A23" s="14" t="s">
        <v>209</v>
      </c>
      <c r="B23" s="21">
        <v>45070</v>
      </c>
      <c r="C23" s="14" t="s">
        <v>3973</v>
      </c>
      <c r="D23" s="14">
        <v>2023</v>
      </c>
      <c r="E23" s="14" t="s">
        <v>211</v>
      </c>
      <c r="F23" s="14" t="s">
        <v>212</v>
      </c>
      <c r="G23" s="14" t="s">
        <v>126</v>
      </c>
      <c r="H23" s="14">
        <v>3</v>
      </c>
      <c r="I23" s="14">
        <v>35310</v>
      </c>
      <c r="J23" s="14">
        <v>15</v>
      </c>
      <c r="K23" s="14">
        <v>90040.5</v>
      </c>
      <c r="L23" s="14" t="s">
        <v>3979</v>
      </c>
      <c r="M23" s="14" t="s">
        <v>3980</v>
      </c>
      <c r="N23" s="14" t="s">
        <v>213</v>
      </c>
      <c r="O23" s="14" t="str">
        <f>IFERROR(INDEX(Cleaned_Products!$C$2:$C$61,MATCH(F23,Cleaned_Products!$A$2:$A$61,0)),"Unknown")</f>
        <v>Nose Pins</v>
      </c>
      <c r="P23" s="14" t="str">
        <f>IFERROR(INDEX(Cleaned_Products!$D$2:$D$61,MATCH(F23,Cleaned_Products!$A$2:$A$61,0)),"Unknown")</f>
        <v>Platinum</v>
      </c>
    </row>
    <row r="24" spans="1:16" x14ac:dyDescent="0.35">
      <c r="A24" s="14" t="s">
        <v>214</v>
      </c>
      <c r="B24" s="21">
        <v>45107</v>
      </c>
      <c r="C24" s="14" t="s">
        <v>3994</v>
      </c>
      <c r="D24" s="14">
        <v>2023</v>
      </c>
      <c r="E24" s="14" t="s">
        <v>3995</v>
      </c>
      <c r="F24" s="14" t="s">
        <v>216</v>
      </c>
      <c r="G24" s="14" t="s">
        <v>108</v>
      </c>
      <c r="H24" s="14">
        <v>1</v>
      </c>
      <c r="I24" s="14">
        <v>177050</v>
      </c>
      <c r="J24" s="14">
        <v>5</v>
      </c>
      <c r="K24" s="14">
        <v>168197.5</v>
      </c>
      <c r="L24" s="14" t="s">
        <v>95</v>
      </c>
      <c r="M24" s="14" t="s">
        <v>3975</v>
      </c>
      <c r="N24" s="14" t="s">
        <v>217</v>
      </c>
      <c r="O24" s="14" t="str">
        <f>IFERROR(INDEX(Cleaned_Products!$C$2:$C$61,MATCH(F24,Cleaned_Products!$A$2:$A$61,0)),"Unknown")</f>
        <v>Bracelets</v>
      </c>
      <c r="P24" s="14" t="str">
        <f>IFERROR(INDEX(Cleaned_Products!$D$2:$D$61,MATCH(F24,Cleaned_Products!$A$2:$A$61,0)),"Unknown")</f>
        <v>Silver</v>
      </c>
    </row>
    <row r="25" spans="1:16" x14ac:dyDescent="0.35">
      <c r="A25" s="14" t="s">
        <v>223</v>
      </c>
      <c r="B25" s="21">
        <v>45855</v>
      </c>
      <c r="C25" s="14" t="s">
        <v>3991</v>
      </c>
      <c r="D25" s="14">
        <v>2025</v>
      </c>
      <c r="E25" s="14" t="s">
        <v>225</v>
      </c>
      <c r="F25" s="14" t="s">
        <v>226</v>
      </c>
      <c r="G25" s="14" t="s">
        <v>113</v>
      </c>
      <c r="H25" s="14">
        <v>2</v>
      </c>
      <c r="I25" s="14">
        <v>88420</v>
      </c>
      <c r="J25" s="14">
        <v>0</v>
      </c>
      <c r="K25" s="14">
        <v>176840</v>
      </c>
      <c r="L25" s="14" t="s">
        <v>73</v>
      </c>
      <c r="M25" s="14" t="s">
        <v>3975</v>
      </c>
      <c r="N25" s="14" t="s">
        <v>227</v>
      </c>
      <c r="O25" s="14" t="str">
        <f>IFERROR(INDEX(Cleaned_Products!$C$2:$C$61,MATCH(F25,Cleaned_Products!$A$2:$A$61,0)),"Unknown")</f>
        <v>Earrings</v>
      </c>
      <c r="P25" s="14" t="str">
        <f>IFERROR(INDEX(Cleaned_Products!$D$2:$D$61,MATCH(F25,Cleaned_Products!$A$2:$A$61,0)),"Unknown")</f>
        <v>Diamond</v>
      </c>
    </row>
    <row r="26" spans="1:16" x14ac:dyDescent="0.35">
      <c r="A26" s="14" t="s">
        <v>228</v>
      </c>
      <c r="B26" s="21">
        <v>45309</v>
      </c>
      <c r="C26" s="14" t="s">
        <v>3993</v>
      </c>
      <c r="D26" s="14">
        <v>2024</v>
      </c>
      <c r="E26" s="14" t="s">
        <v>230</v>
      </c>
      <c r="F26" s="14" t="s">
        <v>231</v>
      </c>
      <c r="G26" s="14" t="s">
        <v>126</v>
      </c>
      <c r="H26" s="14">
        <v>1</v>
      </c>
      <c r="I26" s="14">
        <v>121920</v>
      </c>
      <c r="J26" s="14">
        <v>0</v>
      </c>
      <c r="K26" s="14">
        <v>121920</v>
      </c>
      <c r="L26" s="14" t="s">
        <v>73</v>
      </c>
      <c r="M26" s="14" t="s">
        <v>3980</v>
      </c>
      <c r="N26" s="14" t="s">
        <v>3983</v>
      </c>
      <c r="O26" s="14" t="str">
        <f>IFERROR(INDEX(Cleaned_Products!$C$2:$C$61,MATCH(F26,Cleaned_Products!$A$2:$A$61,0)),"Unknown")</f>
        <v>Nose Pins</v>
      </c>
      <c r="P26" s="14" t="str">
        <f>IFERROR(INDEX(Cleaned_Products!$D$2:$D$61,MATCH(F26,Cleaned_Products!$A$2:$A$61,0)),"Unknown")</f>
        <v>Platinum</v>
      </c>
    </row>
    <row r="27" spans="1:16" x14ac:dyDescent="0.35">
      <c r="A27" s="14" t="s">
        <v>237</v>
      </c>
      <c r="B27" s="21">
        <v>45198</v>
      </c>
      <c r="C27" s="14" t="s">
        <v>3996</v>
      </c>
      <c r="D27" s="14">
        <v>2023</v>
      </c>
      <c r="E27" s="14" t="s">
        <v>239</v>
      </c>
      <c r="F27" s="14" t="s">
        <v>240</v>
      </c>
      <c r="G27" s="14" t="s">
        <v>80</v>
      </c>
      <c r="H27" s="14">
        <v>3</v>
      </c>
      <c r="I27" s="14">
        <v>67140</v>
      </c>
      <c r="J27" s="14">
        <v>0</v>
      </c>
      <c r="K27" s="14">
        <v>201420</v>
      </c>
      <c r="L27" s="14" t="s">
        <v>3979</v>
      </c>
      <c r="M27" s="14" t="s">
        <v>3975</v>
      </c>
      <c r="N27" s="14" t="s">
        <v>242</v>
      </c>
      <c r="O27" s="14" t="str">
        <f>IFERROR(INDEX(Cleaned_Products!$C$2:$C$61,MATCH(F27,Cleaned_Products!$A$2:$A$61,0)),"Unknown")</f>
        <v>Bangles</v>
      </c>
      <c r="P27" s="14" t="str">
        <f>IFERROR(INDEX(Cleaned_Products!$D$2:$D$61,MATCH(F27,Cleaned_Products!$A$2:$A$61,0)),"Unknown")</f>
        <v>Platinum</v>
      </c>
    </row>
    <row r="28" spans="1:16" x14ac:dyDescent="0.35">
      <c r="A28" s="14" t="s">
        <v>252</v>
      </c>
      <c r="B28" s="21">
        <v>45818</v>
      </c>
      <c r="C28" s="14" t="s">
        <v>3997</v>
      </c>
      <c r="D28" s="14">
        <v>2025</v>
      </c>
      <c r="E28" s="14" t="s">
        <v>254</v>
      </c>
      <c r="F28" s="14" t="s">
        <v>255</v>
      </c>
      <c r="G28" s="14" t="s">
        <v>113</v>
      </c>
      <c r="H28" s="14">
        <v>3</v>
      </c>
      <c r="I28" s="14">
        <v>237260</v>
      </c>
      <c r="J28" s="14">
        <v>15</v>
      </c>
      <c r="K28" s="14">
        <v>605013</v>
      </c>
      <c r="L28" s="14" t="s">
        <v>121</v>
      </c>
      <c r="M28" s="14" t="s">
        <v>3975</v>
      </c>
      <c r="N28" s="14" t="s">
        <v>256</v>
      </c>
      <c r="O28" s="14" t="str">
        <f>IFERROR(INDEX(Cleaned_Products!$C$2:$C$61,MATCH(F28,Cleaned_Products!$A$2:$A$61,0)),"Unknown")</f>
        <v>Bracelets</v>
      </c>
      <c r="P28" s="14" t="str">
        <f>IFERROR(INDEX(Cleaned_Products!$D$2:$D$61,MATCH(F28,Cleaned_Products!$A$2:$A$61,0)),"Unknown")</f>
        <v>Rose Gold</v>
      </c>
    </row>
    <row r="29" spans="1:16" x14ac:dyDescent="0.35">
      <c r="A29" s="14" t="s">
        <v>257</v>
      </c>
      <c r="B29" s="21">
        <v>45654</v>
      </c>
      <c r="C29" s="14" t="s">
        <v>3986</v>
      </c>
      <c r="D29" s="14">
        <v>2024</v>
      </c>
      <c r="E29" s="14" t="s">
        <v>3995</v>
      </c>
      <c r="F29" s="14" t="s">
        <v>259</v>
      </c>
      <c r="G29" s="14" t="s">
        <v>56</v>
      </c>
      <c r="H29" s="14">
        <v>1</v>
      </c>
      <c r="I29" s="14">
        <v>84670</v>
      </c>
      <c r="J29" s="14">
        <v>5</v>
      </c>
      <c r="K29" s="14">
        <v>80436.5</v>
      </c>
      <c r="L29" s="14" t="s">
        <v>95</v>
      </c>
      <c r="M29" s="14" t="s">
        <v>3975</v>
      </c>
      <c r="N29" s="14" t="s">
        <v>260</v>
      </c>
      <c r="O29" s="14" t="str">
        <f>IFERROR(INDEX(Cleaned_Products!$C$2:$C$61,MATCH(F29,Cleaned_Products!$A$2:$A$61,0)),"Unknown")</f>
        <v>Pendants</v>
      </c>
      <c r="P29" s="14" t="str">
        <f>IFERROR(INDEX(Cleaned_Products!$D$2:$D$61,MATCH(F29,Cleaned_Products!$A$2:$A$61,0)),"Unknown")</f>
        <v>Platinum</v>
      </c>
    </row>
    <row r="30" spans="1:16" x14ac:dyDescent="0.35">
      <c r="A30" s="14" t="s">
        <v>261</v>
      </c>
      <c r="B30" s="21">
        <v>45183</v>
      </c>
      <c r="C30" s="14" t="s">
        <v>3996</v>
      </c>
      <c r="D30" s="14">
        <v>2023</v>
      </c>
      <c r="E30" s="14" t="s">
        <v>263</v>
      </c>
      <c r="F30" s="14" t="s">
        <v>264</v>
      </c>
      <c r="G30" s="14" t="s">
        <v>64</v>
      </c>
      <c r="H30" s="14">
        <v>3</v>
      </c>
      <c r="I30" s="14">
        <v>91860</v>
      </c>
      <c r="J30" s="14">
        <v>10</v>
      </c>
      <c r="K30" s="14">
        <v>248022</v>
      </c>
      <c r="L30" s="14" t="s">
        <v>3979</v>
      </c>
      <c r="M30" s="14" t="s">
        <v>3980</v>
      </c>
      <c r="N30" s="14" t="s">
        <v>3983</v>
      </c>
      <c r="O30" s="14" t="str">
        <f>IFERROR(INDEX(Cleaned_Products!$C$2:$C$61,MATCH(F30,Cleaned_Products!$A$2:$A$61,0)),"Unknown")</f>
        <v>Pendants</v>
      </c>
      <c r="P30" s="14" t="str">
        <f>IFERROR(INDEX(Cleaned_Products!$D$2:$D$61,MATCH(F30,Cleaned_Products!$A$2:$A$61,0)),"Unknown")</f>
        <v>Silver</v>
      </c>
    </row>
    <row r="31" spans="1:16" x14ac:dyDescent="0.35">
      <c r="A31" s="14" t="s">
        <v>265</v>
      </c>
      <c r="B31" s="21">
        <v>45152</v>
      </c>
      <c r="C31" s="14" t="s">
        <v>3998</v>
      </c>
      <c r="D31" s="14">
        <v>2023</v>
      </c>
      <c r="E31" s="14" t="s">
        <v>267</v>
      </c>
      <c r="F31" s="14" t="s">
        <v>212</v>
      </c>
      <c r="G31" s="14" t="s">
        <v>56</v>
      </c>
      <c r="H31" s="14">
        <v>1</v>
      </c>
      <c r="I31" s="14">
        <v>77320</v>
      </c>
      <c r="J31" s="14">
        <v>10</v>
      </c>
      <c r="K31" s="14">
        <v>69588</v>
      </c>
      <c r="L31" s="14" t="s">
        <v>3979</v>
      </c>
      <c r="M31" s="14" t="s">
        <v>3980</v>
      </c>
      <c r="N31" s="14" t="s">
        <v>3983</v>
      </c>
      <c r="O31" s="14" t="str">
        <f>IFERROR(INDEX(Cleaned_Products!$C$2:$C$61,MATCH(F31,Cleaned_Products!$A$2:$A$61,0)),"Unknown")</f>
        <v>Nose Pins</v>
      </c>
      <c r="P31" s="14" t="str">
        <f>IFERROR(INDEX(Cleaned_Products!$D$2:$D$61,MATCH(F31,Cleaned_Products!$A$2:$A$61,0)),"Unknown")</f>
        <v>Platinum</v>
      </c>
    </row>
    <row r="32" spans="1:16" x14ac:dyDescent="0.35">
      <c r="A32" s="14" t="s">
        <v>269</v>
      </c>
      <c r="B32" s="21">
        <v>45326</v>
      </c>
      <c r="C32" s="14" t="s">
        <v>3999</v>
      </c>
      <c r="D32" s="14">
        <v>2024</v>
      </c>
      <c r="E32" s="14" t="s">
        <v>139</v>
      </c>
      <c r="F32" s="14" t="s">
        <v>255</v>
      </c>
      <c r="G32" s="14" t="s">
        <v>72</v>
      </c>
      <c r="H32" s="14">
        <v>1</v>
      </c>
      <c r="I32" s="14">
        <v>75040</v>
      </c>
      <c r="J32" s="14">
        <v>0</v>
      </c>
      <c r="K32" s="14">
        <v>75040</v>
      </c>
      <c r="L32" s="14" t="s">
        <v>73</v>
      </c>
      <c r="M32" s="14" t="s">
        <v>3980</v>
      </c>
      <c r="N32" s="14" t="s">
        <v>271</v>
      </c>
      <c r="O32" s="14" t="str">
        <f>IFERROR(INDEX(Cleaned_Products!$C$2:$C$61,MATCH(F32,Cleaned_Products!$A$2:$A$61,0)),"Unknown")</f>
        <v>Bracelets</v>
      </c>
      <c r="P32" s="14" t="str">
        <f>IFERROR(INDEX(Cleaned_Products!$D$2:$D$61,MATCH(F32,Cleaned_Products!$A$2:$A$61,0)),"Unknown")</f>
        <v>Rose Gold</v>
      </c>
    </row>
    <row r="33" spans="1:16" x14ac:dyDescent="0.35">
      <c r="A33" s="14" t="s">
        <v>272</v>
      </c>
      <c r="B33" s="21">
        <v>45510</v>
      </c>
      <c r="C33" s="14" t="s">
        <v>3992</v>
      </c>
      <c r="D33" s="14">
        <v>2024</v>
      </c>
      <c r="E33" s="14" t="s">
        <v>211</v>
      </c>
      <c r="F33" s="14" t="s">
        <v>249</v>
      </c>
      <c r="G33" s="14" t="s">
        <v>72</v>
      </c>
      <c r="H33" s="14">
        <v>3</v>
      </c>
      <c r="I33" s="14">
        <v>247610</v>
      </c>
      <c r="J33" s="14">
        <v>0</v>
      </c>
      <c r="K33" s="14">
        <v>742830</v>
      </c>
      <c r="L33" s="14" t="s">
        <v>121</v>
      </c>
      <c r="M33" s="14" t="s">
        <v>3980</v>
      </c>
      <c r="N33" s="14" t="s">
        <v>274</v>
      </c>
      <c r="O33" s="14" t="str">
        <f>IFERROR(INDEX(Cleaned_Products!$C$2:$C$61,MATCH(F33,Cleaned_Products!$A$2:$A$61,0)),"Unknown")</f>
        <v>Pendants</v>
      </c>
      <c r="P33" s="14" t="str">
        <f>IFERROR(INDEX(Cleaned_Products!$D$2:$D$61,MATCH(F33,Cleaned_Products!$A$2:$A$61,0)),"Unknown")</f>
        <v>Rose Gold</v>
      </c>
    </row>
    <row r="34" spans="1:16" x14ac:dyDescent="0.35">
      <c r="A34" s="14" t="s">
        <v>275</v>
      </c>
      <c r="B34" s="21">
        <v>45384</v>
      </c>
      <c r="C34" s="14" t="s">
        <v>4000</v>
      </c>
      <c r="D34" s="14">
        <v>2024</v>
      </c>
      <c r="E34" s="14" t="s">
        <v>277</v>
      </c>
      <c r="F34" s="14" t="s">
        <v>278</v>
      </c>
      <c r="G34" s="14" t="s">
        <v>80</v>
      </c>
      <c r="H34" s="14">
        <v>1</v>
      </c>
      <c r="I34" s="14">
        <v>146150</v>
      </c>
      <c r="J34" s="14">
        <v>15</v>
      </c>
      <c r="K34" s="14">
        <v>124227.5</v>
      </c>
      <c r="L34" s="14" t="s">
        <v>121</v>
      </c>
      <c r="M34" s="14" t="s">
        <v>3975</v>
      </c>
      <c r="N34" s="14" t="s">
        <v>279</v>
      </c>
      <c r="O34" s="14" t="str">
        <f>IFERROR(INDEX(Cleaned_Products!$C$2:$C$61,MATCH(F34,Cleaned_Products!$A$2:$A$61,0)),"Unknown")</f>
        <v>Earrings</v>
      </c>
      <c r="P34" s="14" t="str">
        <f>IFERROR(INDEX(Cleaned_Products!$D$2:$D$61,MATCH(F34,Cleaned_Products!$A$2:$A$61,0)),"Unknown")</f>
        <v>Diamond</v>
      </c>
    </row>
    <row r="35" spans="1:16" x14ac:dyDescent="0.35">
      <c r="A35" s="14" t="s">
        <v>288</v>
      </c>
      <c r="B35" s="21">
        <v>44981</v>
      </c>
      <c r="C35" s="14" t="s">
        <v>4001</v>
      </c>
      <c r="D35" s="14">
        <v>2023</v>
      </c>
      <c r="E35" s="14" t="s">
        <v>290</v>
      </c>
      <c r="F35" s="14" t="s">
        <v>278</v>
      </c>
      <c r="G35" s="14" t="s">
        <v>108</v>
      </c>
      <c r="H35" s="14">
        <v>1</v>
      </c>
      <c r="I35" s="14">
        <v>215870</v>
      </c>
      <c r="J35" s="14">
        <v>10</v>
      </c>
      <c r="K35" s="14">
        <v>194283</v>
      </c>
      <c r="L35" s="14" t="s">
        <v>3974</v>
      </c>
      <c r="M35" s="14" t="s">
        <v>3975</v>
      </c>
      <c r="N35" s="14" t="s">
        <v>291</v>
      </c>
      <c r="O35" s="14" t="str">
        <f>IFERROR(INDEX(Cleaned_Products!$C$2:$C$61,MATCH(F35,Cleaned_Products!$A$2:$A$61,0)),"Unknown")</f>
        <v>Earrings</v>
      </c>
      <c r="P35" s="14" t="str">
        <f>IFERROR(INDEX(Cleaned_Products!$D$2:$D$61,MATCH(F35,Cleaned_Products!$A$2:$A$61,0)),"Unknown")</f>
        <v>Diamond</v>
      </c>
    </row>
    <row r="36" spans="1:16" x14ac:dyDescent="0.35">
      <c r="A36" s="14" t="s">
        <v>292</v>
      </c>
      <c r="B36" s="21">
        <v>45234</v>
      </c>
      <c r="C36" s="14" t="s">
        <v>3978</v>
      </c>
      <c r="D36" s="14">
        <v>2023</v>
      </c>
      <c r="E36" s="14" t="s">
        <v>294</v>
      </c>
      <c r="F36" s="14" t="s">
        <v>295</v>
      </c>
      <c r="G36" s="14" t="s">
        <v>126</v>
      </c>
      <c r="H36" s="14">
        <v>1</v>
      </c>
      <c r="I36" s="14">
        <v>182000</v>
      </c>
      <c r="J36" s="14">
        <v>5</v>
      </c>
      <c r="K36" s="14">
        <v>172900</v>
      </c>
      <c r="L36" s="14" t="s">
        <v>3974</v>
      </c>
      <c r="M36" s="14" t="s">
        <v>3980</v>
      </c>
      <c r="N36" s="14" t="s">
        <v>3983</v>
      </c>
      <c r="O36" s="14" t="str">
        <f>IFERROR(INDEX(Cleaned_Products!$C$2:$C$61,MATCH(F36,Cleaned_Products!$A$2:$A$61,0)),"Unknown")</f>
        <v>Necklaces</v>
      </c>
      <c r="P36" s="14" t="str">
        <f>IFERROR(INDEX(Cleaned_Products!$D$2:$D$61,MATCH(F36,Cleaned_Products!$A$2:$A$61,0)),"Unknown")</f>
        <v>Silver</v>
      </c>
    </row>
    <row r="37" spans="1:16" x14ac:dyDescent="0.35">
      <c r="A37" s="14" t="s">
        <v>296</v>
      </c>
      <c r="B37" s="21">
        <v>45406</v>
      </c>
      <c r="C37" s="14" t="s">
        <v>4000</v>
      </c>
      <c r="D37" s="14">
        <v>2024</v>
      </c>
      <c r="E37" s="14" t="s">
        <v>298</v>
      </c>
      <c r="F37" s="14" t="s">
        <v>71</v>
      </c>
      <c r="G37" s="14" t="s">
        <v>64</v>
      </c>
      <c r="H37" s="14">
        <v>3</v>
      </c>
      <c r="I37" s="14">
        <v>154150</v>
      </c>
      <c r="J37" s="14">
        <v>0</v>
      </c>
      <c r="K37" s="14">
        <v>462450</v>
      </c>
      <c r="L37" s="14" t="s">
        <v>73</v>
      </c>
      <c r="M37" s="14" t="s">
        <v>3980</v>
      </c>
      <c r="N37" s="14" t="s">
        <v>3983</v>
      </c>
      <c r="O37" s="14" t="str">
        <f>IFERROR(INDEX(Cleaned_Products!$C$2:$C$61,MATCH(F37,Cleaned_Products!$A$2:$A$61,0)),"Unknown")</f>
        <v>Bracelets</v>
      </c>
      <c r="P37" s="14" t="str">
        <f>IFERROR(INDEX(Cleaned_Products!$D$2:$D$61,MATCH(F37,Cleaned_Products!$A$2:$A$61,0)),"Unknown")</f>
        <v>Rose Gold</v>
      </c>
    </row>
    <row r="38" spans="1:16" x14ac:dyDescent="0.35">
      <c r="A38" s="14" t="s">
        <v>304</v>
      </c>
      <c r="B38" s="21">
        <v>45167</v>
      </c>
      <c r="C38" s="14" t="s">
        <v>3998</v>
      </c>
      <c r="D38" s="14">
        <v>2023</v>
      </c>
      <c r="E38" s="14" t="s">
        <v>306</v>
      </c>
      <c r="F38" s="14" t="s">
        <v>135</v>
      </c>
      <c r="G38" s="14" t="s">
        <v>113</v>
      </c>
      <c r="H38" s="14">
        <v>3</v>
      </c>
      <c r="I38" s="14">
        <v>220700</v>
      </c>
      <c r="J38" s="14">
        <v>5</v>
      </c>
      <c r="K38" s="14">
        <v>628995</v>
      </c>
      <c r="L38" s="14" t="s">
        <v>121</v>
      </c>
      <c r="M38" s="14" t="s">
        <v>3980</v>
      </c>
      <c r="N38" s="14" t="s">
        <v>3983</v>
      </c>
      <c r="O38" s="14" t="str">
        <f>IFERROR(INDEX(Cleaned_Products!$C$2:$C$61,MATCH(F38,Cleaned_Products!$A$2:$A$61,0)),"Unknown")</f>
        <v>Necklaces</v>
      </c>
      <c r="P38" s="14" t="str">
        <f>IFERROR(INDEX(Cleaned_Products!$D$2:$D$61,MATCH(F38,Cleaned_Products!$A$2:$A$61,0)),"Unknown")</f>
        <v>Silver</v>
      </c>
    </row>
    <row r="39" spans="1:16" x14ac:dyDescent="0.35">
      <c r="A39" s="14" t="s">
        <v>317</v>
      </c>
      <c r="B39" s="21">
        <v>45728</v>
      </c>
      <c r="C39" s="14" t="s">
        <v>4002</v>
      </c>
      <c r="D39" s="14">
        <v>2025</v>
      </c>
      <c r="E39" s="14" t="s">
        <v>319</v>
      </c>
      <c r="F39" s="14" t="s">
        <v>112</v>
      </c>
      <c r="G39" s="14" t="s">
        <v>80</v>
      </c>
      <c r="H39" s="14">
        <v>1</v>
      </c>
      <c r="I39" s="14">
        <v>111880</v>
      </c>
      <c r="J39" s="14">
        <v>0</v>
      </c>
      <c r="K39" s="14">
        <v>111880</v>
      </c>
      <c r="L39" s="14" t="s">
        <v>3977</v>
      </c>
      <c r="M39" s="14" t="s">
        <v>3980</v>
      </c>
      <c r="N39" s="14" t="s">
        <v>3983</v>
      </c>
      <c r="O39" s="14" t="str">
        <f>IFERROR(INDEX(Cleaned_Products!$C$2:$C$61,MATCH(F39,Cleaned_Products!$A$2:$A$61,0)),"Unknown")</f>
        <v>Bangles</v>
      </c>
      <c r="P39" s="14" t="str">
        <f>IFERROR(INDEX(Cleaned_Products!$D$2:$D$61,MATCH(F39,Cleaned_Products!$A$2:$A$61,0)),"Unknown")</f>
        <v>Rose Gold</v>
      </c>
    </row>
    <row r="40" spans="1:16" x14ac:dyDescent="0.35">
      <c r="A40" s="14" t="s">
        <v>323</v>
      </c>
      <c r="B40" s="21">
        <v>45615</v>
      </c>
      <c r="C40" s="14" t="s">
        <v>3976</v>
      </c>
      <c r="D40" s="14">
        <v>2024</v>
      </c>
      <c r="E40" s="14" t="s">
        <v>325</v>
      </c>
      <c r="F40" s="14" t="s">
        <v>310</v>
      </c>
      <c r="G40" s="14" t="s">
        <v>108</v>
      </c>
      <c r="H40" s="14">
        <v>1</v>
      </c>
      <c r="I40" s="14">
        <v>191150</v>
      </c>
      <c r="J40" s="14">
        <v>0</v>
      </c>
      <c r="K40" s="14">
        <v>191150</v>
      </c>
      <c r="L40" s="14" t="s">
        <v>73</v>
      </c>
      <c r="M40" s="14" t="s">
        <v>3975</v>
      </c>
      <c r="N40" s="14" t="s">
        <v>326</v>
      </c>
      <c r="O40" s="14" t="str">
        <f>IFERROR(INDEX(Cleaned_Products!$C$2:$C$61,MATCH(F40,Cleaned_Products!$A$2:$A$61,0)),"Unknown")</f>
        <v>Pendants</v>
      </c>
      <c r="P40" s="14" t="str">
        <f>IFERROR(INDEX(Cleaned_Products!$D$2:$D$61,MATCH(F40,Cleaned_Products!$A$2:$A$61,0)),"Unknown")</f>
        <v>Gold</v>
      </c>
    </row>
    <row r="41" spans="1:16" x14ac:dyDescent="0.35">
      <c r="A41" s="14" t="s">
        <v>327</v>
      </c>
      <c r="B41" s="21">
        <v>45591</v>
      </c>
      <c r="C41" s="14" t="s">
        <v>3981</v>
      </c>
      <c r="D41" s="14">
        <v>2024</v>
      </c>
      <c r="E41" s="14" t="s">
        <v>178</v>
      </c>
      <c r="F41" s="14" t="s">
        <v>329</v>
      </c>
      <c r="G41" s="14" t="s">
        <v>126</v>
      </c>
      <c r="H41" s="14">
        <v>1</v>
      </c>
      <c r="I41" s="14">
        <v>78030</v>
      </c>
      <c r="J41" s="14">
        <v>0</v>
      </c>
      <c r="K41" s="14">
        <v>78030</v>
      </c>
      <c r="L41" s="14" t="s">
        <v>3974</v>
      </c>
      <c r="M41" s="14" t="s">
        <v>3980</v>
      </c>
      <c r="N41" s="14" t="s">
        <v>330</v>
      </c>
      <c r="O41" s="14" t="str">
        <f>IFERROR(INDEX(Cleaned_Products!$C$2:$C$61,MATCH(F41,Cleaned_Products!$A$2:$A$61,0)),"Unknown")</f>
        <v>Nose Pins</v>
      </c>
      <c r="P41" s="14" t="str">
        <f>IFERROR(INDEX(Cleaned_Products!$D$2:$D$61,MATCH(F41,Cleaned_Products!$A$2:$A$61,0)),"Unknown")</f>
        <v>Gold</v>
      </c>
    </row>
    <row r="42" spans="1:16" x14ac:dyDescent="0.35">
      <c r="A42" s="14" t="s">
        <v>331</v>
      </c>
      <c r="B42" s="21">
        <v>45540</v>
      </c>
      <c r="C42" s="14" t="s">
        <v>4003</v>
      </c>
      <c r="D42" s="14">
        <v>2024</v>
      </c>
      <c r="E42" s="14" t="s">
        <v>333</v>
      </c>
      <c r="F42" s="14" t="s">
        <v>207</v>
      </c>
      <c r="G42" s="14" t="s">
        <v>126</v>
      </c>
      <c r="H42" s="14">
        <v>2</v>
      </c>
      <c r="I42" s="14">
        <v>8450</v>
      </c>
      <c r="J42" s="14">
        <v>0</v>
      </c>
      <c r="K42" s="14">
        <v>16900</v>
      </c>
      <c r="L42" s="14" t="s">
        <v>95</v>
      </c>
      <c r="M42" s="14" t="s">
        <v>3975</v>
      </c>
      <c r="N42" s="14" t="s">
        <v>335</v>
      </c>
      <c r="O42" s="14" t="str">
        <f>IFERROR(INDEX(Cleaned_Products!$C$2:$C$61,MATCH(F42,Cleaned_Products!$A$2:$A$61,0)),"Unknown")</f>
        <v>Anklets</v>
      </c>
      <c r="P42" s="14" t="str">
        <f>IFERROR(INDEX(Cleaned_Products!$D$2:$D$61,MATCH(F42,Cleaned_Products!$A$2:$A$61,0)),"Unknown")</f>
        <v>Silver</v>
      </c>
    </row>
    <row r="43" spans="1:16" x14ac:dyDescent="0.35">
      <c r="A43" s="14" t="s">
        <v>336</v>
      </c>
      <c r="B43" s="21">
        <v>45807</v>
      </c>
      <c r="C43" s="14" t="s">
        <v>4004</v>
      </c>
      <c r="D43" s="14">
        <v>2025</v>
      </c>
      <c r="E43" s="14" t="s">
        <v>148</v>
      </c>
      <c r="F43" s="14" t="s">
        <v>231</v>
      </c>
      <c r="G43" s="14" t="s">
        <v>108</v>
      </c>
      <c r="H43" s="14">
        <v>1</v>
      </c>
      <c r="I43" s="14">
        <v>213370</v>
      </c>
      <c r="J43" s="14">
        <v>10</v>
      </c>
      <c r="K43" s="14">
        <v>192033</v>
      </c>
      <c r="L43" s="14" t="s">
        <v>73</v>
      </c>
      <c r="M43" s="14" t="s">
        <v>3980</v>
      </c>
      <c r="N43" s="14" t="s">
        <v>338</v>
      </c>
      <c r="O43" s="14" t="str">
        <f>IFERROR(INDEX(Cleaned_Products!$C$2:$C$61,MATCH(F43,Cleaned_Products!$A$2:$A$61,0)),"Unknown")</f>
        <v>Nose Pins</v>
      </c>
      <c r="P43" s="14" t="str">
        <f>IFERROR(INDEX(Cleaned_Products!$D$2:$D$61,MATCH(F43,Cleaned_Products!$A$2:$A$61,0)),"Unknown")</f>
        <v>Platinum</v>
      </c>
    </row>
    <row r="44" spans="1:16" x14ac:dyDescent="0.35">
      <c r="A44" s="14" t="s">
        <v>343</v>
      </c>
      <c r="B44" s="21">
        <v>45815</v>
      </c>
      <c r="C44" s="14" t="s">
        <v>3997</v>
      </c>
      <c r="D44" s="14">
        <v>2025</v>
      </c>
      <c r="E44" s="14" t="s">
        <v>134</v>
      </c>
      <c r="F44" s="14" t="s">
        <v>179</v>
      </c>
      <c r="G44" s="14" t="s">
        <v>72</v>
      </c>
      <c r="H44" s="14">
        <v>1</v>
      </c>
      <c r="I44" s="14">
        <v>5630</v>
      </c>
      <c r="J44" s="14">
        <v>15</v>
      </c>
      <c r="K44" s="14">
        <v>4785.5</v>
      </c>
      <c r="L44" s="14" t="s">
        <v>3974</v>
      </c>
      <c r="M44" s="14" t="s">
        <v>3975</v>
      </c>
      <c r="N44" s="14" t="s">
        <v>345</v>
      </c>
      <c r="O44" s="14" t="str">
        <f>IFERROR(INDEX(Cleaned_Products!$C$2:$C$61,MATCH(F44,Cleaned_Products!$A$2:$A$61,0)),"Unknown")</f>
        <v>Bracelets</v>
      </c>
      <c r="P44" s="14" t="str">
        <f>IFERROR(INDEX(Cleaned_Products!$D$2:$D$61,MATCH(F44,Cleaned_Products!$A$2:$A$61,0)),"Unknown")</f>
        <v>Rose Gold</v>
      </c>
    </row>
    <row r="45" spans="1:16" x14ac:dyDescent="0.35">
      <c r="A45" s="14" t="s">
        <v>346</v>
      </c>
      <c r="B45" s="21">
        <v>45680</v>
      </c>
      <c r="C45" s="14" t="s">
        <v>4005</v>
      </c>
      <c r="D45" s="14">
        <v>2025</v>
      </c>
      <c r="E45" s="14" t="s">
        <v>347</v>
      </c>
      <c r="F45" s="14" t="s">
        <v>348</v>
      </c>
      <c r="G45" s="14" t="s">
        <v>56</v>
      </c>
      <c r="H45" s="14">
        <v>2</v>
      </c>
      <c r="I45" s="14">
        <v>189560</v>
      </c>
      <c r="J45" s="14">
        <v>0</v>
      </c>
      <c r="K45" s="14">
        <v>379120</v>
      </c>
      <c r="L45" s="14" t="s">
        <v>3974</v>
      </c>
      <c r="M45" s="14" t="s">
        <v>3980</v>
      </c>
      <c r="N45" s="14" t="s">
        <v>3983</v>
      </c>
      <c r="O45" s="14" t="str">
        <f>IFERROR(INDEX(Cleaned_Products!$C$2:$C$61,MATCH(F45,Cleaned_Products!$A$2:$A$61,0)),"Unknown")</f>
        <v>Rings</v>
      </c>
      <c r="P45" s="14" t="str">
        <f>IFERROR(INDEX(Cleaned_Products!$D$2:$D$61,MATCH(F45,Cleaned_Products!$A$2:$A$61,0)),"Unknown")</f>
        <v>Gold</v>
      </c>
    </row>
    <row r="46" spans="1:16" x14ac:dyDescent="0.35">
      <c r="A46" s="14" t="s">
        <v>350</v>
      </c>
      <c r="B46" s="21">
        <v>45721</v>
      </c>
      <c r="C46" s="14" t="s">
        <v>4002</v>
      </c>
      <c r="D46" s="14">
        <v>2025</v>
      </c>
      <c r="E46" s="14" t="s">
        <v>352</v>
      </c>
      <c r="F46" s="14" t="s">
        <v>226</v>
      </c>
      <c r="G46" s="14" t="s">
        <v>101</v>
      </c>
      <c r="H46" s="14">
        <v>1</v>
      </c>
      <c r="I46" s="14">
        <v>156450</v>
      </c>
      <c r="J46" s="14">
        <v>10</v>
      </c>
      <c r="K46" s="14">
        <v>140805</v>
      </c>
      <c r="L46" s="14" t="s">
        <v>3977</v>
      </c>
      <c r="M46" s="14" t="s">
        <v>3980</v>
      </c>
      <c r="N46" s="14" t="s">
        <v>3983</v>
      </c>
      <c r="O46" s="14" t="str">
        <f>IFERROR(INDEX(Cleaned_Products!$C$2:$C$61,MATCH(F46,Cleaned_Products!$A$2:$A$61,0)),"Unknown")</f>
        <v>Earrings</v>
      </c>
      <c r="P46" s="14" t="str">
        <f>IFERROR(INDEX(Cleaned_Products!$D$2:$D$61,MATCH(F46,Cleaned_Products!$A$2:$A$61,0)),"Unknown")</f>
        <v>Diamond</v>
      </c>
    </row>
    <row r="47" spans="1:16" x14ac:dyDescent="0.35">
      <c r="A47" s="14" t="s">
        <v>357</v>
      </c>
      <c r="B47" s="21">
        <v>45410</v>
      </c>
      <c r="C47" s="14" t="s">
        <v>4000</v>
      </c>
      <c r="D47" s="14">
        <v>2024</v>
      </c>
      <c r="E47" s="14" t="s">
        <v>359</v>
      </c>
      <c r="F47" s="14" t="s">
        <v>360</v>
      </c>
      <c r="G47" s="14" t="s">
        <v>126</v>
      </c>
      <c r="H47" s="14">
        <v>1</v>
      </c>
      <c r="I47" s="14">
        <v>126340</v>
      </c>
      <c r="J47" s="14">
        <v>15</v>
      </c>
      <c r="K47" s="14">
        <v>107389</v>
      </c>
      <c r="L47" s="14" t="s">
        <v>121</v>
      </c>
      <c r="M47" s="14" t="s">
        <v>3975</v>
      </c>
      <c r="N47" s="14" t="s">
        <v>362</v>
      </c>
      <c r="O47" s="14" t="str">
        <f>IFERROR(INDEX(Cleaned_Products!$C$2:$C$61,MATCH(F47,Cleaned_Products!$A$2:$A$61,0)),"Unknown")</f>
        <v>Pendants</v>
      </c>
      <c r="P47" s="14" t="str">
        <f>IFERROR(INDEX(Cleaned_Products!$D$2:$D$61,MATCH(F47,Cleaned_Products!$A$2:$A$61,0)),"Unknown")</f>
        <v>Diamond</v>
      </c>
    </row>
    <row r="48" spans="1:16" x14ac:dyDescent="0.35">
      <c r="A48" s="14" t="s">
        <v>363</v>
      </c>
      <c r="B48" s="21">
        <v>45857</v>
      </c>
      <c r="C48" s="14" t="s">
        <v>3991</v>
      </c>
      <c r="D48" s="14">
        <v>2025</v>
      </c>
      <c r="E48" s="14" t="s">
        <v>365</v>
      </c>
      <c r="F48" s="14" t="s">
        <v>179</v>
      </c>
      <c r="G48" s="14" t="s">
        <v>56</v>
      </c>
      <c r="H48" s="14">
        <v>1</v>
      </c>
      <c r="I48" s="14">
        <v>189620</v>
      </c>
      <c r="J48" s="14">
        <v>10</v>
      </c>
      <c r="K48" s="14">
        <v>170658</v>
      </c>
      <c r="L48" s="14" t="s">
        <v>95</v>
      </c>
      <c r="M48" s="14" t="s">
        <v>3980</v>
      </c>
      <c r="N48" s="14" t="s">
        <v>3983</v>
      </c>
      <c r="O48" s="14" t="str">
        <f>IFERROR(INDEX(Cleaned_Products!$C$2:$C$61,MATCH(F48,Cleaned_Products!$A$2:$A$61,0)),"Unknown")</f>
        <v>Bracelets</v>
      </c>
      <c r="P48" s="14" t="str">
        <f>IFERROR(INDEX(Cleaned_Products!$D$2:$D$61,MATCH(F48,Cleaned_Products!$A$2:$A$61,0)),"Unknown")</f>
        <v>Rose Gold</v>
      </c>
    </row>
    <row r="49" spans="1:16" x14ac:dyDescent="0.35">
      <c r="A49" s="14" t="s">
        <v>366</v>
      </c>
      <c r="B49" s="21">
        <v>45558</v>
      </c>
      <c r="C49" s="14" t="s">
        <v>4003</v>
      </c>
      <c r="D49" s="14">
        <v>2024</v>
      </c>
      <c r="E49" s="14" t="s">
        <v>368</v>
      </c>
      <c r="F49" s="14" t="s">
        <v>369</v>
      </c>
      <c r="G49" s="14" t="s">
        <v>101</v>
      </c>
      <c r="H49" s="14">
        <v>1</v>
      </c>
      <c r="I49" s="14">
        <v>213440</v>
      </c>
      <c r="J49" s="14">
        <v>0</v>
      </c>
      <c r="K49" s="14">
        <v>213440</v>
      </c>
      <c r="L49" s="14" t="s">
        <v>73</v>
      </c>
      <c r="M49" s="14" t="s">
        <v>3975</v>
      </c>
      <c r="N49" s="14" t="s">
        <v>370</v>
      </c>
      <c r="O49" s="14" t="str">
        <f>IFERROR(INDEX(Cleaned_Products!$C$2:$C$61,MATCH(F49,Cleaned_Products!$A$2:$A$61,0)),"Unknown")</f>
        <v>Earrings</v>
      </c>
      <c r="P49" s="14" t="str">
        <f>IFERROR(INDEX(Cleaned_Products!$D$2:$D$61,MATCH(F49,Cleaned_Products!$A$2:$A$61,0)),"Unknown")</f>
        <v>Platinum</v>
      </c>
    </row>
    <row r="50" spans="1:16" x14ac:dyDescent="0.35">
      <c r="A50" s="14" t="s">
        <v>371</v>
      </c>
      <c r="B50" s="21">
        <v>45757</v>
      </c>
      <c r="C50" s="14" t="s">
        <v>4006</v>
      </c>
      <c r="D50" s="14">
        <v>2025</v>
      </c>
      <c r="E50" s="14" t="s">
        <v>93</v>
      </c>
      <c r="F50" s="14" t="s">
        <v>216</v>
      </c>
      <c r="G50" s="14" t="s">
        <v>80</v>
      </c>
      <c r="H50" s="14">
        <v>1</v>
      </c>
      <c r="I50" s="14">
        <v>83110</v>
      </c>
      <c r="J50" s="14">
        <v>10</v>
      </c>
      <c r="K50" s="14">
        <v>74799</v>
      </c>
      <c r="L50" s="14" t="s">
        <v>3979</v>
      </c>
      <c r="M50" s="14" t="s">
        <v>3975</v>
      </c>
      <c r="N50" s="14" t="s">
        <v>373</v>
      </c>
      <c r="O50" s="14" t="str">
        <f>IFERROR(INDEX(Cleaned_Products!$C$2:$C$61,MATCH(F50,Cleaned_Products!$A$2:$A$61,0)),"Unknown")</f>
        <v>Bracelets</v>
      </c>
      <c r="P50" s="14" t="str">
        <f>IFERROR(INDEX(Cleaned_Products!$D$2:$D$61,MATCH(F50,Cleaned_Products!$A$2:$A$61,0)),"Unknown")</f>
        <v>Silver</v>
      </c>
    </row>
    <row r="51" spans="1:16" x14ac:dyDescent="0.35">
      <c r="A51" s="14" t="s">
        <v>380</v>
      </c>
      <c r="B51" s="21">
        <v>45001</v>
      </c>
      <c r="C51" s="14" t="s">
        <v>3982</v>
      </c>
      <c r="D51" s="14">
        <v>2023</v>
      </c>
      <c r="E51" s="14" t="s">
        <v>99</v>
      </c>
      <c r="F51" s="14" t="s">
        <v>207</v>
      </c>
      <c r="G51" s="14" t="s">
        <v>56</v>
      </c>
      <c r="H51" s="14">
        <v>2</v>
      </c>
      <c r="I51" s="14">
        <v>153220</v>
      </c>
      <c r="J51" s="14">
        <v>0</v>
      </c>
      <c r="K51" s="14">
        <v>306440</v>
      </c>
      <c r="L51" s="14" t="s">
        <v>3974</v>
      </c>
      <c r="M51" s="14" t="s">
        <v>3980</v>
      </c>
      <c r="N51" s="14" t="s">
        <v>3983</v>
      </c>
      <c r="O51" s="14" t="str">
        <f>IFERROR(INDEX(Cleaned_Products!$C$2:$C$61,MATCH(F51,Cleaned_Products!$A$2:$A$61,0)),"Unknown")</f>
        <v>Anklets</v>
      </c>
      <c r="P51" s="14" t="str">
        <f>IFERROR(INDEX(Cleaned_Products!$D$2:$D$61,MATCH(F51,Cleaned_Products!$A$2:$A$61,0)),"Unknown")</f>
        <v>Silver</v>
      </c>
    </row>
    <row r="52" spans="1:16" x14ac:dyDescent="0.35">
      <c r="A52" s="14" t="s">
        <v>387</v>
      </c>
      <c r="B52" s="21">
        <v>45319</v>
      </c>
      <c r="C52" s="14" t="s">
        <v>3993</v>
      </c>
      <c r="D52" s="14">
        <v>2024</v>
      </c>
      <c r="E52" s="14" t="s">
        <v>389</v>
      </c>
      <c r="F52" s="14" t="s">
        <v>390</v>
      </c>
      <c r="G52" s="14" t="s">
        <v>64</v>
      </c>
      <c r="H52" s="14">
        <v>1</v>
      </c>
      <c r="I52" s="14">
        <v>46360</v>
      </c>
      <c r="J52" s="14">
        <v>0</v>
      </c>
      <c r="K52" s="14">
        <v>46360</v>
      </c>
      <c r="L52" s="14" t="s">
        <v>3979</v>
      </c>
      <c r="M52" s="14" t="s">
        <v>3975</v>
      </c>
      <c r="N52" s="14" t="s">
        <v>391</v>
      </c>
      <c r="O52" s="14" t="str">
        <f>IFERROR(INDEX(Cleaned_Products!$C$2:$C$61,MATCH(F52,Cleaned_Products!$A$2:$A$61,0)),"Unknown")</f>
        <v>Bracelets</v>
      </c>
      <c r="P52" s="14" t="str">
        <f>IFERROR(INDEX(Cleaned_Products!$D$2:$D$61,MATCH(F52,Cleaned_Products!$A$2:$A$61,0)),"Unknown")</f>
        <v>Platinum</v>
      </c>
    </row>
    <row r="53" spans="1:16" x14ac:dyDescent="0.35">
      <c r="A53" s="14" t="s">
        <v>392</v>
      </c>
      <c r="B53" s="21">
        <v>44973</v>
      </c>
      <c r="C53" s="14" t="s">
        <v>4001</v>
      </c>
      <c r="D53" s="14">
        <v>2023</v>
      </c>
      <c r="E53" s="14" t="s">
        <v>93</v>
      </c>
      <c r="F53" s="14" t="s">
        <v>249</v>
      </c>
      <c r="G53" s="14" t="s">
        <v>101</v>
      </c>
      <c r="H53" s="14">
        <v>2</v>
      </c>
      <c r="I53" s="14">
        <v>71080</v>
      </c>
      <c r="J53" s="14">
        <v>0</v>
      </c>
      <c r="K53" s="14">
        <v>142160</v>
      </c>
      <c r="L53" s="14" t="s">
        <v>3974</v>
      </c>
      <c r="M53" s="14" t="s">
        <v>3980</v>
      </c>
      <c r="N53" s="14" t="s">
        <v>3983</v>
      </c>
      <c r="O53" s="14" t="str">
        <f>IFERROR(INDEX(Cleaned_Products!$C$2:$C$61,MATCH(F53,Cleaned_Products!$A$2:$A$61,0)),"Unknown")</f>
        <v>Pendants</v>
      </c>
      <c r="P53" s="14" t="str">
        <f>IFERROR(INDEX(Cleaned_Products!$D$2:$D$61,MATCH(F53,Cleaned_Products!$A$2:$A$61,0)),"Unknown")</f>
        <v>Rose Gold</v>
      </c>
    </row>
    <row r="54" spans="1:16" x14ac:dyDescent="0.35">
      <c r="A54" s="14" t="s">
        <v>398</v>
      </c>
      <c r="B54" s="21">
        <v>45660</v>
      </c>
      <c r="C54" s="14" t="s">
        <v>4005</v>
      </c>
      <c r="D54" s="14">
        <v>2025</v>
      </c>
      <c r="E54" s="14" t="s">
        <v>400</v>
      </c>
      <c r="F54" s="14" t="s">
        <v>226</v>
      </c>
      <c r="G54" s="14" t="s">
        <v>108</v>
      </c>
      <c r="H54" s="14">
        <v>1</v>
      </c>
      <c r="I54" s="14">
        <v>74020</v>
      </c>
      <c r="J54" s="14">
        <v>0</v>
      </c>
      <c r="K54" s="14">
        <v>74020</v>
      </c>
      <c r="L54" s="14" t="s">
        <v>95</v>
      </c>
      <c r="M54" s="14" t="s">
        <v>3980</v>
      </c>
      <c r="N54" s="14" t="s">
        <v>401</v>
      </c>
      <c r="O54" s="14" t="str">
        <f>IFERROR(INDEX(Cleaned_Products!$C$2:$C$61,MATCH(F54,Cleaned_Products!$A$2:$A$61,0)),"Unknown")</f>
        <v>Earrings</v>
      </c>
      <c r="P54" s="14" t="str">
        <f>IFERROR(INDEX(Cleaned_Products!$D$2:$D$61,MATCH(F54,Cleaned_Products!$A$2:$A$61,0)),"Unknown")</f>
        <v>Diamond</v>
      </c>
    </row>
    <row r="55" spans="1:16" x14ac:dyDescent="0.35">
      <c r="A55" s="14" t="s">
        <v>402</v>
      </c>
      <c r="B55" s="21">
        <v>45853</v>
      </c>
      <c r="C55" s="14" t="s">
        <v>3991</v>
      </c>
      <c r="D55" s="14">
        <v>2025</v>
      </c>
      <c r="E55" s="14" t="s">
        <v>396</v>
      </c>
      <c r="F55" s="14" t="s">
        <v>216</v>
      </c>
      <c r="G55" s="14" t="s">
        <v>113</v>
      </c>
      <c r="H55" s="14">
        <v>3</v>
      </c>
      <c r="I55" s="14">
        <v>97820</v>
      </c>
      <c r="J55" s="14">
        <v>0</v>
      </c>
      <c r="K55" s="14">
        <v>293460</v>
      </c>
      <c r="L55" s="14" t="s">
        <v>3974</v>
      </c>
      <c r="M55" s="14" t="s">
        <v>3975</v>
      </c>
      <c r="N55" s="14" t="s">
        <v>404</v>
      </c>
      <c r="O55" s="14" t="str">
        <f>IFERROR(INDEX(Cleaned_Products!$C$2:$C$61,MATCH(F55,Cleaned_Products!$A$2:$A$61,0)),"Unknown")</f>
        <v>Bracelets</v>
      </c>
      <c r="P55" s="14" t="str">
        <f>IFERROR(INDEX(Cleaned_Products!$D$2:$D$61,MATCH(F55,Cleaned_Products!$A$2:$A$61,0)),"Unknown")</f>
        <v>Silver</v>
      </c>
    </row>
    <row r="56" spans="1:16" x14ac:dyDescent="0.35">
      <c r="A56" s="14" t="s">
        <v>405</v>
      </c>
      <c r="B56" s="21">
        <v>45097</v>
      </c>
      <c r="C56" s="14" t="s">
        <v>3994</v>
      </c>
      <c r="D56" s="14">
        <v>2023</v>
      </c>
      <c r="E56" s="14" t="s">
        <v>407</v>
      </c>
      <c r="F56" s="14" t="s">
        <v>112</v>
      </c>
      <c r="G56" s="14" t="s">
        <v>72</v>
      </c>
      <c r="H56" s="14">
        <v>3</v>
      </c>
      <c r="I56" s="14">
        <v>138320</v>
      </c>
      <c r="J56" s="14">
        <v>0</v>
      </c>
      <c r="K56" s="14">
        <v>414960</v>
      </c>
      <c r="L56" s="14" t="s">
        <v>95</v>
      </c>
      <c r="M56" s="14" t="s">
        <v>3980</v>
      </c>
      <c r="N56" s="14" t="s">
        <v>3983</v>
      </c>
      <c r="O56" s="14" t="str">
        <f>IFERROR(INDEX(Cleaned_Products!$C$2:$C$61,MATCH(F56,Cleaned_Products!$A$2:$A$61,0)),"Unknown")</f>
        <v>Bangles</v>
      </c>
      <c r="P56" s="14" t="str">
        <f>IFERROR(INDEX(Cleaned_Products!$D$2:$D$61,MATCH(F56,Cleaned_Products!$A$2:$A$61,0)),"Unknown")</f>
        <v>Rose Gold</v>
      </c>
    </row>
    <row r="57" spans="1:16" x14ac:dyDescent="0.35">
      <c r="A57" s="14" t="s">
        <v>409</v>
      </c>
      <c r="B57" s="21">
        <v>45429</v>
      </c>
      <c r="C57" s="14" t="s">
        <v>4007</v>
      </c>
      <c r="D57" s="14">
        <v>2024</v>
      </c>
      <c r="E57" s="14" t="s">
        <v>411</v>
      </c>
      <c r="F57" s="14" t="s">
        <v>179</v>
      </c>
      <c r="G57" s="14" t="s">
        <v>64</v>
      </c>
      <c r="H57" s="14">
        <v>1</v>
      </c>
      <c r="I57" s="14">
        <v>55730</v>
      </c>
      <c r="J57" s="14">
        <v>10</v>
      </c>
      <c r="K57" s="14">
        <v>50157</v>
      </c>
      <c r="L57" s="14" t="s">
        <v>73</v>
      </c>
      <c r="M57" s="14" t="s">
        <v>3980</v>
      </c>
      <c r="N57" s="14" t="s">
        <v>3983</v>
      </c>
      <c r="O57" s="14" t="str">
        <f>IFERROR(INDEX(Cleaned_Products!$C$2:$C$61,MATCH(F57,Cleaned_Products!$A$2:$A$61,0)),"Unknown")</f>
        <v>Bracelets</v>
      </c>
      <c r="P57" s="14" t="str">
        <f>IFERROR(INDEX(Cleaned_Products!$D$2:$D$61,MATCH(F57,Cleaned_Products!$A$2:$A$61,0)),"Unknown")</f>
        <v>Rose Gold</v>
      </c>
    </row>
    <row r="58" spans="1:16" x14ac:dyDescent="0.35">
      <c r="A58" s="14" t="s">
        <v>412</v>
      </c>
      <c r="B58" s="21">
        <v>45551</v>
      </c>
      <c r="C58" s="14" t="s">
        <v>4003</v>
      </c>
      <c r="D58" s="14">
        <v>2024</v>
      </c>
      <c r="E58" s="14" t="s">
        <v>414</v>
      </c>
      <c r="F58" s="14" t="s">
        <v>125</v>
      </c>
      <c r="G58" s="14" t="s">
        <v>80</v>
      </c>
      <c r="H58" s="14">
        <v>1</v>
      </c>
      <c r="I58" s="14">
        <v>155010</v>
      </c>
      <c r="J58" s="14">
        <v>5</v>
      </c>
      <c r="K58" s="14">
        <v>147259.5</v>
      </c>
      <c r="L58" s="14" t="s">
        <v>73</v>
      </c>
      <c r="M58" s="14" t="s">
        <v>3980</v>
      </c>
      <c r="N58" s="14" t="s">
        <v>415</v>
      </c>
      <c r="O58" s="14" t="str">
        <f>IFERROR(INDEX(Cleaned_Products!$C$2:$C$61,MATCH(F58,Cleaned_Products!$A$2:$A$61,0)),"Unknown")</f>
        <v>Bracelets</v>
      </c>
      <c r="P58" s="14" t="str">
        <f>IFERROR(INDEX(Cleaned_Products!$D$2:$D$61,MATCH(F58,Cleaned_Products!$A$2:$A$61,0)),"Unknown")</f>
        <v>Rose Gold</v>
      </c>
    </row>
    <row r="59" spans="1:16" x14ac:dyDescent="0.35">
      <c r="A59" s="14" t="s">
        <v>426</v>
      </c>
      <c r="B59" s="21">
        <v>45183</v>
      </c>
      <c r="C59" s="14" t="s">
        <v>3996</v>
      </c>
      <c r="D59" s="14">
        <v>2023</v>
      </c>
      <c r="E59" s="14" t="s">
        <v>70</v>
      </c>
      <c r="F59" s="14" t="s">
        <v>94</v>
      </c>
      <c r="G59" s="14" t="s">
        <v>126</v>
      </c>
      <c r="H59" s="14">
        <v>1</v>
      </c>
      <c r="I59" s="14">
        <v>100260</v>
      </c>
      <c r="J59" s="14">
        <v>15</v>
      </c>
      <c r="K59" s="14">
        <v>85221</v>
      </c>
      <c r="L59" s="14" t="s">
        <v>95</v>
      </c>
      <c r="M59" s="14" t="s">
        <v>3980</v>
      </c>
      <c r="N59" s="14" t="s">
        <v>429</v>
      </c>
      <c r="O59" s="14" t="str">
        <f>IFERROR(INDEX(Cleaned_Products!$C$2:$C$61,MATCH(F59,Cleaned_Products!$A$2:$A$61,0)),"Unknown")</f>
        <v>Nose Pins</v>
      </c>
      <c r="P59" s="14" t="str">
        <f>IFERROR(INDEX(Cleaned_Products!$D$2:$D$61,MATCH(F59,Cleaned_Products!$A$2:$A$61,0)),"Unknown")</f>
        <v>Rose Gold</v>
      </c>
    </row>
    <row r="60" spans="1:16" x14ac:dyDescent="0.35">
      <c r="A60" s="14" t="s">
        <v>430</v>
      </c>
      <c r="B60" s="21">
        <v>45056</v>
      </c>
      <c r="C60" s="14" t="s">
        <v>3973</v>
      </c>
      <c r="D60" s="14">
        <v>2023</v>
      </c>
      <c r="E60" s="14" t="s">
        <v>3995</v>
      </c>
      <c r="F60" s="14" t="s">
        <v>432</v>
      </c>
      <c r="G60" s="14" t="s">
        <v>72</v>
      </c>
      <c r="H60" s="14">
        <v>3</v>
      </c>
      <c r="I60" s="14">
        <v>145610</v>
      </c>
      <c r="J60" s="14">
        <v>15</v>
      </c>
      <c r="K60" s="14">
        <v>371305.5</v>
      </c>
      <c r="L60" s="14" t="s">
        <v>73</v>
      </c>
      <c r="M60" s="14" t="s">
        <v>3980</v>
      </c>
      <c r="N60" s="14" t="s">
        <v>3983</v>
      </c>
      <c r="O60" s="14" t="str">
        <f>IFERROR(INDEX(Cleaned_Products!$C$2:$C$61,MATCH(F60,Cleaned_Products!$A$2:$A$61,0)),"Unknown")</f>
        <v>Earrings</v>
      </c>
      <c r="P60" s="14" t="str">
        <f>IFERROR(INDEX(Cleaned_Products!$D$2:$D$61,MATCH(F60,Cleaned_Products!$A$2:$A$61,0)),"Unknown")</f>
        <v>Gold</v>
      </c>
    </row>
    <row r="61" spans="1:16" x14ac:dyDescent="0.35">
      <c r="A61" s="14" t="s">
        <v>433</v>
      </c>
      <c r="B61" s="21">
        <v>45265</v>
      </c>
      <c r="C61" s="14" t="s">
        <v>4008</v>
      </c>
      <c r="D61" s="14">
        <v>2023</v>
      </c>
      <c r="E61" s="14" t="s">
        <v>314</v>
      </c>
      <c r="F61" s="14" t="s">
        <v>435</v>
      </c>
      <c r="G61" s="14" t="s">
        <v>101</v>
      </c>
      <c r="H61" s="14">
        <v>3</v>
      </c>
      <c r="I61" s="14">
        <v>150830</v>
      </c>
      <c r="J61" s="14">
        <v>15</v>
      </c>
      <c r="K61" s="14">
        <v>384616.5</v>
      </c>
      <c r="L61" s="14" t="s">
        <v>3974</v>
      </c>
      <c r="M61" s="14" t="s">
        <v>3975</v>
      </c>
      <c r="N61" s="14" t="s">
        <v>436</v>
      </c>
      <c r="O61" s="14" t="str">
        <f>IFERROR(INDEX(Cleaned_Products!$C$2:$C$61,MATCH(F61,Cleaned_Products!$A$2:$A$61,0)),"Unknown")</f>
        <v>Bangles</v>
      </c>
      <c r="P61" s="14" t="str">
        <f>IFERROR(INDEX(Cleaned_Products!$D$2:$D$61,MATCH(F61,Cleaned_Products!$A$2:$A$61,0)),"Unknown")</f>
        <v>Platinum</v>
      </c>
    </row>
    <row r="62" spans="1:16" x14ac:dyDescent="0.35">
      <c r="A62" s="14" t="s">
        <v>437</v>
      </c>
      <c r="B62" s="21">
        <v>45332</v>
      </c>
      <c r="C62" s="14" t="s">
        <v>3999</v>
      </c>
      <c r="D62" s="14">
        <v>2024</v>
      </c>
      <c r="E62" s="14" t="s">
        <v>439</v>
      </c>
      <c r="F62" s="14" t="s">
        <v>435</v>
      </c>
      <c r="G62" s="14" t="s">
        <v>64</v>
      </c>
      <c r="H62" s="14">
        <v>1</v>
      </c>
      <c r="I62" s="14">
        <v>95360</v>
      </c>
      <c r="J62" s="14">
        <v>5</v>
      </c>
      <c r="K62" s="14">
        <v>90592</v>
      </c>
      <c r="L62" s="14" t="s">
        <v>3974</v>
      </c>
      <c r="M62" s="14" t="s">
        <v>3975</v>
      </c>
      <c r="N62" s="14" t="s">
        <v>441</v>
      </c>
      <c r="O62" s="14" t="str">
        <f>IFERROR(INDEX(Cleaned_Products!$C$2:$C$61,MATCH(F62,Cleaned_Products!$A$2:$A$61,0)),"Unknown")</f>
        <v>Bangles</v>
      </c>
      <c r="P62" s="14" t="str">
        <f>IFERROR(INDEX(Cleaned_Products!$D$2:$D$61,MATCH(F62,Cleaned_Products!$A$2:$A$61,0)),"Unknown")</f>
        <v>Platinum</v>
      </c>
    </row>
    <row r="63" spans="1:16" x14ac:dyDescent="0.35">
      <c r="A63" s="14" t="s">
        <v>442</v>
      </c>
      <c r="B63" s="21">
        <v>45131</v>
      </c>
      <c r="C63" s="14" t="s">
        <v>3988</v>
      </c>
      <c r="D63" s="14">
        <v>2023</v>
      </c>
      <c r="E63" s="14" t="s">
        <v>444</v>
      </c>
      <c r="F63" s="14" t="s">
        <v>445</v>
      </c>
      <c r="G63" s="14" t="s">
        <v>64</v>
      </c>
      <c r="H63" s="14">
        <v>1</v>
      </c>
      <c r="I63" s="14">
        <v>206410</v>
      </c>
      <c r="J63" s="14">
        <v>15</v>
      </c>
      <c r="K63" s="14">
        <v>175448.5</v>
      </c>
      <c r="L63" s="14" t="s">
        <v>3974</v>
      </c>
      <c r="M63" s="14" t="s">
        <v>3975</v>
      </c>
      <c r="N63" s="14" t="s">
        <v>447</v>
      </c>
      <c r="O63" s="14" t="str">
        <f>IFERROR(INDEX(Cleaned_Products!$C$2:$C$61,MATCH(F63,Cleaned_Products!$A$2:$A$61,0)),"Unknown")</f>
        <v>Bangles</v>
      </c>
      <c r="P63" s="14" t="str">
        <f>IFERROR(INDEX(Cleaned_Products!$D$2:$D$61,MATCH(F63,Cleaned_Products!$A$2:$A$61,0)),"Unknown")</f>
        <v>Diamond</v>
      </c>
    </row>
    <row r="64" spans="1:16" x14ac:dyDescent="0.35">
      <c r="A64" s="14" t="s">
        <v>448</v>
      </c>
      <c r="B64" s="21">
        <v>45707</v>
      </c>
      <c r="C64" s="14" t="s">
        <v>3989</v>
      </c>
      <c r="D64" s="14">
        <v>2025</v>
      </c>
      <c r="E64" s="14" t="s">
        <v>450</v>
      </c>
      <c r="F64" s="14" t="s">
        <v>264</v>
      </c>
      <c r="G64" s="14" t="s">
        <v>80</v>
      </c>
      <c r="H64" s="14">
        <v>1</v>
      </c>
      <c r="I64" s="14">
        <v>163180</v>
      </c>
      <c r="J64" s="14">
        <v>5</v>
      </c>
      <c r="K64" s="14">
        <v>155021</v>
      </c>
      <c r="L64" s="14" t="s">
        <v>3979</v>
      </c>
      <c r="M64" s="14" t="s">
        <v>3975</v>
      </c>
      <c r="N64" s="14" t="s">
        <v>452</v>
      </c>
      <c r="O64" s="14" t="str">
        <f>IFERROR(INDEX(Cleaned_Products!$C$2:$C$61,MATCH(F64,Cleaned_Products!$A$2:$A$61,0)),"Unknown")</f>
        <v>Pendants</v>
      </c>
      <c r="P64" s="14" t="str">
        <f>IFERROR(INDEX(Cleaned_Products!$D$2:$D$61,MATCH(F64,Cleaned_Products!$A$2:$A$61,0)),"Unknown")</f>
        <v>Silver</v>
      </c>
    </row>
    <row r="65" spans="1:16" x14ac:dyDescent="0.35">
      <c r="A65" s="14" t="s">
        <v>453</v>
      </c>
      <c r="B65" s="21">
        <v>45460</v>
      </c>
      <c r="C65" s="14" t="s">
        <v>3984</v>
      </c>
      <c r="D65" s="14">
        <v>2024</v>
      </c>
      <c r="E65" s="14" t="s">
        <v>230</v>
      </c>
      <c r="F65" s="14" t="s">
        <v>94</v>
      </c>
      <c r="G65" s="14" t="s">
        <v>113</v>
      </c>
      <c r="H65" s="14">
        <v>2</v>
      </c>
      <c r="I65" s="14">
        <v>131600</v>
      </c>
      <c r="J65" s="14">
        <v>0</v>
      </c>
      <c r="K65" s="14">
        <v>263200</v>
      </c>
      <c r="L65" s="14" t="s">
        <v>95</v>
      </c>
      <c r="M65" s="14" t="s">
        <v>3980</v>
      </c>
      <c r="N65" s="14" t="s">
        <v>3983</v>
      </c>
      <c r="O65" s="14" t="str">
        <f>IFERROR(INDEX(Cleaned_Products!$C$2:$C$61,MATCH(F65,Cleaned_Products!$A$2:$A$61,0)),"Unknown")</f>
        <v>Nose Pins</v>
      </c>
      <c r="P65" s="14" t="str">
        <f>IFERROR(INDEX(Cleaned_Products!$D$2:$D$61,MATCH(F65,Cleaned_Products!$A$2:$A$61,0)),"Unknown")</f>
        <v>Rose Gold</v>
      </c>
    </row>
    <row r="66" spans="1:16" x14ac:dyDescent="0.35">
      <c r="A66" s="14" t="s">
        <v>455</v>
      </c>
      <c r="B66" s="21">
        <v>45717</v>
      </c>
      <c r="C66" s="14" t="s">
        <v>4002</v>
      </c>
      <c r="D66" s="14">
        <v>2025</v>
      </c>
      <c r="E66" s="14" t="s">
        <v>457</v>
      </c>
      <c r="F66" s="14" t="s">
        <v>458</v>
      </c>
      <c r="G66" s="14" t="s">
        <v>108</v>
      </c>
      <c r="H66" s="14">
        <v>1</v>
      </c>
      <c r="I66" s="14">
        <v>83170</v>
      </c>
      <c r="J66" s="14">
        <v>10</v>
      </c>
      <c r="K66" s="14">
        <v>74853</v>
      </c>
      <c r="L66" s="14" t="s">
        <v>95</v>
      </c>
      <c r="M66" s="14" t="s">
        <v>3980</v>
      </c>
      <c r="N66" s="14" t="s">
        <v>459</v>
      </c>
      <c r="O66" s="14" t="str">
        <f>IFERROR(INDEX(Cleaned_Products!$C$2:$C$61,MATCH(F66,Cleaned_Products!$A$2:$A$61,0)),"Unknown")</f>
        <v>Bangles</v>
      </c>
      <c r="P66" s="14" t="str">
        <f>IFERROR(INDEX(Cleaned_Products!$D$2:$D$61,MATCH(F66,Cleaned_Products!$A$2:$A$61,0)),"Unknown")</f>
        <v>Silver</v>
      </c>
    </row>
    <row r="67" spans="1:16" x14ac:dyDescent="0.35">
      <c r="A67" s="14" t="s">
        <v>475</v>
      </c>
      <c r="B67" s="21">
        <v>44998</v>
      </c>
      <c r="C67" s="14" t="s">
        <v>3982</v>
      </c>
      <c r="D67" s="14">
        <v>2023</v>
      </c>
      <c r="E67" s="14" t="s">
        <v>477</v>
      </c>
      <c r="F67" s="14" t="s">
        <v>107</v>
      </c>
      <c r="G67" s="14" t="s">
        <v>101</v>
      </c>
      <c r="H67" s="14">
        <v>2</v>
      </c>
      <c r="I67" s="14">
        <v>34890</v>
      </c>
      <c r="J67" s="14">
        <v>10</v>
      </c>
      <c r="K67" s="14">
        <v>62802</v>
      </c>
      <c r="L67" s="14" t="s">
        <v>121</v>
      </c>
      <c r="M67" s="14" t="s">
        <v>3975</v>
      </c>
      <c r="N67" s="14" t="s">
        <v>479</v>
      </c>
      <c r="O67" s="14" t="str">
        <f>IFERROR(INDEX(Cleaned_Products!$C$2:$C$61,MATCH(F67,Cleaned_Products!$A$2:$A$61,0)),"Unknown")</f>
        <v>Earrings</v>
      </c>
      <c r="P67" s="14" t="str">
        <f>IFERROR(INDEX(Cleaned_Products!$D$2:$D$61,MATCH(F67,Cleaned_Products!$A$2:$A$61,0)),"Unknown")</f>
        <v>Platinum</v>
      </c>
    </row>
    <row r="68" spans="1:16" x14ac:dyDescent="0.35">
      <c r="A68" s="14" t="s">
        <v>489</v>
      </c>
      <c r="B68" s="21">
        <v>45530</v>
      </c>
      <c r="C68" s="14" t="s">
        <v>3992</v>
      </c>
      <c r="D68" s="14">
        <v>2024</v>
      </c>
      <c r="E68" s="14" t="s">
        <v>491</v>
      </c>
      <c r="F68" s="14" t="s">
        <v>255</v>
      </c>
      <c r="G68" s="14" t="s">
        <v>113</v>
      </c>
      <c r="H68" s="14">
        <v>3</v>
      </c>
      <c r="I68" s="14">
        <v>169780</v>
      </c>
      <c r="J68" s="14">
        <v>10</v>
      </c>
      <c r="K68" s="14">
        <v>458406</v>
      </c>
      <c r="L68" s="14" t="s">
        <v>3974</v>
      </c>
      <c r="M68" s="14" t="s">
        <v>3975</v>
      </c>
      <c r="N68" s="14" t="s">
        <v>492</v>
      </c>
      <c r="O68" s="14" t="str">
        <f>IFERROR(INDEX(Cleaned_Products!$C$2:$C$61,MATCH(F68,Cleaned_Products!$A$2:$A$61,0)),"Unknown")</f>
        <v>Bracelets</v>
      </c>
      <c r="P68" s="14" t="str">
        <f>IFERROR(INDEX(Cleaned_Products!$D$2:$D$61,MATCH(F68,Cleaned_Products!$A$2:$A$61,0)),"Unknown")</f>
        <v>Rose Gold</v>
      </c>
    </row>
    <row r="69" spans="1:16" x14ac:dyDescent="0.35">
      <c r="A69" s="14" t="s">
        <v>493</v>
      </c>
      <c r="B69" s="21">
        <v>45607</v>
      </c>
      <c r="C69" s="14" t="s">
        <v>3976</v>
      </c>
      <c r="D69" s="14">
        <v>2024</v>
      </c>
      <c r="E69" s="14" t="s">
        <v>495</v>
      </c>
      <c r="F69" s="14" t="s">
        <v>458</v>
      </c>
      <c r="G69" s="14" t="s">
        <v>113</v>
      </c>
      <c r="H69" s="14">
        <v>1</v>
      </c>
      <c r="I69" s="14">
        <v>51460</v>
      </c>
      <c r="J69" s="14">
        <v>5</v>
      </c>
      <c r="K69" s="14">
        <v>48887</v>
      </c>
      <c r="L69" s="14" t="s">
        <v>73</v>
      </c>
      <c r="M69" s="14" t="s">
        <v>3980</v>
      </c>
      <c r="N69" s="14" t="s">
        <v>3983</v>
      </c>
      <c r="O69" s="14" t="str">
        <f>IFERROR(INDEX(Cleaned_Products!$C$2:$C$61,MATCH(F69,Cleaned_Products!$A$2:$A$61,0)),"Unknown")</f>
        <v>Bangles</v>
      </c>
      <c r="P69" s="14" t="str">
        <f>IFERROR(INDEX(Cleaned_Products!$D$2:$D$61,MATCH(F69,Cleaned_Products!$A$2:$A$61,0)),"Unknown")</f>
        <v>Silver</v>
      </c>
    </row>
    <row r="70" spans="1:16" x14ac:dyDescent="0.35">
      <c r="A70" s="14" t="s">
        <v>496</v>
      </c>
      <c r="B70" s="21">
        <v>45200</v>
      </c>
      <c r="C70" s="14" t="s">
        <v>3990</v>
      </c>
      <c r="D70" s="14">
        <v>2023</v>
      </c>
      <c r="E70" s="14" t="s">
        <v>498</v>
      </c>
      <c r="F70" s="14" t="s">
        <v>418</v>
      </c>
      <c r="G70" s="14" t="s">
        <v>64</v>
      </c>
      <c r="H70" s="14">
        <v>3</v>
      </c>
      <c r="I70" s="14">
        <v>69330</v>
      </c>
      <c r="J70" s="14">
        <v>0</v>
      </c>
      <c r="K70" s="14">
        <v>207990</v>
      </c>
      <c r="L70" s="14" t="s">
        <v>3977</v>
      </c>
      <c r="M70" s="14" t="s">
        <v>3980</v>
      </c>
      <c r="N70" s="14" t="s">
        <v>3983</v>
      </c>
      <c r="O70" s="14" t="str">
        <f>IFERROR(INDEX(Cleaned_Products!$C$2:$C$61,MATCH(F70,Cleaned_Products!$A$2:$A$61,0)),"Unknown")</f>
        <v>Rings</v>
      </c>
      <c r="P70" s="14" t="str">
        <f>IFERROR(INDEX(Cleaned_Products!$D$2:$D$61,MATCH(F70,Cleaned_Products!$A$2:$A$61,0)),"Unknown")</f>
        <v>Rose Gold</v>
      </c>
    </row>
    <row r="71" spans="1:16" x14ac:dyDescent="0.35">
      <c r="A71" s="14" t="s">
        <v>499</v>
      </c>
      <c r="B71" s="21">
        <v>45366</v>
      </c>
      <c r="C71" s="14" t="s">
        <v>3985</v>
      </c>
      <c r="D71" s="14">
        <v>2024</v>
      </c>
      <c r="E71" s="14" t="s">
        <v>162</v>
      </c>
      <c r="F71" s="14" t="s">
        <v>348</v>
      </c>
      <c r="G71" s="14" t="s">
        <v>113</v>
      </c>
      <c r="H71" s="14">
        <v>2</v>
      </c>
      <c r="I71" s="14">
        <v>183740</v>
      </c>
      <c r="J71" s="14">
        <v>10</v>
      </c>
      <c r="K71" s="14">
        <v>330732</v>
      </c>
      <c r="L71" s="14" t="s">
        <v>95</v>
      </c>
      <c r="M71" s="14" t="s">
        <v>3980</v>
      </c>
      <c r="N71" s="14" t="s">
        <v>501</v>
      </c>
      <c r="O71" s="14" t="str">
        <f>IFERROR(INDEX(Cleaned_Products!$C$2:$C$61,MATCH(F71,Cleaned_Products!$A$2:$A$61,0)),"Unknown")</f>
        <v>Rings</v>
      </c>
      <c r="P71" s="14" t="str">
        <f>IFERROR(INDEX(Cleaned_Products!$D$2:$D$61,MATCH(F71,Cleaned_Products!$A$2:$A$61,0)),"Unknown")</f>
        <v>Gold</v>
      </c>
    </row>
    <row r="72" spans="1:16" x14ac:dyDescent="0.35">
      <c r="A72" s="14" t="s">
        <v>506</v>
      </c>
      <c r="B72" s="21">
        <v>45196</v>
      </c>
      <c r="C72" s="14" t="s">
        <v>3996</v>
      </c>
      <c r="D72" s="14">
        <v>2023</v>
      </c>
      <c r="E72" s="14" t="s">
        <v>211</v>
      </c>
      <c r="F72" s="14" t="s">
        <v>463</v>
      </c>
      <c r="G72" s="14" t="s">
        <v>101</v>
      </c>
      <c r="H72" s="14">
        <v>2</v>
      </c>
      <c r="I72" s="14">
        <v>86100</v>
      </c>
      <c r="J72" s="14">
        <v>10</v>
      </c>
      <c r="K72" s="14">
        <v>154980</v>
      </c>
      <c r="L72" s="14" t="s">
        <v>3974</v>
      </c>
      <c r="M72" s="14" t="s">
        <v>3975</v>
      </c>
      <c r="N72" s="14" t="s">
        <v>508</v>
      </c>
      <c r="O72" s="14" t="str">
        <f>IFERROR(INDEX(Cleaned_Products!$C$2:$C$61,MATCH(F72,Cleaned_Products!$A$2:$A$61,0)),"Unknown")</f>
        <v>Bracelets</v>
      </c>
      <c r="P72" s="14" t="str">
        <f>IFERROR(INDEX(Cleaned_Products!$D$2:$D$61,MATCH(F72,Cleaned_Products!$A$2:$A$61,0)),"Unknown")</f>
        <v>Gold</v>
      </c>
    </row>
    <row r="73" spans="1:16" x14ac:dyDescent="0.35">
      <c r="A73" s="14" t="s">
        <v>509</v>
      </c>
      <c r="B73" s="21">
        <v>45707</v>
      </c>
      <c r="C73" s="14" t="s">
        <v>3989</v>
      </c>
      <c r="D73" s="14">
        <v>2025</v>
      </c>
      <c r="E73" s="14" t="s">
        <v>511</v>
      </c>
      <c r="F73" s="14" t="s">
        <v>71</v>
      </c>
      <c r="G73" s="14" t="s">
        <v>72</v>
      </c>
      <c r="H73" s="14">
        <v>1</v>
      </c>
      <c r="I73" s="14">
        <v>242300</v>
      </c>
      <c r="J73" s="14">
        <v>5</v>
      </c>
      <c r="K73" s="14">
        <v>230185</v>
      </c>
      <c r="L73" s="14" t="s">
        <v>3974</v>
      </c>
      <c r="M73" s="14" t="s">
        <v>3980</v>
      </c>
      <c r="N73" s="14" t="s">
        <v>3983</v>
      </c>
      <c r="O73" s="14" t="str">
        <f>IFERROR(INDEX(Cleaned_Products!$C$2:$C$61,MATCH(F73,Cleaned_Products!$A$2:$A$61,0)),"Unknown")</f>
        <v>Bracelets</v>
      </c>
      <c r="P73" s="14" t="str">
        <f>IFERROR(INDEX(Cleaned_Products!$D$2:$D$61,MATCH(F73,Cleaned_Products!$A$2:$A$61,0)),"Unknown")</f>
        <v>Rose Gold</v>
      </c>
    </row>
    <row r="74" spans="1:16" x14ac:dyDescent="0.35">
      <c r="A74" s="14" t="s">
        <v>515</v>
      </c>
      <c r="B74" s="21">
        <v>45099</v>
      </c>
      <c r="C74" s="14" t="s">
        <v>3994</v>
      </c>
      <c r="D74" s="14">
        <v>2023</v>
      </c>
      <c r="E74" s="14" t="s">
        <v>347</v>
      </c>
      <c r="F74" s="14" t="s">
        <v>348</v>
      </c>
      <c r="G74" s="14" t="s">
        <v>113</v>
      </c>
      <c r="H74" s="14">
        <v>3</v>
      </c>
      <c r="I74" s="14">
        <v>98650</v>
      </c>
      <c r="J74" s="14">
        <v>10</v>
      </c>
      <c r="K74" s="14">
        <v>266355</v>
      </c>
      <c r="L74" s="14" t="s">
        <v>3979</v>
      </c>
      <c r="M74" s="14" t="s">
        <v>3980</v>
      </c>
      <c r="N74" s="14" t="s">
        <v>3983</v>
      </c>
      <c r="O74" s="14" t="str">
        <f>IFERROR(INDEX(Cleaned_Products!$C$2:$C$61,MATCH(F74,Cleaned_Products!$A$2:$A$61,0)),"Unknown")</f>
        <v>Rings</v>
      </c>
      <c r="P74" s="14" t="str">
        <f>IFERROR(INDEX(Cleaned_Products!$D$2:$D$61,MATCH(F74,Cleaned_Products!$A$2:$A$61,0)),"Unknown")</f>
        <v>Gold</v>
      </c>
    </row>
    <row r="75" spans="1:16" x14ac:dyDescent="0.35">
      <c r="A75" s="14" t="s">
        <v>518</v>
      </c>
      <c r="B75" s="21">
        <v>45586</v>
      </c>
      <c r="C75" s="14" t="s">
        <v>3981</v>
      </c>
      <c r="D75" s="14">
        <v>2024</v>
      </c>
      <c r="E75" s="14" t="s">
        <v>491</v>
      </c>
      <c r="F75" s="14" t="s">
        <v>520</v>
      </c>
      <c r="G75" s="14" t="s">
        <v>113</v>
      </c>
      <c r="H75" s="14">
        <v>2</v>
      </c>
      <c r="I75" s="14">
        <v>188640</v>
      </c>
      <c r="J75" s="14">
        <v>0</v>
      </c>
      <c r="K75" s="14">
        <v>377280</v>
      </c>
      <c r="L75" s="14" t="s">
        <v>3979</v>
      </c>
      <c r="M75" s="14" t="s">
        <v>3980</v>
      </c>
      <c r="N75" s="14" t="s">
        <v>521</v>
      </c>
      <c r="O75" s="14" t="str">
        <f>IFERROR(INDEX(Cleaned_Products!$C$2:$C$61,MATCH(F75,Cleaned_Products!$A$2:$A$61,0)),"Unknown")</f>
        <v>Earrings</v>
      </c>
      <c r="P75" s="14">
        <f>IFERROR(INDEX(Cleaned_Products!$D$2:$D$61,MATCH(F75,Cleaned_Products!$A$2:$A$61,0)),"Unknown")</f>
        <v>0</v>
      </c>
    </row>
    <row r="76" spans="1:16" x14ac:dyDescent="0.35">
      <c r="A76" s="14" t="s">
        <v>522</v>
      </c>
      <c r="B76" s="21">
        <v>45071</v>
      </c>
      <c r="C76" s="14" t="s">
        <v>3973</v>
      </c>
      <c r="D76" s="14">
        <v>2023</v>
      </c>
      <c r="E76" s="14" t="s">
        <v>524</v>
      </c>
      <c r="F76" s="14" t="s">
        <v>390</v>
      </c>
      <c r="G76" s="14" t="s">
        <v>126</v>
      </c>
      <c r="H76" s="14">
        <v>1</v>
      </c>
      <c r="I76" s="14">
        <v>21530</v>
      </c>
      <c r="J76" s="14">
        <v>10</v>
      </c>
      <c r="K76" s="14">
        <v>19377</v>
      </c>
      <c r="L76" s="14" t="s">
        <v>95</v>
      </c>
      <c r="M76" s="14" t="s">
        <v>3980</v>
      </c>
      <c r="N76" s="14" t="s">
        <v>3983</v>
      </c>
      <c r="O76" s="14" t="str">
        <f>IFERROR(INDEX(Cleaned_Products!$C$2:$C$61,MATCH(F76,Cleaned_Products!$A$2:$A$61,0)),"Unknown")</f>
        <v>Bracelets</v>
      </c>
      <c r="P76" s="14" t="str">
        <f>IFERROR(INDEX(Cleaned_Products!$D$2:$D$61,MATCH(F76,Cleaned_Products!$A$2:$A$61,0)),"Unknown")</f>
        <v>Platinum</v>
      </c>
    </row>
    <row r="77" spans="1:16" x14ac:dyDescent="0.35">
      <c r="A77" s="14" t="s">
        <v>527</v>
      </c>
      <c r="B77" s="21">
        <v>45750</v>
      </c>
      <c r="C77" s="14" t="s">
        <v>4006</v>
      </c>
      <c r="D77" s="14">
        <v>2025</v>
      </c>
      <c r="E77" s="14" t="s">
        <v>134</v>
      </c>
      <c r="F77" s="14" t="s">
        <v>529</v>
      </c>
      <c r="G77" s="14" t="s">
        <v>64</v>
      </c>
      <c r="H77" s="14">
        <v>3</v>
      </c>
      <c r="I77" s="14">
        <v>247490</v>
      </c>
      <c r="J77" s="14">
        <v>0</v>
      </c>
      <c r="K77" s="14">
        <v>742470</v>
      </c>
      <c r="L77" s="14" t="s">
        <v>3977</v>
      </c>
      <c r="M77" s="14" t="s">
        <v>3975</v>
      </c>
      <c r="N77" s="14" t="s">
        <v>531</v>
      </c>
      <c r="O77" s="14" t="str">
        <f>IFERROR(INDEX(Cleaned_Products!$C$2:$C$61,MATCH(F77,Cleaned_Products!$A$2:$A$61,0)),"Unknown")</f>
        <v>Bangles</v>
      </c>
      <c r="P77" s="14" t="str">
        <f>IFERROR(INDEX(Cleaned_Products!$D$2:$D$61,MATCH(F77,Cleaned_Products!$A$2:$A$61,0)),"Unknown")</f>
        <v>Silver</v>
      </c>
    </row>
    <row r="78" spans="1:16" x14ac:dyDescent="0.35">
      <c r="A78" s="14" t="s">
        <v>532</v>
      </c>
      <c r="B78" s="21">
        <v>45137</v>
      </c>
      <c r="C78" s="14" t="s">
        <v>3988</v>
      </c>
      <c r="D78" s="14">
        <v>2023</v>
      </c>
      <c r="E78" s="14" t="s">
        <v>534</v>
      </c>
      <c r="F78" s="14" t="s">
        <v>418</v>
      </c>
      <c r="G78" s="14" t="s">
        <v>108</v>
      </c>
      <c r="H78" s="14">
        <v>3</v>
      </c>
      <c r="I78" s="14">
        <v>40390</v>
      </c>
      <c r="J78" s="14">
        <v>5</v>
      </c>
      <c r="K78" s="14">
        <v>115111.5</v>
      </c>
      <c r="L78" s="14" t="s">
        <v>95</v>
      </c>
      <c r="M78" s="14" t="s">
        <v>3980</v>
      </c>
      <c r="N78" s="14" t="s">
        <v>3983</v>
      </c>
      <c r="O78" s="14" t="str">
        <f>IFERROR(INDEX(Cleaned_Products!$C$2:$C$61,MATCH(F78,Cleaned_Products!$A$2:$A$61,0)),"Unknown")</f>
        <v>Rings</v>
      </c>
      <c r="P78" s="14" t="str">
        <f>IFERROR(INDEX(Cleaned_Products!$D$2:$D$61,MATCH(F78,Cleaned_Products!$A$2:$A$61,0)),"Unknown")</f>
        <v>Rose Gold</v>
      </c>
    </row>
    <row r="79" spans="1:16" x14ac:dyDescent="0.35">
      <c r="A79" s="14" t="s">
        <v>535</v>
      </c>
      <c r="B79" s="21">
        <v>45318</v>
      </c>
      <c r="C79" s="14" t="s">
        <v>3993</v>
      </c>
      <c r="D79" s="14">
        <v>2024</v>
      </c>
      <c r="E79" s="14" t="s">
        <v>134</v>
      </c>
      <c r="F79" s="14" t="s">
        <v>135</v>
      </c>
      <c r="G79" s="14" t="s">
        <v>56</v>
      </c>
      <c r="H79" s="14">
        <v>2</v>
      </c>
      <c r="I79" s="14">
        <v>47770</v>
      </c>
      <c r="J79" s="14">
        <v>10</v>
      </c>
      <c r="K79" s="14">
        <v>85986</v>
      </c>
      <c r="L79" s="14" t="s">
        <v>95</v>
      </c>
      <c r="M79" s="14" t="s">
        <v>3980</v>
      </c>
      <c r="N79" s="14" t="s">
        <v>3983</v>
      </c>
      <c r="O79" s="14" t="str">
        <f>IFERROR(INDEX(Cleaned_Products!$C$2:$C$61,MATCH(F79,Cleaned_Products!$A$2:$A$61,0)),"Unknown")</f>
        <v>Necklaces</v>
      </c>
      <c r="P79" s="14" t="str">
        <f>IFERROR(INDEX(Cleaned_Products!$D$2:$D$61,MATCH(F79,Cleaned_Products!$A$2:$A$61,0)),"Unknown")</f>
        <v>Silver</v>
      </c>
    </row>
    <row r="80" spans="1:16" x14ac:dyDescent="0.35">
      <c r="A80" s="14" t="s">
        <v>538</v>
      </c>
      <c r="B80" s="21">
        <v>44945</v>
      </c>
      <c r="C80" s="14" t="s">
        <v>3987</v>
      </c>
      <c r="D80" s="14">
        <v>2023</v>
      </c>
      <c r="E80" s="14" t="s">
        <v>400</v>
      </c>
      <c r="F80" s="14" t="s">
        <v>63</v>
      </c>
      <c r="G80" s="14" t="s">
        <v>126</v>
      </c>
      <c r="H80" s="14">
        <v>2</v>
      </c>
      <c r="I80" s="14">
        <v>236370</v>
      </c>
      <c r="J80" s="14">
        <v>10</v>
      </c>
      <c r="K80" s="14">
        <v>425466</v>
      </c>
      <c r="L80" s="14" t="s">
        <v>73</v>
      </c>
      <c r="M80" s="14" t="s">
        <v>3975</v>
      </c>
      <c r="N80" s="14" t="s">
        <v>540</v>
      </c>
      <c r="O80" s="14" t="str">
        <f>IFERROR(INDEX(Cleaned_Products!$C$2:$C$61,MATCH(F80,Cleaned_Products!$A$2:$A$61,0)),"Unknown")</f>
        <v>Anklets</v>
      </c>
      <c r="P80" s="14" t="str">
        <f>IFERROR(INDEX(Cleaned_Products!$D$2:$D$61,MATCH(F80,Cleaned_Products!$A$2:$A$61,0)),"Unknown")</f>
        <v>Diamond</v>
      </c>
    </row>
    <row r="81" spans="1:16" x14ac:dyDescent="0.35">
      <c r="A81" s="14" t="s">
        <v>541</v>
      </c>
      <c r="B81" s="21">
        <v>45659</v>
      </c>
      <c r="C81" s="14" t="s">
        <v>4005</v>
      </c>
      <c r="D81" s="14">
        <v>2025</v>
      </c>
      <c r="E81" s="14" t="s">
        <v>504</v>
      </c>
      <c r="F81" s="14" t="s">
        <v>212</v>
      </c>
      <c r="G81" s="14" t="s">
        <v>108</v>
      </c>
      <c r="H81" s="14">
        <v>3</v>
      </c>
      <c r="I81" s="14">
        <v>68100</v>
      </c>
      <c r="J81" s="14">
        <v>0</v>
      </c>
      <c r="K81" s="14">
        <v>204300</v>
      </c>
      <c r="L81" s="14" t="s">
        <v>3974</v>
      </c>
      <c r="M81" s="14" t="s">
        <v>3980</v>
      </c>
      <c r="N81" s="14" t="s">
        <v>544</v>
      </c>
      <c r="O81" s="14" t="str">
        <f>IFERROR(INDEX(Cleaned_Products!$C$2:$C$61,MATCH(F81,Cleaned_Products!$A$2:$A$61,0)),"Unknown")</f>
        <v>Nose Pins</v>
      </c>
      <c r="P81" s="14" t="str">
        <f>IFERROR(INDEX(Cleaned_Products!$D$2:$D$61,MATCH(F81,Cleaned_Products!$A$2:$A$61,0)),"Unknown")</f>
        <v>Platinum</v>
      </c>
    </row>
    <row r="82" spans="1:16" x14ac:dyDescent="0.35">
      <c r="A82" s="14" t="s">
        <v>547</v>
      </c>
      <c r="B82" s="21">
        <v>45493</v>
      </c>
      <c r="C82" s="14" t="s">
        <v>4009</v>
      </c>
      <c r="D82" s="14">
        <v>2024</v>
      </c>
      <c r="E82" s="14" t="s">
        <v>549</v>
      </c>
      <c r="F82" s="14" t="s">
        <v>550</v>
      </c>
      <c r="G82" s="14" t="s">
        <v>80</v>
      </c>
      <c r="H82" s="14">
        <v>1</v>
      </c>
      <c r="I82" s="14">
        <v>168100</v>
      </c>
      <c r="J82" s="14">
        <v>5</v>
      </c>
      <c r="K82" s="14">
        <v>159695</v>
      </c>
      <c r="L82" s="14" t="s">
        <v>3979</v>
      </c>
      <c r="M82" s="14" t="s">
        <v>3980</v>
      </c>
      <c r="N82" s="14" t="s">
        <v>3983</v>
      </c>
      <c r="O82" s="14" t="str">
        <f>IFERROR(INDEX(Cleaned_Products!$C$2:$C$61,MATCH(F82,Cleaned_Products!$A$2:$A$61,0)),"Unknown")</f>
        <v>Bracelets</v>
      </c>
      <c r="P82" s="14" t="str">
        <f>IFERROR(INDEX(Cleaned_Products!$D$2:$D$61,MATCH(F82,Cleaned_Products!$A$2:$A$61,0)),"Unknown")</f>
        <v>Silver</v>
      </c>
    </row>
    <row r="83" spans="1:16" x14ac:dyDescent="0.35">
      <c r="A83" s="14" t="s">
        <v>551</v>
      </c>
      <c r="B83" s="21">
        <v>45484</v>
      </c>
      <c r="C83" s="14" t="s">
        <v>4009</v>
      </c>
      <c r="D83" s="14">
        <v>2024</v>
      </c>
      <c r="E83" s="14" t="s">
        <v>534</v>
      </c>
      <c r="F83" s="14" t="s">
        <v>315</v>
      </c>
      <c r="G83" s="14" t="s">
        <v>108</v>
      </c>
      <c r="H83" s="14">
        <v>1</v>
      </c>
      <c r="I83" s="14">
        <v>227870</v>
      </c>
      <c r="J83" s="14">
        <v>10</v>
      </c>
      <c r="K83" s="14">
        <v>205083</v>
      </c>
      <c r="L83" s="14" t="s">
        <v>3977</v>
      </c>
      <c r="M83" s="14" t="s">
        <v>3980</v>
      </c>
      <c r="N83" s="14" t="s">
        <v>3983</v>
      </c>
      <c r="O83" s="14" t="str">
        <f>IFERROR(INDEX(Cleaned_Products!$C$2:$C$61,MATCH(F83,Cleaned_Products!$A$2:$A$61,0)),"Unknown")</f>
        <v>Bracelets</v>
      </c>
      <c r="P83" s="14" t="str">
        <f>IFERROR(INDEX(Cleaned_Products!$D$2:$D$61,MATCH(F83,Cleaned_Products!$A$2:$A$61,0)),"Unknown")</f>
        <v>Rose Gold</v>
      </c>
    </row>
    <row r="84" spans="1:16" x14ac:dyDescent="0.35">
      <c r="A84" s="14" t="s">
        <v>553</v>
      </c>
      <c r="B84" s="21">
        <v>45334</v>
      </c>
      <c r="C84" s="14" t="s">
        <v>3999</v>
      </c>
      <c r="D84" s="14">
        <v>2024</v>
      </c>
      <c r="E84" s="14" t="s">
        <v>3995</v>
      </c>
      <c r="F84" s="14" t="s">
        <v>550</v>
      </c>
      <c r="G84" s="14" t="s">
        <v>64</v>
      </c>
      <c r="H84" s="14">
        <v>1</v>
      </c>
      <c r="I84" s="14">
        <v>221260</v>
      </c>
      <c r="J84" s="14">
        <v>0</v>
      </c>
      <c r="K84" s="14">
        <v>221260</v>
      </c>
      <c r="L84" s="14" t="s">
        <v>3974</v>
      </c>
      <c r="M84" s="14" t="s">
        <v>3975</v>
      </c>
      <c r="N84" s="14" t="s">
        <v>555</v>
      </c>
      <c r="O84" s="14" t="str">
        <f>IFERROR(INDEX(Cleaned_Products!$C$2:$C$61,MATCH(F84,Cleaned_Products!$A$2:$A$61,0)),"Unknown")</f>
        <v>Bracelets</v>
      </c>
      <c r="P84" s="14" t="str">
        <f>IFERROR(INDEX(Cleaned_Products!$D$2:$D$61,MATCH(F84,Cleaned_Products!$A$2:$A$61,0)),"Unknown")</f>
        <v>Silver</v>
      </c>
    </row>
    <row r="85" spans="1:16" x14ac:dyDescent="0.35">
      <c r="A85" s="14" t="s">
        <v>556</v>
      </c>
      <c r="B85" s="21">
        <v>45795</v>
      </c>
      <c r="C85" s="14" t="s">
        <v>4004</v>
      </c>
      <c r="D85" s="14">
        <v>2025</v>
      </c>
      <c r="E85" s="14" t="s">
        <v>558</v>
      </c>
      <c r="F85" s="14" t="s">
        <v>249</v>
      </c>
      <c r="G85" s="14" t="s">
        <v>101</v>
      </c>
      <c r="H85" s="14">
        <v>2</v>
      </c>
      <c r="I85" s="14">
        <v>229510</v>
      </c>
      <c r="J85" s="14">
        <v>0</v>
      </c>
      <c r="K85" s="14">
        <v>459020</v>
      </c>
      <c r="L85" s="14" t="s">
        <v>95</v>
      </c>
      <c r="M85" s="14" t="s">
        <v>3975</v>
      </c>
      <c r="N85" s="14" t="s">
        <v>559</v>
      </c>
      <c r="O85" s="14" t="str">
        <f>IFERROR(INDEX(Cleaned_Products!$C$2:$C$61,MATCH(F85,Cleaned_Products!$A$2:$A$61,0)),"Unknown")</f>
        <v>Pendants</v>
      </c>
      <c r="P85" s="14" t="str">
        <f>IFERROR(INDEX(Cleaned_Products!$D$2:$D$61,MATCH(F85,Cleaned_Products!$A$2:$A$61,0)),"Unknown")</f>
        <v>Rose Gold</v>
      </c>
    </row>
    <row r="86" spans="1:16" x14ac:dyDescent="0.35">
      <c r="A86" s="14" t="s">
        <v>560</v>
      </c>
      <c r="B86" s="21">
        <v>44943</v>
      </c>
      <c r="C86" s="14" t="s">
        <v>3987</v>
      </c>
      <c r="D86" s="14">
        <v>2023</v>
      </c>
      <c r="E86" s="14" t="s">
        <v>562</v>
      </c>
      <c r="F86" s="14" t="s">
        <v>435</v>
      </c>
      <c r="G86" s="14" t="s">
        <v>101</v>
      </c>
      <c r="H86" s="14">
        <v>2</v>
      </c>
      <c r="I86" s="14">
        <v>47630</v>
      </c>
      <c r="J86" s="14">
        <v>5</v>
      </c>
      <c r="K86" s="14">
        <v>90497</v>
      </c>
      <c r="L86" s="14" t="s">
        <v>121</v>
      </c>
      <c r="M86" s="14" t="s">
        <v>3980</v>
      </c>
      <c r="N86" s="14" t="s">
        <v>564</v>
      </c>
      <c r="O86" s="14" t="str">
        <f>IFERROR(INDEX(Cleaned_Products!$C$2:$C$61,MATCH(F86,Cleaned_Products!$A$2:$A$61,0)),"Unknown")</f>
        <v>Bangles</v>
      </c>
      <c r="P86" s="14" t="str">
        <f>IFERROR(INDEX(Cleaned_Products!$D$2:$D$61,MATCH(F86,Cleaned_Products!$A$2:$A$61,0)),"Unknown")</f>
        <v>Platinum</v>
      </c>
    </row>
    <row r="87" spans="1:16" x14ac:dyDescent="0.35">
      <c r="A87" s="14" t="s">
        <v>565</v>
      </c>
      <c r="B87" s="21">
        <v>45298</v>
      </c>
      <c r="C87" s="14" t="s">
        <v>3993</v>
      </c>
      <c r="D87" s="14">
        <v>2024</v>
      </c>
      <c r="E87" s="14" t="s">
        <v>301</v>
      </c>
      <c r="F87" s="14" t="s">
        <v>55</v>
      </c>
      <c r="G87" s="14" t="s">
        <v>126</v>
      </c>
      <c r="H87" s="14">
        <v>1</v>
      </c>
      <c r="I87" s="14">
        <v>52240</v>
      </c>
      <c r="J87" s="14">
        <v>0</v>
      </c>
      <c r="K87" s="14">
        <v>52240</v>
      </c>
      <c r="L87" s="14" t="s">
        <v>3979</v>
      </c>
      <c r="M87" s="14" t="s">
        <v>3975</v>
      </c>
      <c r="N87" s="14" t="s">
        <v>567</v>
      </c>
      <c r="O87" s="14" t="str">
        <f>IFERROR(INDEX(Cleaned_Products!$C$2:$C$61,MATCH(F87,Cleaned_Products!$A$2:$A$61,0)),"Unknown")</f>
        <v>Anklets</v>
      </c>
      <c r="P87" s="14" t="str">
        <f>IFERROR(INDEX(Cleaned_Products!$D$2:$D$61,MATCH(F87,Cleaned_Products!$A$2:$A$61,0)),"Unknown")</f>
        <v>Gold</v>
      </c>
    </row>
    <row r="88" spans="1:16" x14ac:dyDescent="0.35">
      <c r="A88" s="14" t="s">
        <v>568</v>
      </c>
      <c r="B88" s="21">
        <v>45557</v>
      </c>
      <c r="C88" s="14" t="s">
        <v>4003</v>
      </c>
      <c r="D88" s="14">
        <v>2024</v>
      </c>
      <c r="E88" s="14" t="s">
        <v>549</v>
      </c>
      <c r="F88" s="14" t="s">
        <v>550</v>
      </c>
      <c r="G88" s="14" t="s">
        <v>126</v>
      </c>
      <c r="H88" s="14">
        <v>1</v>
      </c>
      <c r="I88" s="14">
        <v>96060</v>
      </c>
      <c r="J88" s="14">
        <v>0</v>
      </c>
      <c r="K88" s="14">
        <v>96060</v>
      </c>
      <c r="L88" s="14" t="s">
        <v>3977</v>
      </c>
      <c r="M88" s="14" t="s">
        <v>3980</v>
      </c>
      <c r="N88" s="14" t="s">
        <v>570</v>
      </c>
      <c r="O88" s="14" t="str">
        <f>IFERROR(INDEX(Cleaned_Products!$C$2:$C$61,MATCH(F88,Cleaned_Products!$A$2:$A$61,0)),"Unknown")</f>
        <v>Bracelets</v>
      </c>
      <c r="P88" s="14" t="str">
        <f>IFERROR(INDEX(Cleaned_Products!$D$2:$D$61,MATCH(F88,Cleaned_Products!$A$2:$A$61,0)),"Unknown")</f>
        <v>Silver</v>
      </c>
    </row>
    <row r="89" spans="1:16" x14ac:dyDescent="0.35">
      <c r="A89" s="14" t="s">
        <v>571</v>
      </c>
      <c r="B89" s="21">
        <v>45115</v>
      </c>
      <c r="C89" s="14" t="s">
        <v>3988</v>
      </c>
      <c r="D89" s="14">
        <v>2023</v>
      </c>
      <c r="E89" s="14" t="s">
        <v>573</v>
      </c>
      <c r="F89" s="14" t="s">
        <v>212</v>
      </c>
      <c r="G89" s="14" t="s">
        <v>101</v>
      </c>
      <c r="H89" s="14">
        <v>1</v>
      </c>
      <c r="I89" s="14">
        <v>102560</v>
      </c>
      <c r="J89" s="14">
        <v>10</v>
      </c>
      <c r="K89" s="14">
        <v>92304</v>
      </c>
      <c r="L89" s="14" t="s">
        <v>95</v>
      </c>
      <c r="M89" s="14" t="s">
        <v>3980</v>
      </c>
      <c r="N89" s="14" t="s">
        <v>3983</v>
      </c>
      <c r="O89" s="14" t="str">
        <f>IFERROR(INDEX(Cleaned_Products!$C$2:$C$61,MATCH(F89,Cleaned_Products!$A$2:$A$61,0)),"Unknown")</f>
        <v>Nose Pins</v>
      </c>
      <c r="P89" s="14" t="str">
        <f>IFERROR(INDEX(Cleaned_Products!$D$2:$D$61,MATCH(F89,Cleaned_Products!$A$2:$A$61,0)),"Unknown")</f>
        <v>Platinum</v>
      </c>
    </row>
    <row r="90" spans="1:16" x14ac:dyDescent="0.35">
      <c r="A90" s="14" t="s">
        <v>574</v>
      </c>
      <c r="B90" s="21">
        <v>44982</v>
      </c>
      <c r="C90" s="14" t="s">
        <v>4001</v>
      </c>
      <c r="D90" s="14">
        <v>2023</v>
      </c>
      <c r="E90" s="14" t="s">
        <v>148</v>
      </c>
      <c r="F90" s="14" t="s">
        <v>576</v>
      </c>
      <c r="G90" s="14" t="s">
        <v>56</v>
      </c>
      <c r="H90" s="14">
        <v>1</v>
      </c>
      <c r="I90" s="14">
        <v>88440</v>
      </c>
      <c r="J90" s="14">
        <v>15</v>
      </c>
      <c r="K90" s="14">
        <v>75174</v>
      </c>
      <c r="L90" s="14" t="s">
        <v>3974</v>
      </c>
      <c r="M90" s="14" t="s">
        <v>3980</v>
      </c>
      <c r="N90" s="14" t="s">
        <v>3983</v>
      </c>
      <c r="O90" s="14" t="str">
        <f>IFERROR(INDEX(Cleaned_Products!$C$2:$C$61,MATCH(F90,Cleaned_Products!$A$2:$A$61,0)),"Unknown")</f>
        <v>Bangles</v>
      </c>
      <c r="P90" s="14" t="str">
        <f>IFERROR(INDEX(Cleaned_Products!$D$2:$D$61,MATCH(F90,Cleaned_Products!$A$2:$A$61,0)),"Unknown")</f>
        <v>Diamond</v>
      </c>
    </row>
    <row r="91" spans="1:16" x14ac:dyDescent="0.35">
      <c r="A91" s="14" t="s">
        <v>580</v>
      </c>
      <c r="B91" s="21">
        <v>45648</v>
      </c>
      <c r="C91" s="14" t="s">
        <v>3986</v>
      </c>
      <c r="D91" s="14">
        <v>2024</v>
      </c>
      <c r="E91" s="14" t="s">
        <v>54</v>
      </c>
      <c r="F91" s="14" t="s">
        <v>100</v>
      </c>
      <c r="G91" s="14" t="s">
        <v>64</v>
      </c>
      <c r="H91" s="14">
        <v>2</v>
      </c>
      <c r="I91" s="14">
        <v>136450</v>
      </c>
      <c r="J91" s="14">
        <v>10</v>
      </c>
      <c r="K91" s="14">
        <v>245610</v>
      </c>
      <c r="L91" s="14" t="s">
        <v>121</v>
      </c>
      <c r="M91" s="14" t="s">
        <v>3980</v>
      </c>
      <c r="N91" s="14" t="s">
        <v>582</v>
      </c>
      <c r="O91" s="14" t="str">
        <f>IFERROR(INDEX(Cleaned_Products!$C$2:$C$61,MATCH(F91,Cleaned_Products!$A$2:$A$61,0)),"Unknown")</f>
        <v>Nose Pins</v>
      </c>
      <c r="P91" s="14" t="str">
        <f>IFERROR(INDEX(Cleaned_Products!$D$2:$D$61,MATCH(F91,Cleaned_Products!$A$2:$A$61,0)),"Unknown")</f>
        <v>Diamond</v>
      </c>
    </row>
    <row r="92" spans="1:16" x14ac:dyDescent="0.35">
      <c r="A92" s="14" t="s">
        <v>583</v>
      </c>
      <c r="B92" s="21">
        <v>45569</v>
      </c>
      <c r="C92" s="14" t="s">
        <v>3981</v>
      </c>
      <c r="D92" s="14">
        <v>2024</v>
      </c>
      <c r="E92" s="14" t="s">
        <v>396</v>
      </c>
      <c r="F92" s="14" t="s">
        <v>154</v>
      </c>
      <c r="G92" s="14" t="s">
        <v>72</v>
      </c>
      <c r="H92" s="14">
        <v>2</v>
      </c>
      <c r="I92" s="14">
        <v>169640</v>
      </c>
      <c r="J92" s="14">
        <v>5</v>
      </c>
      <c r="K92" s="14">
        <v>322316</v>
      </c>
      <c r="L92" s="14" t="s">
        <v>3974</v>
      </c>
      <c r="M92" s="14" t="s">
        <v>3975</v>
      </c>
      <c r="N92" s="14" t="s">
        <v>586</v>
      </c>
      <c r="O92" s="14" t="str">
        <f>IFERROR(INDEX(Cleaned_Products!$C$2:$C$61,MATCH(F92,Cleaned_Products!$A$2:$A$61,0)),"Unknown")</f>
        <v>Rings</v>
      </c>
      <c r="P92" s="14" t="str">
        <f>IFERROR(INDEX(Cleaned_Products!$D$2:$D$61,MATCH(F92,Cleaned_Products!$A$2:$A$61,0)),"Unknown")</f>
        <v>Silver</v>
      </c>
    </row>
    <row r="93" spans="1:16" x14ac:dyDescent="0.35">
      <c r="A93" s="14" t="s">
        <v>587</v>
      </c>
      <c r="B93" s="21">
        <v>45599</v>
      </c>
      <c r="C93" s="14" t="s">
        <v>3976</v>
      </c>
      <c r="D93" s="14">
        <v>2024</v>
      </c>
      <c r="E93" s="14" t="s">
        <v>3995</v>
      </c>
      <c r="F93" s="14" t="s">
        <v>107</v>
      </c>
      <c r="G93" s="14" t="s">
        <v>80</v>
      </c>
      <c r="H93" s="14">
        <v>1</v>
      </c>
      <c r="I93" s="14">
        <v>25250</v>
      </c>
      <c r="J93" s="14">
        <v>0</v>
      </c>
      <c r="K93" s="14">
        <v>25250</v>
      </c>
      <c r="L93" s="14" t="s">
        <v>73</v>
      </c>
      <c r="M93" s="14" t="s">
        <v>3980</v>
      </c>
      <c r="N93" s="14" t="s">
        <v>3983</v>
      </c>
      <c r="O93" s="14" t="str">
        <f>IFERROR(INDEX(Cleaned_Products!$C$2:$C$61,MATCH(F93,Cleaned_Products!$A$2:$A$61,0)),"Unknown")</f>
        <v>Earrings</v>
      </c>
      <c r="P93" s="14" t="str">
        <f>IFERROR(INDEX(Cleaned_Products!$D$2:$D$61,MATCH(F93,Cleaned_Products!$A$2:$A$61,0)),"Unknown")</f>
        <v>Platinum</v>
      </c>
    </row>
    <row r="94" spans="1:16" x14ac:dyDescent="0.35">
      <c r="A94" s="14" t="s">
        <v>589</v>
      </c>
      <c r="B94" s="21">
        <v>45227</v>
      </c>
      <c r="C94" s="14" t="s">
        <v>3990</v>
      </c>
      <c r="D94" s="14">
        <v>2023</v>
      </c>
      <c r="E94" s="14" t="s">
        <v>591</v>
      </c>
      <c r="F94" s="14" t="s">
        <v>348</v>
      </c>
      <c r="G94" s="14" t="s">
        <v>72</v>
      </c>
      <c r="H94" s="14">
        <v>2</v>
      </c>
      <c r="I94" s="14">
        <v>231070</v>
      </c>
      <c r="J94" s="14">
        <v>0</v>
      </c>
      <c r="K94" s="14">
        <v>462140</v>
      </c>
      <c r="L94" s="14" t="s">
        <v>3974</v>
      </c>
      <c r="M94" s="14" t="s">
        <v>3975</v>
      </c>
      <c r="N94" s="14" t="s">
        <v>592</v>
      </c>
      <c r="O94" s="14" t="str">
        <f>IFERROR(INDEX(Cleaned_Products!$C$2:$C$61,MATCH(F94,Cleaned_Products!$A$2:$A$61,0)),"Unknown")</f>
        <v>Rings</v>
      </c>
      <c r="P94" s="14" t="str">
        <f>IFERROR(INDEX(Cleaned_Products!$D$2:$D$61,MATCH(F94,Cleaned_Products!$A$2:$A$61,0)),"Unknown")</f>
        <v>Gold</v>
      </c>
    </row>
    <row r="95" spans="1:16" x14ac:dyDescent="0.35">
      <c r="A95" s="14" t="s">
        <v>595</v>
      </c>
      <c r="B95" s="21">
        <v>44938</v>
      </c>
      <c r="C95" s="14" t="s">
        <v>3987</v>
      </c>
      <c r="D95" s="14">
        <v>2023</v>
      </c>
      <c r="E95" s="14" t="s">
        <v>597</v>
      </c>
      <c r="F95" s="14" t="s">
        <v>240</v>
      </c>
      <c r="G95" s="14" t="s">
        <v>56</v>
      </c>
      <c r="H95" s="14">
        <v>2</v>
      </c>
      <c r="I95" s="14">
        <v>198390</v>
      </c>
      <c r="J95" s="14">
        <v>10</v>
      </c>
      <c r="K95" s="14">
        <v>357102</v>
      </c>
      <c r="L95" s="14" t="s">
        <v>3979</v>
      </c>
      <c r="M95" s="14" t="s">
        <v>3975</v>
      </c>
      <c r="N95" s="14" t="s">
        <v>599</v>
      </c>
      <c r="O95" s="14" t="str">
        <f>IFERROR(INDEX(Cleaned_Products!$C$2:$C$61,MATCH(F95,Cleaned_Products!$A$2:$A$61,0)),"Unknown")</f>
        <v>Bangles</v>
      </c>
      <c r="P95" s="14" t="str">
        <f>IFERROR(INDEX(Cleaned_Products!$D$2:$D$61,MATCH(F95,Cleaned_Products!$A$2:$A$61,0)),"Unknown")</f>
        <v>Platinum</v>
      </c>
    </row>
    <row r="96" spans="1:16" x14ac:dyDescent="0.35">
      <c r="A96" s="14" t="s">
        <v>604</v>
      </c>
      <c r="B96" s="21">
        <v>45188</v>
      </c>
      <c r="C96" s="14" t="s">
        <v>3996</v>
      </c>
      <c r="D96" s="14">
        <v>2023</v>
      </c>
      <c r="E96" s="14" t="s">
        <v>294</v>
      </c>
      <c r="F96" s="14" t="s">
        <v>472</v>
      </c>
      <c r="G96" s="14" t="s">
        <v>80</v>
      </c>
      <c r="H96" s="14">
        <v>2</v>
      </c>
      <c r="I96" s="14">
        <v>186230</v>
      </c>
      <c r="J96" s="14">
        <v>0</v>
      </c>
      <c r="K96" s="14">
        <v>372460</v>
      </c>
      <c r="L96" s="14" t="s">
        <v>121</v>
      </c>
      <c r="M96" s="14" t="s">
        <v>3975</v>
      </c>
      <c r="N96" s="14" t="s">
        <v>607</v>
      </c>
      <c r="O96" s="14" t="str">
        <f>IFERROR(INDEX(Cleaned_Products!$C$2:$C$61,MATCH(F96,Cleaned_Products!$A$2:$A$61,0)),"Unknown")</f>
        <v>Nose Pins</v>
      </c>
      <c r="P96" s="14" t="str">
        <f>IFERROR(INDEX(Cleaned_Products!$D$2:$D$61,MATCH(F96,Cleaned_Products!$A$2:$A$61,0)),"Unknown")</f>
        <v>Platinum</v>
      </c>
    </row>
    <row r="97" spans="1:16" x14ac:dyDescent="0.35">
      <c r="A97" s="14" t="s">
        <v>608</v>
      </c>
      <c r="B97" s="21">
        <v>45132</v>
      </c>
      <c r="C97" s="14" t="s">
        <v>3988</v>
      </c>
      <c r="D97" s="14">
        <v>2023</v>
      </c>
      <c r="E97" s="14" t="s">
        <v>239</v>
      </c>
      <c r="F97" s="14" t="s">
        <v>435</v>
      </c>
      <c r="G97" s="14" t="s">
        <v>64</v>
      </c>
      <c r="H97" s="14">
        <v>1</v>
      </c>
      <c r="I97" s="14">
        <v>229840</v>
      </c>
      <c r="J97" s="14">
        <v>15</v>
      </c>
      <c r="K97" s="14">
        <v>195364</v>
      </c>
      <c r="L97" s="14" t="s">
        <v>3977</v>
      </c>
      <c r="M97" s="14" t="s">
        <v>3975</v>
      </c>
      <c r="N97" s="14" t="s">
        <v>610</v>
      </c>
      <c r="O97" s="14" t="str">
        <f>IFERROR(INDEX(Cleaned_Products!$C$2:$C$61,MATCH(F97,Cleaned_Products!$A$2:$A$61,0)),"Unknown")</f>
        <v>Bangles</v>
      </c>
      <c r="P97" s="14" t="str">
        <f>IFERROR(INDEX(Cleaned_Products!$D$2:$D$61,MATCH(F97,Cleaned_Products!$A$2:$A$61,0)),"Unknown")</f>
        <v>Platinum</v>
      </c>
    </row>
    <row r="98" spans="1:16" x14ac:dyDescent="0.35">
      <c r="A98" s="14" t="s">
        <v>611</v>
      </c>
      <c r="B98" s="21">
        <v>45044</v>
      </c>
      <c r="C98" s="14" t="s">
        <v>4010</v>
      </c>
      <c r="D98" s="14">
        <v>2023</v>
      </c>
      <c r="E98" s="14" t="s">
        <v>613</v>
      </c>
      <c r="F98" s="14" t="s">
        <v>529</v>
      </c>
      <c r="G98" s="14" t="s">
        <v>126</v>
      </c>
      <c r="H98" s="14">
        <v>3</v>
      </c>
      <c r="I98" s="14">
        <v>14800</v>
      </c>
      <c r="J98" s="14">
        <v>10</v>
      </c>
      <c r="K98" s="14">
        <v>39960</v>
      </c>
      <c r="L98" s="14" t="s">
        <v>3977</v>
      </c>
      <c r="M98" s="14" t="s">
        <v>3980</v>
      </c>
      <c r="N98" s="14" t="s">
        <v>615</v>
      </c>
      <c r="O98" s="14" t="str">
        <f>IFERROR(INDEX(Cleaned_Products!$C$2:$C$61,MATCH(F98,Cleaned_Products!$A$2:$A$61,0)),"Unknown")</f>
        <v>Bangles</v>
      </c>
      <c r="P98" s="14" t="str">
        <f>IFERROR(INDEX(Cleaned_Products!$D$2:$D$61,MATCH(F98,Cleaned_Products!$A$2:$A$61,0)),"Unknown")</f>
        <v>Silver</v>
      </c>
    </row>
    <row r="99" spans="1:16" x14ac:dyDescent="0.35">
      <c r="A99" s="14" t="s">
        <v>616</v>
      </c>
      <c r="B99" s="21">
        <v>45660</v>
      </c>
      <c r="C99" s="14" t="s">
        <v>4005</v>
      </c>
      <c r="D99" s="14">
        <v>2025</v>
      </c>
      <c r="E99" s="14" t="s">
        <v>111</v>
      </c>
      <c r="F99" s="14" t="s">
        <v>79</v>
      </c>
      <c r="G99" s="14" t="s">
        <v>64</v>
      </c>
      <c r="H99" s="14">
        <v>1</v>
      </c>
      <c r="I99" s="14">
        <v>27970</v>
      </c>
      <c r="J99" s="14">
        <v>0</v>
      </c>
      <c r="K99" s="14">
        <v>27970</v>
      </c>
      <c r="L99" s="14" t="s">
        <v>3977</v>
      </c>
      <c r="M99" s="14" t="s">
        <v>3975</v>
      </c>
      <c r="N99" s="14" t="s">
        <v>618</v>
      </c>
      <c r="O99" s="14" t="str">
        <f>IFERROR(INDEX(Cleaned_Products!$C$2:$C$61,MATCH(F99,Cleaned_Products!$A$2:$A$61,0)),"Unknown")</f>
        <v>Rings</v>
      </c>
      <c r="P99" s="14" t="str">
        <f>IFERROR(INDEX(Cleaned_Products!$D$2:$D$61,MATCH(F99,Cleaned_Products!$A$2:$A$61,0)),"Unknown")</f>
        <v>Rose Gold</v>
      </c>
    </row>
    <row r="100" spans="1:16" x14ac:dyDescent="0.35">
      <c r="A100" s="14" t="s">
        <v>626</v>
      </c>
      <c r="B100" s="21">
        <v>45674</v>
      </c>
      <c r="C100" s="14" t="s">
        <v>4005</v>
      </c>
      <c r="D100" s="14">
        <v>2025</v>
      </c>
      <c r="E100" s="14" t="s">
        <v>347</v>
      </c>
      <c r="F100" s="14" t="s">
        <v>55</v>
      </c>
      <c r="G100" s="14" t="s">
        <v>126</v>
      </c>
      <c r="H100" s="14">
        <v>2</v>
      </c>
      <c r="I100" s="14">
        <v>144310</v>
      </c>
      <c r="J100" s="14">
        <v>10</v>
      </c>
      <c r="K100" s="14">
        <v>259758</v>
      </c>
      <c r="L100" s="14" t="s">
        <v>3977</v>
      </c>
      <c r="M100" s="14" t="s">
        <v>3980</v>
      </c>
      <c r="N100" s="14" t="s">
        <v>3983</v>
      </c>
      <c r="O100" s="14" t="str">
        <f>IFERROR(INDEX(Cleaned_Products!$C$2:$C$61,MATCH(F100,Cleaned_Products!$A$2:$A$61,0)),"Unknown")</f>
        <v>Anklets</v>
      </c>
      <c r="P100" s="14" t="str">
        <f>IFERROR(INDEX(Cleaned_Products!$D$2:$D$61,MATCH(F100,Cleaned_Products!$A$2:$A$61,0)),"Unknown")</f>
        <v>Gold</v>
      </c>
    </row>
    <row r="101" spans="1:16" x14ac:dyDescent="0.35">
      <c r="A101" s="14" t="s">
        <v>628</v>
      </c>
      <c r="B101" s="21">
        <v>45230</v>
      </c>
      <c r="C101" s="14" t="s">
        <v>3990</v>
      </c>
      <c r="D101" s="14">
        <v>2023</v>
      </c>
      <c r="E101" s="14" t="s">
        <v>119</v>
      </c>
      <c r="F101" s="14" t="s">
        <v>112</v>
      </c>
      <c r="G101" s="14" t="s">
        <v>72</v>
      </c>
      <c r="H101" s="14">
        <v>1</v>
      </c>
      <c r="I101" s="14">
        <v>4300</v>
      </c>
      <c r="J101" s="14">
        <v>10</v>
      </c>
      <c r="K101" s="14">
        <v>3870</v>
      </c>
      <c r="L101" s="14" t="s">
        <v>3974</v>
      </c>
      <c r="M101" s="14" t="s">
        <v>3980</v>
      </c>
      <c r="N101" s="14" t="s">
        <v>631</v>
      </c>
      <c r="O101" s="14" t="str">
        <f>IFERROR(INDEX(Cleaned_Products!$C$2:$C$61,MATCH(F101,Cleaned_Products!$A$2:$A$61,0)),"Unknown")</f>
        <v>Bangles</v>
      </c>
      <c r="P101" s="14" t="str">
        <f>IFERROR(INDEX(Cleaned_Products!$D$2:$D$61,MATCH(F101,Cleaned_Products!$A$2:$A$61,0)),"Unknown")</f>
        <v>Rose Gold</v>
      </c>
    </row>
    <row r="102" spans="1:16" x14ac:dyDescent="0.35">
      <c r="A102" s="14" t="s">
        <v>632</v>
      </c>
      <c r="B102" s="21">
        <v>45747</v>
      </c>
      <c r="C102" s="14" t="s">
        <v>4002</v>
      </c>
      <c r="D102" s="14">
        <v>2025</v>
      </c>
      <c r="E102" s="14" t="s">
        <v>524</v>
      </c>
      <c r="F102" s="14" t="s">
        <v>216</v>
      </c>
      <c r="G102" s="14" t="s">
        <v>113</v>
      </c>
      <c r="H102" s="14">
        <v>1</v>
      </c>
      <c r="I102" s="14">
        <v>138600</v>
      </c>
      <c r="J102" s="14">
        <v>0</v>
      </c>
      <c r="K102" s="14">
        <v>138600</v>
      </c>
      <c r="L102" s="14" t="s">
        <v>3974</v>
      </c>
      <c r="M102" s="14" t="s">
        <v>3980</v>
      </c>
      <c r="N102" s="14" t="s">
        <v>634</v>
      </c>
      <c r="O102" s="14" t="str">
        <f>IFERROR(INDEX(Cleaned_Products!$C$2:$C$61,MATCH(F102,Cleaned_Products!$A$2:$A$61,0)),"Unknown")</f>
        <v>Bracelets</v>
      </c>
      <c r="P102" s="14" t="str">
        <f>IFERROR(INDEX(Cleaned_Products!$D$2:$D$61,MATCH(F102,Cleaned_Products!$A$2:$A$61,0)),"Unknown")</f>
        <v>Silver</v>
      </c>
    </row>
    <row r="103" spans="1:16" x14ac:dyDescent="0.35">
      <c r="A103" s="14" t="s">
        <v>635</v>
      </c>
      <c r="B103" s="21">
        <v>45335</v>
      </c>
      <c r="C103" s="14" t="s">
        <v>3999</v>
      </c>
      <c r="D103" s="14">
        <v>2024</v>
      </c>
      <c r="E103" s="14" t="s">
        <v>637</v>
      </c>
      <c r="F103" s="14" t="s">
        <v>638</v>
      </c>
      <c r="G103" s="14" t="s">
        <v>101</v>
      </c>
      <c r="H103" s="14">
        <v>1</v>
      </c>
      <c r="I103" s="14">
        <v>122310</v>
      </c>
      <c r="J103" s="14">
        <v>0</v>
      </c>
      <c r="K103" s="14">
        <v>122310</v>
      </c>
      <c r="L103" s="14" t="s">
        <v>73</v>
      </c>
      <c r="M103" s="14" t="s">
        <v>3980</v>
      </c>
      <c r="N103" s="14" t="s">
        <v>3983</v>
      </c>
      <c r="O103" s="14" t="str">
        <f>IFERROR(INDEX(Cleaned_Products!$C$2:$C$61,MATCH(F103,Cleaned_Products!$A$2:$A$61,0)),"Unknown")</f>
        <v>Nose Pins</v>
      </c>
      <c r="P103" s="14" t="str">
        <f>IFERROR(INDEX(Cleaned_Products!$D$2:$D$61,MATCH(F103,Cleaned_Products!$A$2:$A$61,0)),"Unknown")</f>
        <v>Diamond</v>
      </c>
    </row>
    <row r="104" spans="1:16" x14ac:dyDescent="0.35">
      <c r="A104" s="14" t="s">
        <v>640</v>
      </c>
      <c r="B104" s="21">
        <v>45655</v>
      </c>
      <c r="C104" s="14" t="s">
        <v>3986</v>
      </c>
      <c r="D104" s="14">
        <v>2024</v>
      </c>
      <c r="E104" s="14" t="s">
        <v>462</v>
      </c>
      <c r="F104" s="14" t="s">
        <v>342</v>
      </c>
      <c r="G104" s="14" t="s">
        <v>126</v>
      </c>
      <c r="H104" s="14">
        <v>2</v>
      </c>
      <c r="I104" s="14">
        <v>174960</v>
      </c>
      <c r="J104" s="14">
        <v>0</v>
      </c>
      <c r="K104" s="14">
        <v>349920</v>
      </c>
      <c r="L104" s="14" t="s">
        <v>3979</v>
      </c>
      <c r="M104" s="14" t="s">
        <v>3980</v>
      </c>
      <c r="N104" s="14" t="s">
        <v>3983</v>
      </c>
      <c r="O104" s="14" t="str">
        <f>IFERROR(INDEX(Cleaned_Products!$C$2:$C$61,MATCH(F104,Cleaned_Products!$A$2:$A$61,0)),"Unknown")</f>
        <v>Necklaces</v>
      </c>
      <c r="P104" s="14" t="str">
        <f>IFERROR(INDEX(Cleaned_Products!$D$2:$D$61,MATCH(F104,Cleaned_Products!$A$2:$A$61,0)),"Unknown")</f>
        <v>Diamond</v>
      </c>
    </row>
    <row r="105" spans="1:16" x14ac:dyDescent="0.35">
      <c r="A105" s="14" t="s">
        <v>643</v>
      </c>
      <c r="B105" s="21">
        <v>45462</v>
      </c>
      <c r="C105" s="14" t="s">
        <v>3984</v>
      </c>
      <c r="D105" s="14">
        <v>2024</v>
      </c>
      <c r="E105" s="14" t="s">
        <v>645</v>
      </c>
      <c r="F105" s="14" t="s">
        <v>310</v>
      </c>
      <c r="G105" s="14" t="s">
        <v>126</v>
      </c>
      <c r="H105" s="14">
        <v>1</v>
      </c>
      <c r="I105" s="14">
        <v>167000</v>
      </c>
      <c r="J105" s="14">
        <v>0</v>
      </c>
      <c r="K105" s="14">
        <v>167000</v>
      </c>
      <c r="L105" s="14" t="s">
        <v>121</v>
      </c>
      <c r="M105" s="14" t="s">
        <v>3975</v>
      </c>
      <c r="N105" s="14" t="s">
        <v>647</v>
      </c>
      <c r="O105" s="14" t="str">
        <f>IFERROR(INDEX(Cleaned_Products!$C$2:$C$61,MATCH(F105,Cleaned_Products!$A$2:$A$61,0)),"Unknown")</f>
        <v>Pendants</v>
      </c>
      <c r="P105" s="14" t="str">
        <f>IFERROR(INDEX(Cleaned_Products!$D$2:$D$61,MATCH(F105,Cleaned_Products!$A$2:$A$61,0)),"Unknown")</f>
        <v>Gold</v>
      </c>
    </row>
    <row r="106" spans="1:16" x14ac:dyDescent="0.35">
      <c r="A106" s="14" t="s">
        <v>648</v>
      </c>
      <c r="B106" s="21">
        <v>45747</v>
      </c>
      <c r="C106" s="14" t="s">
        <v>4002</v>
      </c>
      <c r="D106" s="14">
        <v>2025</v>
      </c>
      <c r="E106" s="14" t="s">
        <v>183</v>
      </c>
      <c r="F106" s="14" t="s">
        <v>154</v>
      </c>
      <c r="G106" s="14" t="s">
        <v>72</v>
      </c>
      <c r="H106" s="14">
        <v>1</v>
      </c>
      <c r="I106" s="14">
        <v>103170</v>
      </c>
      <c r="J106" s="14">
        <v>5</v>
      </c>
      <c r="K106" s="14">
        <v>98011.5</v>
      </c>
      <c r="L106" s="14" t="s">
        <v>3974</v>
      </c>
      <c r="M106" s="14" t="s">
        <v>3980</v>
      </c>
      <c r="N106" s="14" t="s">
        <v>651</v>
      </c>
      <c r="O106" s="14" t="str">
        <f>IFERROR(INDEX(Cleaned_Products!$C$2:$C$61,MATCH(F106,Cleaned_Products!$A$2:$A$61,0)),"Unknown")</f>
        <v>Rings</v>
      </c>
      <c r="P106" s="14" t="str">
        <f>IFERROR(INDEX(Cleaned_Products!$D$2:$D$61,MATCH(F106,Cleaned_Products!$A$2:$A$61,0)),"Unknown")</f>
        <v>Silver</v>
      </c>
    </row>
    <row r="107" spans="1:16" x14ac:dyDescent="0.35">
      <c r="A107" s="14" t="s">
        <v>652</v>
      </c>
      <c r="B107" s="21">
        <v>45177</v>
      </c>
      <c r="C107" s="14" t="s">
        <v>3996</v>
      </c>
      <c r="D107" s="14">
        <v>2023</v>
      </c>
      <c r="E107" s="14" t="s">
        <v>290</v>
      </c>
      <c r="F107" s="14" t="s">
        <v>348</v>
      </c>
      <c r="G107" s="14" t="s">
        <v>101</v>
      </c>
      <c r="H107" s="14">
        <v>1</v>
      </c>
      <c r="I107" s="14">
        <v>75500</v>
      </c>
      <c r="J107" s="14">
        <v>0</v>
      </c>
      <c r="K107" s="14">
        <v>75500</v>
      </c>
      <c r="L107" s="14" t="s">
        <v>3979</v>
      </c>
      <c r="M107" s="14" t="s">
        <v>3975</v>
      </c>
      <c r="N107" s="14" t="s">
        <v>655</v>
      </c>
      <c r="O107" s="14" t="str">
        <f>IFERROR(INDEX(Cleaned_Products!$C$2:$C$61,MATCH(F107,Cleaned_Products!$A$2:$A$61,0)),"Unknown")</f>
        <v>Rings</v>
      </c>
      <c r="P107" s="14" t="str">
        <f>IFERROR(INDEX(Cleaned_Products!$D$2:$D$61,MATCH(F107,Cleaned_Products!$A$2:$A$61,0)),"Unknown")</f>
        <v>Gold</v>
      </c>
    </row>
    <row r="108" spans="1:16" x14ac:dyDescent="0.35">
      <c r="A108" s="14" t="s">
        <v>656</v>
      </c>
      <c r="B108" s="21">
        <v>45445</v>
      </c>
      <c r="C108" s="14" t="s">
        <v>3984</v>
      </c>
      <c r="D108" s="14">
        <v>2024</v>
      </c>
      <c r="E108" s="14" t="s">
        <v>290</v>
      </c>
      <c r="F108" s="14" t="s">
        <v>179</v>
      </c>
      <c r="G108" s="14" t="s">
        <v>56</v>
      </c>
      <c r="H108" s="14">
        <v>3</v>
      </c>
      <c r="I108" s="14">
        <v>236970</v>
      </c>
      <c r="J108" s="14">
        <v>15</v>
      </c>
      <c r="K108" s="14">
        <v>604273.5</v>
      </c>
      <c r="L108" s="14" t="s">
        <v>95</v>
      </c>
      <c r="M108" s="14" t="s">
        <v>3975</v>
      </c>
      <c r="N108" s="14" t="s">
        <v>658</v>
      </c>
      <c r="O108" s="14" t="str">
        <f>IFERROR(INDEX(Cleaned_Products!$C$2:$C$61,MATCH(F108,Cleaned_Products!$A$2:$A$61,0)),"Unknown")</f>
        <v>Bracelets</v>
      </c>
      <c r="P108" s="14" t="str">
        <f>IFERROR(INDEX(Cleaned_Products!$D$2:$D$61,MATCH(F108,Cleaned_Products!$A$2:$A$61,0)),"Unknown")</f>
        <v>Rose Gold</v>
      </c>
    </row>
    <row r="109" spans="1:16" x14ac:dyDescent="0.35">
      <c r="A109" s="14" t="s">
        <v>659</v>
      </c>
      <c r="B109" s="21">
        <v>45845</v>
      </c>
      <c r="C109" s="14" t="s">
        <v>3991</v>
      </c>
      <c r="D109" s="14">
        <v>2025</v>
      </c>
      <c r="E109" s="14" t="s">
        <v>661</v>
      </c>
      <c r="F109" s="14" t="s">
        <v>100</v>
      </c>
      <c r="G109" s="14" t="s">
        <v>126</v>
      </c>
      <c r="H109" s="14">
        <v>1</v>
      </c>
      <c r="I109" s="14">
        <v>93110</v>
      </c>
      <c r="J109" s="14">
        <v>0</v>
      </c>
      <c r="K109" s="14">
        <v>93110</v>
      </c>
      <c r="L109" s="14" t="s">
        <v>73</v>
      </c>
      <c r="M109" s="14" t="s">
        <v>3975</v>
      </c>
      <c r="N109" s="14" t="s">
        <v>662</v>
      </c>
      <c r="O109" s="14" t="str">
        <f>IFERROR(INDEX(Cleaned_Products!$C$2:$C$61,MATCH(F109,Cleaned_Products!$A$2:$A$61,0)),"Unknown")</f>
        <v>Nose Pins</v>
      </c>
      <c r="P109" s="14" t="str">
        <f>IFERROR(INDEX(Cleaned_Products!$D$2:$D$61,MATCH(F109,Cleaned_Products!$A$2:$A$61,0)),"Unknown")</f>
        <v>Diamond</v>
      </c>
    </row>
    <row r="110" spans="1:16" x14ac:dyDescent="0.35">
      <c r="A110" s="14" t="s">
        <v>663</v>
      </c>
      <c r="B110" s="21">
        <v>45155</v>
      </c>
      <c r="C110" s="14" t="s">
        <v>3998</v>
      </c>
      <c r="D110" s="14">
        <v>2023</v>
      </c>
      <c r="E110" s="14" t="s">
        <v>613</v>
      </c>
      <c r="F110" s="14" t="s">
        <v>154</v>
      </c>
      <c r="G110" s="14" t="s">
        <v>64</v>
      </c>
      <c r="H110" s="14">
        <v>1</v>
      </c>
      <c r="I110" s="14">
        <v>101610</v>
      </c>
      <c r="J110" s="14">
        <v>10</v>
      </c>
      <c r="K110" s="14">
        <v>91449</v>
      </c>
      <c r="L110" s="14" t="s">
        <v>95</v>
      </c>
      <c r="M110" s="14" t="s">
        <v>3980</v>
      </c>
      <c r="N110" s="14" t="s">
        <v>3983</v>
      </c>
      <c r="O110" s="14" t="str">
        <f>IFERROR(INDEX(Cleaned_Products!$C$2:$C$61,MATCH(F110,Cleaned_Products!$A$2:$A$61,0)),"Unknown")</f>
        <v>Rings</v>
      </c>
      <c r="P110" s="14" t="str">
        <f>IFERROR(INDEX(Cleaned_Products!$D$2:$D$61,MATCH(F110,Cleaned_Products!$A$2:$A$61,0)),"Unknown")</f>
        <v>Silver</v>
      </c>
    </row>
    <row r="111" spans="1:16" x14ac:dyDescent="0.35">
      <c r="A111" s="14" t="s">
        <v>665</v>
      </c>
      <c r="B111" s="21">
        <v>45370</v>
      </c>
      <c r="C111" s="14" t="s">
        <v>3985</v>
      </c>
      <c r="D111" s="14">
        <v>2024</v>
      </c>
      <c r="E111" s="14" t="s">
        <v>309</v>
      </c>
      <c r="F111" s="14" t="s">
        <v>55</v>
      </c>
      <c r="G111" s="14" t="s">
        <v>113</v>
      </c>
      <c r="H111" s="14">
        <v>3</v>
      </c>
      <c r="I111" s="14">
        <v>240510</v>
      </c>
      <c r="J111" s="14">
        <v>10</v>
      </c>
      <c r="K111" s="14">
        <v>649377</v>
      </c>
      <c r="L111" s="14" t="s">
        <v>73</v>
      </c>
      <c r="M111" s="14" t="s">
        <v>3975</v>
      </c>
      <c r="N111" s="14" t="s">
        <v>668</v>
      </c>
      <c r="O111" s="14" t="str">
        <f>IFERROR(INDEX(Cleaned_Products!$C$2:$C$61,MATCH(F111,Cleaned_Products!$A$2:$A$61,0)),"Unknown")</f>
        <v>Anklets</v>
      </c>
      <c r="P111" s="14" t="str">
        <f>IFERROR(INDEX(Cleaned_Products!$D$2:$D$61,MATCH(F111,Cleaned_Products!$A$2:$A$61,0)),"Unknown")</f>
        <v>Gold</v>
      </c>
    </row>
    <row r="112" spans="1:16" x14ac:dyDescent="0.35">
      <c r="A112" s="14" t="s">
        <v>669</v>
      </c>
      <c r="B112" s="21">
        <v>45458</v>
      </c>
      <c r="C112" s="14" t="s">
        <v>3984</v>
      </c>
      <c r="D112" s="14">
        <v>2024</v>
      </c>
      <c r="E112" s="14" t="s">
        <v>3995</v>
      </c>
      <c r="F112" s="14" t="s">
        <v>216</v>
      </c>
      <c r="G112" s="14" t="s">
        <v>108</v>
      </c>
      <c r="H112" s="14">
        <v>1</v>
      </c>
      <c r="I112" s="14">
        <v>239950</v>
      </c>
      <c r="J112" s="14">
        <v>10</v>
      </c>
      <c r="K112" s="14">
        <v>215955</v>
      </c>
      <c r="L112" s="14" t="s">
        <v>95</v>
      </c>
      <c r="M112" s="14" t="s">
        <v>3980</v>
      </c>
      <c r="N112" s="14" t="s">
        <v>671</v>
      </c>
      <c r="O112" s="14" t="str">
        <f>IFERROR(INDEX(Cleaned_Products!$C$2:$C$61,MATCH(F112,Cleaned_Products!$A$2:$A$61,0)),"Unknown")</f>
        <v>Bracelets</v>
      </c>
      <c r="P112" s="14" t="str">
        <f>IFERROR(INDEX(Cleaned_Products!$D$2:$D$61,MATCH(F112,Cleaned_Products!$A$2:$A$61,0)),"Unknown")</f>
        <v>Silver</v>
      </c>
    </row>
    <row r="113" spans="1:16" x14ac:dyDescent="0.35">
      <c r="A113" s="14" t="s">
        <v>672</v>
      </c>
      <c r="B113" s="21">
        <v>44986</v>
      </c>
      <c r="C113" s="14" t="s">
        <v>3982</v>
      </c>
      <c r="D113" s="14">
        <v>2023</v>
      </c>
      <c r="E113" s="14" t="s">
        <v>674</v>
      </c>
      <c r="F113" s="14" t="s">
        <v>196</v>
      </c>
      <c r="G113" s="14" t="s">
        <v>72</v>
      </c>
      <c r="H113" s="14">
        <v>1</v>
      </c>
      <c r="I113" s="14">
        <v>115530</v>
      </c>
      <c r="J113" s="14">
        <v>15</v>
      </c>
      <c r="K113" s="14">
        <v>98200.5</v>
      </c>
      <c r="L113" s="14" t="s">
        <v>73</v>
      </c>
      <c r="M113" s="14" t="s">
        <v>3980</v>
      </c>
      <c r="N113" s="14" t="s">
        <v>675</v>
      </c>
      <c r="O113" s="14" t="str">
        <f>IFERROR(INDEX(Cleaned_Products!$C$2:$C$61,MATCH(F113,Cleaned_Products!$A$2:$A$61,0)),"Unknown")</f>
        <v>Pendants</v>
      </c>
      <c r="P113" s="14" t="str">
        <f>IFERROR(INDEX(Cleaned_Products!$D$2:$D$61,MATCH(F113,Cleaned_Products!$A$2:$A$61,0)),"Unknown")</f>
        <v>Diamond</v>
      </c>
    </row>
    <row r="114" spans="1:16" x14ac:dyDescent="0.35">
      <c r="A114" s="14" t="s">
        <v>676</v>
      </c>
      <c r="B114" s="21">
        <v>45462</v>
      </c>
      <c r="C114" s="14" t="s">
        <v>3984</v>
      </c>
      <c r="D114" s="14">
        <v>2024</v>
      </c>
      <c r="E114" s="14" t="s">
        <v>678</v>
      </c>
      <c r="F114" s="14" t="s">
        <v>226</v>
      </c>
      <c r="G114" s="14" t="s">
        <v>101</v>
      </c>
      <c r="H114" s="14">
        <v>1</v>
      </c>
      <c r="I114" s="14">
        <v>168880</v>
      </c>
      <c r="J114" s="14">
        <v>5</v>
      </c>
      <c r="K114" s="14">
        <v>160436</v>
      </c>
      <c r="L114" s="14" t="s">
        <v>3977</v>
      </c>
      <c r="M114" s="14" t="s">
        <v>3975</v>
      </c>
      <c r="N114" s="14" t="s">
        <v>680</v>
      </c>
      <c r="O114" s="14" t="str">
        <f>IFERROR(INDEX(Cleaned_Products!$C$2:$C$61,MATCH(F114,Cleaned_Products!$A$2:$A$61,0)),"Unknown")</f>
        <v>Earrings</v>
      </c>
      <c r="P114" s="14" t="str">
        <f>IFERROR(INDEX(Cleaned_Products!$D$2:$D$61,MATCH(F114,Cleaned_Products!$A$2:$A$61,0)),"Unknown")</f>
        <v>Diamond</v>
      </c>
    </row>
    <row r="115" spans="1:16" x14ac:dyDescent="0.35">
      <c r="A115" s="14" t="s">
        <v>681</v>
      </c>
      <c r="B115" s="21">
        <v>45511</v>
      </c>
      <c r="C115" s="14" t="s">
        <v>3992</v>
      </c>
      <c r="D115" s="14">
        <v>2024</v>
      </c>
      <c r="E115" s="14" t="s">
        <v>683</v>
      </c>
      <c r="F115" s="14" t="s">
        <v>684</v>
      </c>
      <c r="G115" s="14" t="s">
        <v>56</v>
      </c>
      <c r="H115" s="14">
        <v>3</v>
      </c>
      <c r="I115" s="14">
        <v>70110</v>
      </c>
      <c r="J115" s="14">
        <v>0</v>
      </c>
      <c r="K115" s="14">
        <v>210330</v>
      </c>
      <c r="L115" s="14" t="s">
        <v>3979</v>
      </c>
      <c r="M115" s="14" t="s">
        <v>3975</v>
      </c>
      <c r="N115" s="14" t="s">
        <v>686</v>
      </c>
      <c r="O115" s="14" t="str">
        <f>IFERROR(INDEX(Cleaned_Products!$C$2:$C$61,MATCH(F115,Cleaned_Products!$A$2:$A$61,0)),"Unknown")</f>
        <v>Nose Pins</v>
      </c>
      <c r="P115" s="14" t="str">
        <f>IFERROR(INDEX(Cleaned_Products!$D$2:$D$61,MATCH(F115,Cleaned_Products!$A$2:$A$61,0)),"Unknown")</f>
        <v>Silver</v>
      </c>
    </row>
    <row r="116" spans="1:16" x14ac:dyDescent="0.35">
      <c r="A116" s="14" t="s">
        <v>692</v>
      </c>
      <c r="B116" s="21">
        <v>45376</v>
      </c>
      <c r="C116" s="14" t="s">
        <v>3985</v>
      </c>
      <c r="D116" s="14">
        <v>2024</v>
      </c>
      <c r="E116" s="14" t="s">
        <v>524</v>
      </c>
      <c r="F116" s="14" t="s">
        <v>435</v>
      </c>
      <c r="G116" s="14" t="s">
        <v>108</v>
      </c>
      <c r="H116" s="14">
        <v>3</v>
      </c>
      <c r="I116" s="14">
        <v>152190</v>
      </c>
      <c r="J116" s="14">
        <v>15</v>
      </c>
      <c r="K116" s="14">
        <v>388084.5</v>
      </c>
      <c r="L116" s="14" t="s">
        <v>121</v>
      </c>
      <c r="M116" s="14" t="s">
        <v>3975</v>
      </c>
      <c r="N116" s="14" t="s">
        <v>694</v>
      </c>
      <c r="O116" s="14" t="str">
        <f>IFERROR(INDEX(Cleaned_Products!$C$2:$C$61,MATCH(F116,Cleaned_Products!$A$2:$A$61,0)),"Unknown")</f>
        <v>Bangles</v>
      </c>
      <c r="P116" s="14" t="str">
        <f>IFERROR(INDEX(Cleaned_Products!$D$2:$D$61,MATCH(F116,Cleaned_Products!$A$2:$A$61,0)),"Unknown")</f>
        <v>Platinum</v>
      </c>
    </row>
    <row r="117" spans="1:16" x14ac:dyDescent="0.35">
      <c r="A117" s="14" t="s">
        <v>695</v>
      </c>
      <c r="B117" s="21">
        <v>45866</v>
      </c>
      <c r="C117" s="14" t="s">
        <v>3991</v>
      </c>
      <c r="D117" s="14">
        <v>2025</v>
      </c>
      <c r="E117" s="14" t="s">
        <v>498</v>
      </c>
      <c r="F117" s="14" t="s">
        <v>315</v>
      </c>
      <c r="G117" s="14" t="s">
        <v>108</v>
      </c>
      <c r="H117" s="14">
        <v>1</v>
      </c>
      <c r="I117" s="14">
        <v>202580</v>
      </c>
      <c r="J117" s="14">
        <v>10</v>
      </c>
      <c r="K117" s="14">
        <v>182322</v>
      </c>
      <c r="L117" s="14" t="s">
        <v>73</v>
      </c>
      <c r="M117" s="14" t="s">
        <v>3975</v>
      </c>
      <c r="N117" s="14" t="s">
        <v>697</v>
      </c>
      <c r="O117" s="14" t="str">
        <f>IFERROR(INDEX(Cleaned_Products!$C$2:$C$61,MATCH(F117,Cleaned_Products!$A$2:$A$61,0)),"Unknown")</f>
        <v>Bracelets</v>
      </c>
      <c r="P117" s="14" t="str">
        <f>IFERROR(INDEX(Cleaned_Products!$D$2:$D$61,MATCH(F117,Cleaned_Products!$A$2:$A$61,0)),"Unknown")</f>
        <v>Rose Gold</v>
      </c>
    </row>
    <row r="118" spans="1:16" x14ac:dyDescent="0.35">
      <c r="A118" s="14" t="s">
        <v>698</v>
      </c>
      <c r="B118" s="21">
        <v>44957</v>
      </c>
      <c r="C118" s="14" t="s">
        <v>3987</v>
      </c>
      <c r="D118" s="14">
        <v>2023</v>
      </c>
      <c r="E118" s="14" t="s">
        <v>407</v>
      </c>
      <c r="F118" s="14" t="s">
        <v>264</v>
      </c>
      <c r="G118" s="14" t="s">
        <v>80</v>
      </c>
      <c r="H118" s="14">
        <v>3</v>
      </c>
      <c r="I118" s="14">
        <v>25920</v>
      </c>
      <c r="J118" s="14">
        <v>0</v>
      </c>
      <c r="K118" s="14">
        <v>77760</v>
      </c>
      <c r="L118" s="14" t="s">
        <v>3974</v>
      </c>
      <c r="M118" s="14" t="s">
        <v>3975</v>
      </c>
      <c r="N118" s="14" t="s">
        <v>700</v>
      </c>
      <c r="O118" s="14" t="str">
        <f>IFERROR(INDEX(Cleaned_Products!$C$2:$C$61,MATCH(F118,Cleaned_Products!$A$2:$A$61,0)),"Unknown")</f>
        <v>Pendants</v>
      </c>
      <c r="P118" s="14" t="str">
        <f>IFERROR(INDEX(Cleaned_Products!$D$2:$D$61,MATCH(F118,Cleaned_Products!$A$2:$A$61,0)),"Unknown")</f>
        <v>Silver</v>
      </c>
    </row>
    <row r="119" spans="1:16" x14ac:dyDescent="0.35">
      <c r="A119" s="14" t="s">
        <v>701</v>
      </c>
      <c r="B119" s="21">
        <v>45123</v>
      </c>
      <c r="C119" s="14" t="s">
        <v>3988</v>
      </c>
      <c r="D119" s="14">
        <v>2023</v>
      </c>
      <c r="E119" s="14" t="s">
        <v>703</v>
      </c>
      <c r="F119" s="14" t="s">
        <v>472</v>
      </c>
      <c r="G119" s="14" t="s">
        <v>72</v>
      </c>
      <c r="H119" s="14">
        <v>2</v>
      </c>
      <c r="I119" s="14">
        <v>68920</v>
      </c>
      <c r="J119" s="14">
        <v>10</v>
      </c>
      <c r="K119" s="14">
        <v>124056</v>
      </c>
      <c r="L119" s="14" t="s">
        <v>95</v>
      </c>
      <c r="M119" s="14" t="s">
        <v>3975</v>
      </c>
      <c r="N119" s="14" t="s">
        <v>704</v>
      </c>
      <c r="O119" s="14" t="str">
        <f>IFERROR(INDEX(Cleaned_Products!$C$2:$C$61,MATCH(F119,Cleaned_Products!$A$2:$A$61,0)),"Unknown")</f>
        <v>Nose Pins</v>
      </c>
      <c r="P119" s="14" t="str">
        <f>IFERROR(INDEX(Cleaned_Products!$D$2:$D$61,MATCH(F119,Cleaned_Products!$A$2:$A$61,0)),"Unknown")</f>
        <v>Platinum</v>
      </c>
    </row>
    <row r="120" spans="1:16" x14ac:dyDescent="0.35">
      <c r="A120" s="14" t="s">
        <v>705</v>
      </c>
      <c r="B120" s="21">
        <v>45648</v>
      </c>
      <c r="C120" s="14" t="s">
        <v>3986</v>
      </c>
      <c r="D120" s="14">
        <v>2024</v>
      </c>
      <c r="E120" s="14" t="s">
        <v>462</v>
      </c>
      <c r="F120" s="14" t="s">
        <v>638</v>
      </c>
      <c r="G120" s="14" t="s">
        <v>80</v>
      </c>
      <c r="H120" s="14">
        <v>1</v>
      </c>
      <c r="I120" s="14">
        <v>131590</v>
      </c>
      <c r="J120" s="14">
        <v>10</v>
      </c>
      <c r="K120" s="14">
        <v>118431</v>
      </c>
      <c r="L120" s="14" t="s">
        <v>121</v>
      </c>
      <c r="M120" s="14" t="s">
        <v>3980</v>
      </c>
      <c r="N120" s="14" t="s">
        <v>707</v>
      </c>
      <c r="O120" s="14" t="str">
        <f>IFERROR(INDEX(Cleaned_Products!$C$2:$C$61,MATCH(F120,Cleaned_Products!$A$2:$A$61,0)),"Unknown")</f>
        <v>Nose Pins</v>
      </c>
      <c r="P120" s="14" t="str">
        <f>IFERROR(INDEX(Cleaned_Products!$D$2:$D$61,MATCH(F120,Cleaned_Products!$A$2:$A$61,0)),"Unknown")</f>
        <v>Diamond</v>
      </c>
    </row>
    <row r="121" spans="1:16" x14ac:dyDescent="0.35">
      <c r="A121" s="14" t="s">
        <v>708</v>
      </c>
      <c r="B121" s="21">
        <v>44928</v>
      </c>
      <c r="C121" s="14" t="s">
        <v>3987</v>
      </c>
      <c r="D121" s="14">
        <v>2023</v>
      </c>
      <c r="E121" s="14" t="s">
        <v>678</v>
      </c>
      <c r="F121" s="14" t="s">
        <v>94</v>
      </c>
      <c r="G121" s="14" t="s">
        <v>80</v>
      </c>
      <c r="H121" s="14">
        <v>2</v>
      </c>
      <c r="I121" s="14">
        <v>200690</v>
      </c>
      <c r="J121" s="14">
        <v>0</v>
      </c>
      <c r="K121" s="14">
        <v>401380</v>
      </c>
      <c r="L121" s="14" t="s">
        <v>3979</v>
      </c>
      <c r="M121" s="14" t="s">
        <v>3975</v>
      </c>
      <c r="N121" s="14" t="s">
        <v>710</v>
      </c>
      <c r="O121" s="14" t="str">
        <f>IFERROR(INDEX(Cleaned_Products!$C$2:$C$61,MATCH(F121,Cleaned_Products!$A$2:$A$61,0)),"Unknown")</f>
        <v>Nose Pins</v>
      </c>
      <c r="P121" s="14" t="str">
        <f>IFERROR(INDEX(Cleaned_Products!$D$2:$D$61,MATCH(F121,Cleaned_Products!$A$2:$A$61,0)),"Unknown")</f>
        <v>Rose Gold</v>
      </c>
    </row>
    <row r="122" spans="1:16" x14ac:dyDescent="0.35">
      <c r="A122" s="14" t="s">
        <v>715</v>
      </c>
      <c r="B122" s="21">
        <v>45260</v>
      </c>
      <c r="C122" s="14" t="s">
        <v>3978</v>
      </c>
      <c r="D122" s="14">
        <v>2023</v>
      </c>
      <c r="E122" s="14" t="s">
        <v>341</v>
      </c>
      <c r="F122" s="14" t="s">
        <v>458</v>
      </c>
      <c r="G122" s="14" t="s">
        <v>72</v>
      </c>
      <c r="H122" s="14">
        <v>1</v>
      </c>
      <c r="I122" s="14">
        <v>161900</v>
      </c>
      <c r="J122" s="14">
        <v>5</v>
      </c>
      <c r="K122" s="14">
        <v>153805</v>
      </c>
      <c r="L122" s="14" t="s">
        <v>3979</v>
      </c>
      <c r="M122" s="14" t="s">
        <v>3975</v>
      </c>
      <c r="N122" s="14" t="s">
        <v>717</v>
      </c>
      <c r="O122" s="14" t="str">
        <f>IFERROR(INDEX(Cleaned_Products!$C$2:$C$61,MATCH(F122,Cleaned_Products!$A$2:$A$61,0)),"Unknown")</f>
        <v>Bangles</v>
      </c>
      <c r="P122" s="14" t="str">
        <f>IFERROR(INDEX(Cleaned_Products!$D$2:$D$61,MATCH(F122,Cleaned_Products!$A$2:$A$61,0)),"Unknown")</f>
        <v>Silver</v>
      </c>
    </row>
    <row r="123" spans="1:16" x14ac:dyDescent="0.35">
      <c r="A123" s="14" t="s">
        <v>718</v>
      </c>
      <c r="B123" s="21">
        <v>45265</v>
      </c>
      <c r="C123" s="14" t="s">
        <v>4008</v>
      </c>
      <c r="D123" s="14">
        <v>2023</v>
      </c>
      <c r="E123" s="14" t="s">
        <v>558</v>
      </c>
      <c r="F123" s="14" t="s">
        <v>684</v>
      </c>
      <c r="G123" s="14" t="s">
        <v>80</v>
      </c>
      <c r="H123" s="14">
        <v>1</v>
      </c>
      <c r="I123" s="14">
        <v>177220</v>
      </c>
      <c r="J123" s="14">
        <v>0</v>
      </c>
      <c r="K123" s="14">
        <v>177220</v>
      </c>
      <c r="L123" s="14" t="s">
        <v>121</v>
      </c>
      <c r="M123" s="14" t="s">
        <v>3980</v>
      </c>
      <c r="N123" s="14" t="s">
        <v>3983</v>
      </c>
      <c r="O123" s="14" t="str">
        <f>IFERROR(INDEX(Cleaned_Products!$C$2:$C$61,MATCH(F123,Cleaned_Products!$A$2:$A$61,0)),"Unknown")</f>
        <v>Nose Pins</v>
      </c>
      <c r="P123" s="14" t="str">
        <f>IFERROR(INDEX(Cleaned_Products!$D$2:$D$61,MATCH(F123,Cleaned_Products!$A$2:$A$61,0)),"Unknown")</f>
        <v>Silver</v>
      </c>
    </row>
    <row r="124" spans="1:16" x14ac:dyDescent="0.35">
      <c r="A124" s="14" t="s">
        <v>721</v>
      </c>
      <c r="B124" s="21">
        <v>45386</v>
      </c>
      <c r="C124" s="14" t="s">
        <v>4000</v>
      </c>
      <c r="D124" s="14">
        <v>2024</v>
      </c>
      <c r="E124" s="14" t="s">
        <v>723</v>
      </c>
      <c r="F124" s="14" t="s">
        <v>390</v>
      </c>
      <c r="G124" s="14" t="s">
        <v>101</v>
      </c>
      <c r="H124" s="14">
        <v>2</v>
      </c>
      <c r="I124" s="14">
        <v>195010</v>
      </c>
      <c r="J124" s="14">
        <v>5</v>
      </c>
      <c r="K124" s="14">
        <v>370519</v>
      </c>
      <c r="L124" s="14" t="s">
        <v>95</v>
      </c>
      <c r="M124" s="14" t="s">
        <v>3975</v>
      </c>
      <c r="N124" s="14" t="s">
        <v>724</v>
      </c>
      <c r="O124" s="14" t="str">
        <f>IFERROR(INDEX(Cleaned_Products!$C$2:$C$61,MATCH(F124,Cleaned_Products!$A$2:$A$61,0)),"Unknown")</f>
        <v>Bracelets</v>
      </c>
      <c r="P124" s="14" t="str">
        <f>IFERROR(INDEX(Cleaned_Products!$D$2:$D$61,MATCH(F124,Cleaned_Products!$A$2:$A$61,0)),"Unknown")</f>
        <v>Platinum</v>
      </c>
    </row>
    <row r="125" spans="1:16" x14ac:dyDescent="0.35">
      <c r="A125" s="14" t="s">
        <v>734</v>
      </c>
      <c r="B125" s="21">
        <v>45816</v>
      </c>
      <c r="C125" s="14" t="s">
        <v>3997</v>
      </c>
      <c r="D125" s="14">
        <v>2025</v>
      </c>
      <c r="E125" s="14" t="s">
        <v>727</v>
      </c>
      <c r="F125" s="14" t="s">
        <v>736</v>
      </c>
      <c r="G125" s="14" t="s">
        <v>64</v>
      </c>
      <c r="H125" s="14">
        <v>3</v>
      </c>
      <c r="I125" s="14">
        <v>70280</v>
      </c>
      <c r="J125" s="14">
        <v>0</v>
      </c>
      <c r="K125" s="14">
        <v>210840</v>
      </c>
      <c r="L125" s="14" t="s">
        <v>121</v>
      </c>
      <c r="M125" s="14" t="s">
        <v>3980</v>
      </c>
      <c r="N125" s="14" t="s">
        <v>737</v>
      </c>
      <c r="O125" s="14" t="str">
        <f>IFERROR(INDEX(Cleaned_Products!$C$2:$C$61,MATCH(F125,Cleaned_Products!$A$2:$A$61,0)),"Unknown")</f>
        <v>Rings</v>
      </c>
      <c r="P125" s="14" t="str">
        <f>IFERROR(INDEX(Cleaned_Products!$D$2:$D$61,MATCH(F125,Cleaned_Products!$A$2:$A$61,0)),"Unknown")</f>
        <v>Silver</v>
      </c>
    </row>
    <row r="126" spans="1:16" x14ac:dyDescent="0.35">
      <c r="A126" s="14" t="s">
        <v>738</v>
      </c>
      <c r="B126" s="21">
        <v>45142</v>
      </c>
      <c r="C126" s="14" t="s">
        <v>3998</v>
      </c>
      <c r="D126" s="14">
        <v>2023</v>
      </c>
      <c r="E126" s="14" t="s">
        <v>740</v>
      </c>
      <c r="F126" s="14" t="s">
        <v>135</v>
      </c>
      <c r="G126" s="14" t="s">
        <v>56</v>
      </c>
      <c r="H126" s="14">
        <v>1</v>
      </c>
      <c r="I126" s="14">
        <v>16920</v>
      </c>
      <c r="J126" s="14">
        <v>0</v>
      </c>
      <c r="K126" s="14">
        <v>16920</v>
      </c>
      <c r="L126" s="14" t="s">
        <v>3977</v>
      </c>
      <c r="M126" s="14" t="s">
        <v>3980</v>
      </c>
      <c r="N126" s="14" t="s">
        <v>741</v>
      </c>
      <c r="O126" s="14" t="str">
        <f>IFERROR(INDEX(Cleaned_Products!$C$2:$C$61,MATCH(F126,Cleaned_Products!$A$2:$A$61,0)),"Unknown")</f>
        <v>Necklaces</v>
      </c>
      <c r="P126" s="14" t="str">
        <f>IFERROR(INDEX(Cleaned_Products!$D$2:$D$61,MATCH(F126,Cleaned_Products!$A$2:$A$61,0)),"Unknown")</f>
        <v>Silver</v>
      </c>
    </row>
    <row r="127" spans="1:16" x14ac:dyDescent="0.35">
      <c r="A127" s="14" t="s">
        <v>742</v>
      </c>
      <c r="B127" s="21">
        <v>45482</v>
      </c>
      <c r="C127" s="14" t="s">
        <v>4009</v>
      </c>
      <c r="D127" s="14">
        <v>2024</v>
      </c>
      <c r="E127" s="14" t="s">
        <v>62</v>
      </c>
      <c r="F127" s="14" t="s">
        <v>432</v>
      </c>
      <c r="G127" s="14" t="s">
        <v>101</v>
      </c>
      <c r="H127" s="14">
        <v>2</v>
      </c>
      <c r="I127" s="14">
        <v>216200</v>
      </c>
      <c r="J127" s="14">
        <v>5</v>
      </c>
      <c r="K127" s="14">
        <v>410780</v>
      </c>
      <c r="L127" s="14" t="s">
        <v>3974</v>
      </c>
      <c r="M127" s="14" t="s">
        <v>3980</v>
      </c>
      <c r="N127" s="14" t="s">
        <v>3983</v>
      </c>
      <c r="O127" s="14" t="str">
        <f>IFERROR(INDEX(Cleaned_Products!$C$2:$C$61,MATCH(F127,Cleaned_Products!$A$2:$A$61,0)),"Unknown")</f>
        <v>Earrings</v>
      </c>
      <c r="P127" s="14" t="str">
        <f>IFERROR(INDEX(Cleaned_Products!$D$2:$D$61,MATCH(F127,Cleaned_Products!$A$2:$A$61,0)),"Unknown")</f>
        <v>Gold</v>
      </c>
    </row>
    <row r="128" spans="1:16" x14ac:dyDescent="0.35">
      <c r="A128" s="14" t="s">
        <v>745</v>
      </c>
      <c r="B128" s="21">
        <v>44980</v>
      </c>
      <c r="C128" s="14" t="s">
        <v>4001</v>
      </c>
      <c r="D128" s="14">
        <v>2023</v>
      </c>
      <c r="E128" s="14" t="s">
        <v>389</v>
      </c>
      <c r="F128" s="14" t="s">
        <v>264</v>
      </c>
      <c r="G128" s="14" t="s">
        <v>72</v>
      </c>
      <c r="H128" s="14">
        <v>2</v>
      </c>
      <c r="I128" s="14">
        <v>246160</v>
      </c>
      <c r="J128" s="14">
        <v>5</v>
      </c>
      <c r="K128" s="14">
        <v>467704</v>
      </c>
      <c r="L128" s="14" t="s">
        <v>3979</v>
      </c>
      <c r="M128" s="14" t="s">
        <v>3975</v>
      </c>
      <c r="N128" s="14" t="s">
        <v>747</v>
      </c>
      <c r="O128" s="14" t="str">
        <f>IFERROR(INDEX(Cleaned_Products!$C$2:$C$61,MATCH(F128,Cleaned_Products!$A$2:$A$61,0)),"Unknown")</f>
        <v>Pendants</v>
      </c>
      <c r="P128" s="14" t="str">
        <f>IFERROR(INDEX(Cleaned_Products!$D$2:$D$61,MATCH(F128,Cleaned_Products!$A$2:$A$61,0)),"Unknown")</f>
        <v>Silver</v>
      </c>
    </row>
    <row r="129" spans="1:16" x14ac:dyDescent="0.35">
      <c r="A129" s="14" t="s">
        <v>751</v>
      </c>
      <c r="B129" s="21">
        <v>44995</v>
      </c>
      <c r="C129" s="14" t="s">
        <v>3982</v>
      </c>
      <c r="D129" s="14">
        <v>2023</v>
      </c>
      <c r="E129" s="14" t="s">
        <v>753</v>
      </c>
      <c r="F129" s="14" t="s">
        <v>638</v>
      </c>
      <c r="G129" s="14" t="s">
        <v>126</v>
      </c>
      <c r="H129" s="14">
        <v>2</v>
      </c>
      <c r="I129" s="14">
        <v>179130</v>
      </c>
      <c r="J129" s="14">
        <v>0</v>
      </c>
      <c r="K129" s="14">
        <v>358260</v>
      </c>
      <c r="L129" s="14" t="s">
        <v>3974</v>
      </c>
      <c r="M129" s="14" t="s">
        <v>3980</v>
      </c>
      <c r="N129" s="14" t="s">
        <v>3983</v>
      </c>
      <c r="O129" s="14" t="str">
        <f>IFERROR(INDEX(Cleaned_Products!$C$2:$C$61,MATCH(F129,Cleaned_Products!$A$2:$A$61,0)),"Unknown")</f>
        <v>Nose Pins</v>
      </c>
      <c r="P129" s="14" t="str">
        <f>IFERROR(INDEX(Cleaned_Products!$D$2:$D$61,MATCH(F129,Cleaned_Products!$A$2:$A$61,0)),"Unknown")</f>
        <v>Diamond</v>
      </c>
    </row>
    <row r="130" spans="1:16" x14ac:dyDescent="0.35">
      <c r="A130" s="14" t="s">
        <v>754</v>
      </c>
      <c r="B130" s="21">
        <v>45626</v>
      </c>
      <c r="C130" s="14" t="s">
        <v>3976</v>
      </c>
      <c r="D130" s="14">
        <v>2024</v>
      </c>
      <c r="E130" s="14" t="s">
        <v>301</v>
      </c>
      <c r="F130" s="14" t="s">
        <v>112</v>
      </c>
      <c r="G130" s="14" t="s">
        <v>101</v>
      </c>
      <c r="H130" s="14">
        <v>3</v>
      </c>
      <c r="I130" s="14">
        <v>120900</v>
      </c>
      <c r="J130" s="14">
        <v>15</v>
      </c>
      <c r="K130" s="14">
        <v>308295</v>
      </c>
      <c r="L130" s="14" t="s">
        <v>3979</v>
      </c>
      <c r="M130" s="14" t="s">
        <v>3980</v>
      </c>
      <c r="N130" s="14" t="s">
        <v>3983</v>
      </c>
      <c r="O130" s="14" t="str">
        <f>IFERROR(INDEX(Cleaned_Products!$C$2:$C$61,MATCH(F130,Cleaned_Products!$A$2:$A$61,0)),"Unknown")</f>
        <v>Bangles</v>
      </c>
      <c r="P130" s="14" t="str">
        <f>IFERROR(INDEX(Cleaned_Products!$D$2:$D$61,MATCH(F130,Cleaned_Products!$A$2:$A$61,0)),"Unknown")</f>
        <v>Rose Gold</v>
      </c>
    </row>
    <row r="131" spans="1:16" x14ac:dyDescent="0.35">
      <c r="A131" s="14" t="s">
        <v>760</v>
      </c>
      <c r="B131" s="21">
        <v>45093</v>
      </c>
      <c r="C131" s="14" t="s">
        <v>3994</v>
      </c>
      <c r="D131" s="14">
        <v>2023</v>
      </c>
      <c r="E131" s="14" t="s">
        <v>267</v>
      </c>
      <c r="F131" s="14" t="s">
        <v>472</v>
      </c>
      <c r="G131" s="14" t="s">
        <v>126</v>
      </c>
      <c r="H131" s="14">
        <v>1</v>
      </c>
      <c r="I131" s="14">
        <v>39310</v>
      </c>
      <c r="J131" s="14">
        <v>0</v>
      </c>
      <c r="K131" s="14">
        <v>39310</v>
      </c>
      <c r="L131" s="14" t="s">
        <v>73</v>
      </c>
      <c r="M131" s="14" t="s">
        <v>3980</v>
      </c>
      <c r="N131" s="14" t="s">
        <v>762</v>
      </c>
      <c r="O131" s="14" t="str">
        <f>IFERROR(INDEX(Cleaned_Products!$C$2:$C$61,MATCH(F131,Cleaned_Products!$A$2:$A$61,0)),"Unknown")</f>
        <v>Nose Pins</v>
      </c>
      <c r="P131" s="14" t="str">
        <f>IFERROR(INDEX(Cleaned_Products!$D$2:$D$61,MATCH(F131,Cleaned_Products!$A$2:$A$61,0)),"Unknown")</f>
        <v>Platinum</v>
      </c>
    </row>
    <row r="132" spans="1:16" x14ac:dyDescent="0.35">
      <c r="A132" s="14" t="s">
        <v>763</v>
      </c>
      <c r="B132" s="21">
        <v>45776</v>
      </c>
      <c r="C132" s="14" t="s">
        <v>4006</v>
      </c>
      <c r="D132" s="14">
        <v>2025</v>
      </c>
      <c r="E132" s="14" t="s">
        <v>637</v>
      </c>
      <c r="F132" s="14" t="s">
        <v>576</v>
      </c>
      <c r="G132" s="14" t="s">
        <v>72</v>
      </c>
      <c r="H132" s="14">
        <v>1</v>
      </c>
      <c r="I132" s="14">
        <v>202620</v>
      </c>
      <c r="J132" s="14">
        <v>15</v>
      </c>
      <c r="K132" s="14">
        <v>172227</v>
      </c>
      <c r="L132" s="14" t="s">
        <v>95</v>
      </c>
      <c r="M132" s="14" t="s">
        <v>3975</v>
      </c>
      <c r="N132" s="14" t="s">
        <v>765</v>
      </c>
      <c r="O132" s="14" t="str">
        <f>IFERROR(INDEX(Cleaned_Products!$C$2:$C$61,MATCH(F132,Cleaned_Products!$A$2:$A$61,0)),"Unknown")</f>
        <v>Bangles</v>
      </c>
      <c r="P132" s="14" t="str">
        <f>IFERROR(INDEX(Cleaned_Products!$D$2:$D$61,MATCH(F132,Cleaned_Products!$A$2:$A$61,0)),"Unknown")</f>
        <v>Diamond</v>
      </c>
    </row>
    <row r="133" spans="1:16" x14ac:dyDescent="0.35">
      <c r="A133" s="14" t="s">
        <v>770</v>
      </c>
      <c r="B133" s="21">
        <v>45251</v>
      </c>
      <c r="C133" s="14" t="s">
        <v>3978</v>
      </c>
      <c r="D133" s="14">
        <v>2023</v>
      </c>
      <c r="E133" s="14" t="s">
        <v>294</v>
      </c>
      <c r="F133" s="14" t="s">
        <v>226</v>
      </c>
      <c r="G133" s="14" t="s">
        <v>108</v>
      </c>
      <c r="H133" s="14">
        <v>1</v>
      </c>
      <c r="I133" s="14">
        <v>202850</v>
      </c>
      <c r="J133" s="14">
        <v>10</v>
      </c>
      <c r="K133" s="14">
        <v>182565</v>
      </c>
      <c r="L133" s="14" t="s">
        <v>3977</v>
      </c>
      <c r="M133" s="14" t="s">
        <v>3975</v>
      </c>
      <c r="N133" s="14" t="s">
        <v>84</v>
      </c>
      <c r="O133" s="14" t="str">
        <f>IFERROR(INDEX(Cleaned_Products!$C$2:$C$61,MATCH(F133,Cleaned_Products!$A$2:$A$61,0)),"Unknown")</f>
        <v>Earrings</v>
      </c>
      <c r="P133" s="14" t="str">
        <f>IFERROR(INDEX(Cleaned_Products!$D$2:$D$61,MATCH(F133,Cleaned_Products!$A$2:$A$61,0)),"Unknown")</f>
        <v>Diamond</v>
      </c>
    </row>
    <row r="134" spans="1:16" x14ac:dyDescent="0.35">
      <c r="A134" s="14" t="s">
        <v>773</v>
      </c>
      <c r="B134" s="21">
        <v>45857</v>
      </c>
      <c r="C134" s="14" t="s">
        <v>3991</v>
      </c>
      <c r="D134" s="14">
        <v>2025</v>
      </c>
      <c r="E134" s="14" t="s">
        <v>396</v>
      </c>
      <c r="F134" s="14" t="s">
        <v>94</v>
      </c>
      <c r="G134" s="14" t="s">
        <v>80</v>
      </c>
      <c r="H134" s="14">
        <v>1</v>
      </c>
      <c r="I134" s="14">
        <v>188160</v>
      </c>
      <c r="J134" s="14">
        <v>0</v>
      </c>
      <c r="K134" s="14">
        <v>188160</v>
      </c>
      <c r="L134" s="14" t="s">
        <v>95</v>
      </c>
      <c r="M134" s="14" t="s">
        <v>3975</v>
      </c>
      <c r="N134" s="14" t="s">
        <v>775</v>
      </c>
      <c r="O134" s="14" t="str">
        <f>IFERROR(INDEX(Cleaned_Products!$C$2:$C$61,MATCH(F134,Cleaned_Products!$A$2:$A$61,0)),"Unknown")</f>
        <v>Nose Pins</v>
      </c>
      <c r="P134" s="14" t="str">
        <f>IFERROR(INDEX(Cleaned_Products!$D$2:$D$61,MATCH(F134,Cleaned_Products!$A$2:$A$61,0)),"Unknown")</f>
        <v>Rose Gold</v>
      </c>
    </row>
    <row r="135" spans="1:16" x14ac:dyDescent="0.35">
      <c r="A135" s="14" t="s">
        <v>776</v>
      </c>
      <c r="B135" s="21">
        <v>45668</v>
      </c>
      <c r="C135" s="14" t="s">
        <v>4005</v>
      </c>
      <c r="D135" s="14">
        <v>2025</v>
      </c>
      <c r="E135" s="14" t="s">
        <v>220</v>
      </c>
      <c r="F135" s="14" t="s">
        <v>196</v>
      </c>
      <c r="G135" s="14" t="s">
        <v>64</v>
      </c>
      <c r="H135" s="14">
        <v>1</v>
      </c>
      <c r="I135" s="14">
        <v>60530</v>
      </c>
      <c r="J135" s="14">
        <v>0</v>
      </c>
      <c r="K135" s="14">
        <v>60530</v>
      </c>
      <c r="L135" s="14" t="s">
        <v>3979</v>
      </c>
      <c r="M135" s="14" t="s">
        <v>3975</v>
      </c>
      <c r="N135" s="14" t="s">
        <v>778</v>
      </c>
      <c r="O135" s="14" t="str">
        <f>IFERROR(INDEX(Cleaned_Products!$C$2:$C$61,MATCH(F135,Cleaned_Products!$A$2:$A$61,0)),"Unknown")</f>
        <v>Pendants</v>
      </c>
      <c r="P135" s="14" t="str">
        <f>IFERROR(INDEX(Cleaned_Products!$D$2:$D$61,MATCH(F135,Cleaned_Products!$A$2:$A$61,0)),"Unknown")</f>
        <v>Diamond</v>
      </c>
    </row>
    <row r="136" spans="1:16" x14ac:dyDescent="0.35">
      <c r="A136" s="14" t="s">
        <v>784</v>
      </c>
      <c r="B136" s="21">
        <v>45080</v>
      </c>
      <c r="C136" s="14" t="s">
        <v>3994</v>
      </c>
      <c r="D136" s="14">
        <v>2023</v>
      </c>
      <c r="E136" s="14" t="s">
        <v>786</v>
      </c>
      <c r="F136" s="14" t="s">
        <v>348</v>
      </c>
      <c r="G136" s="14" t="s">
        <v>56</v>
      </c>
      <c r="H136" s="14">
        <v>2</v>
      </c>
      <c r="I136" s="14">
        <v>53020</v>
      </c>
      <c r="J136" s="14">
        <v>0</v>
      </c>
      <c r="K136" s="14">
        <v>106040</v>
      </c>
      <c r="L136" s="14" t="s">
        <v>3977</v>
      </c>
      <c r="M136" s="14" t="s">
        <v>3980</v>
      </c>
      <c r="N136" s="14" t="s">
        <v>788</v>
      </c>
      <c r="O136" s="14" t="str">
        <f>IFERROR(INDEX(Cleaned_Products!$C$2:$C$61,MATCH(F136,Cleaned_Products!$A$2:$A$61,0)),"Unknown")</f>
        <v>Rings</v>
      </c>
      <c r="P136" s="14" t="str">
        <f>IFERROR(INDEX(Cleaned_Products!$D$2:$D$61,MATCH(F136,Cleaned_Products!$A$2:$A$61,0)),"Unknown")</f>
        <v>Gold</v>
      </c>
    </row>
    <row r="137" spans="1:16" x14ac:dyDescent="0.35">
      <c r="A137" s="14" t="s">
        <v>797</v>
      </c>
      <c r="B137" s="21">
        <v>45162</v>
      </c>
      <c r="C137" s="14" t="s">
        <v>3998</v>
      </c>
      <c r="D137" s="14">
        <v>2023</v>
      </c>
      <c r="E137" s="14" t="s">
        <v>799</v>
      </c>
      <c r="F137" s="14" t="s">
        <v>432</v>
      </c>
      <c r="G137" s="14" t="s">
        <v>56</v>
      </c>
      <c r="H137" s="14">
        <v>2</v>
      </c>
      <c r="I137" s="14">
        <v>40960</v>
      </c>
      <c r="J137" s="14">
        <v>0</v>
      </c>
      <c r="K137" s="14">
        <v>81920</v>
      </c>
      <c r="L137" s="14" t="s">
        <v>73</v>
      </c>
      <c r="M137" s="14" t="s">
        <v>3975</v>
      </c>
      <c r="N137" s="14" t="s">
        <v>801</v>
      </c>
      <c r="O137" s="14" t="str">
        <f>IFERROR(INDEX(Cleaned_Products!$C$2:$C$61,MATCH(F137,Cleaned_Products!$A$2:$A$61,0)),"Unknown")</f>
        <v>Earrings</v>
      </c>
      <c r="P137" s="14" t="str">
        <f>IFERROR(INDEX(Cleaned_Products!$D$2:$D$61,MATCH(F137,Cleaned_Products!$A$2:$A$61,0)),"Unknown")</f>
        <v>Gold</v>
      </c>
    </row>
    <row r="138" spans="1:16" x14ac:dyDescent="0.35">
      <c r="A138" s="14" t="s">
        <v>802</v>
      </c>
      <c r="B138" s="21">
        <v>45338</v>
      </c>
      <c r="C138" s="14" t="s">
        <v>3999</v>
      </c>
      <c r="D138" s="14">
        <v>2024</v>
      </c>
      <c r="E138" s="14" t="s">
        <v>804</v>
      </c>
      <c r="F138" s="14" t="s">
        <v>529</v>
      </c>
      <c r="G138" s="14" t="s">
        <v>108</v>
      </c>
      <c r="H138" s="14">
        <v>1</v>
      </c>
      <c r="I138" s="14">
        <v>84290</v>
      </c>
      <c r="J138" s="14">
        <v>10</v>
      </c>
      <c r="K138" s="14">
        <v>75861</v>
      </c>
      <c r="L138" s="14" t="s">
        <v>95</v>
      </c>
      <c r="M138" s="14" t="s">
        <v>3975</v>
      </c>
      <c r="N138" s="14" t="s">
        <v>805</v>
      </c>
      <c r="O138" s="14" t="str">
        <f>IFERROR(INDEX(Cleaned_Products!$C$2:$C$61,MATCH(F138,Cleaned_Products!$A$2:$A$61,0)),"Unknown")</f>
        <v>Bangles</v>
      </c>
      <c r="P138" s="14" t="str">
        <f>IFERROR(INDEX(Cleaned_Products!$D$2:$D$61,MATCH(F138,Cleaned_Products!$A$2:$A$61,0)),"Unknown")</f>
        <v>Silver</v>
      </c>
    </row>
    <row r="139" spans="1:16" x14ac:dyDescent="0.35">
      <c r="A139" s="14" t="s">
        <v>806</v>
      </c>
      <c r="B139" s="21">
        <v>45359</v>
      </c>
      <c r="C139" s="14" t="s">
        <v>3985</v>
      </c>
      <c r="D139" s="14">
        <v>2024</v>
      </c>
      <c r="E139" s="14" t="s">
        <v>294</v>
      </c>
      <c r="F139" s="14" t="s">
        <v>79</v>
      </c>
      <c r="G139" s="14" t="s">
        <v>56</v>
      </c>
      <c r="H139" s="14">
        <v>2</v>
      </c>
      <c r="I139" s="14">
        <v>235310</v>
      </c>
      <c r="J139" s="14">
        <v>15</v>
      </c>
      <c r="K139" s="14">
        <v>400027</v>
      </c>
      <c r="L139" s="14" t="s">
        <v>3974</v>
      </c>
      <c r="M139" s="14" t="s">
        <v>3980</v>
      </c>
      <c r="N139" s="14" t="s">
        <v>808</v>
      </c>
      <c r="O139" s="14" t="str">
        <f>IFERROR(INDEX(Cleaned_Products!$C$2:$C$61,MATCH(F139,Cleaned_Products!$A$2:$A$61,0)),"Unknown")</f>
        <v>Rings</v>
      </c>
      <c r="P139" s="14" t="str">
        <f>IFERROR(INDEX(Cleaned_Products!$D$2:$D$61,MATCH(F139,Cleaned_Products!$A$2:$A$61,0)),"Unknown")</f>
        <v>Rose Gold</v>
      </c>
    </row>
    <row r="140" spans="1:16" x14ac:dyDescent="0.35">
      <c r="A140" s="14" t="s">
        <v>813</v>
      </c>
      <c r="B140" s="21">
        <v>45641</v>
      </c>
      <c r="C140" s="14" t="s">
        <v>3986</v>
      </c>
      <c r="D140" s="14">
        <v>2024</v>
      </c>
      <c r="E140" s="14" t="s">
        <v>277</v>
      </c>
      <c r="F140" s="14" t="s">
        <v>435</v>
      </c>
      <c r="G140" s="14" t="s">
        <v>113</v>
      </c>
      <c r="H140" s="14">
        <v>2</v>
      </c>
      <c r="I140" s="14">
        <v>190600</v>
      </c>
      <c r="J140" s="14">
        <v>5</v>
      </c>
      <c r="K140" s="14">
        <v>362140</v>
      </c>
      <c r="L140" s="14" t="s">
        <v>95</v>
      </c>
      <c r="M140" s="14" t="s">
        <v>3975</v>
      </c>
      <c r="N140" s="14" t="s">
        <v>815</v>
      </c>
      <c r="O140" s="14" t="str">
        <f>IFERROR(INDEX(Cleaned_Products!$C$2:$C$61,MATCH(F140,Cleaned_Products!$A$2:$A$61,0)),"Unknown")</f>
        <v>Bangles</v>
      </c>
      <c r="P140" s="14" t="str">
        <f>IFERROR(INDEX(Cleaned_Products!$D$2:$D$61,MATCH(F140,Cleaned_Products!$A$2:$A$61,0)),"Unknown")</f>
        <v>Platinum</v>
      </c>
    </row>
    <row r="141" spans="1:16" x14ac:dyDescent="0.35">
      <c r="A141" s="14" t="s">
        <v>816</v>
      </c>
      <c r="B141" s="21">
        <v>45061</v>
      </c>
      <c r="C141" s="14" t="s">
        <v>3973</v>
      </c>
      <c r="D141" s="14">
        <v>2023</v>
      </c>
      <c r="E141" s="14" t="s">
        <v>359</v>
      </c>
      <c r="F141" s="14" t="s">
        <v>576</v>
      </c>
      <c r="G141" s="14" t="s">
        <v>80</v>
      </c>
      <c r="H141" s="14">
        <v>1</v>
      </c>
      <c r="I141" s="14">
        <v>22180</v>
      </c>
      <c r="J141" s="14">
        <v>0</v>
      </c>
      <c r="K141" s="14">
        <v>22180</v>
      </c>
      <c r="L141" s="14" t="s">
        <v>3979</v>
      </c>
      <c r="M141" s="14" t="s">
        <v>3980</v>
      </c>
      <c r="N141" s="14" t="s">
        <v>818</v>
      </c>
      <c r="O141" s="14" t="str">
        <f>IFERROR(INDEX(Cleaned_Products!$C$2:$C$61,MATCH(F141,Cleaned_Products!$A$2:$A$61,0)),"Unknown")</f>
        <v>Bangles</v>
      </c>
      <c r="P141" s="14" t="str">
        <f>IFERROR(INDEX(Cleaned_Products!$D$2:$D$61,MATCH(F141,Cleaned_Products!$A$2:$A$61,0)),"Unknown")</f>
        <v>Diamond</v>
      </c>
    </row>
    <row r="142" spans="1:16" x14ac:dyDescent="0.35">
      <c r="A142" s="14" t="s">
        <v>819</v>
      </c>
      <c r="B142" s="21">
        <v>44989</v>
      </c>
      <c r="C142" s="14" t="s">
        <v>3982</v>
      </c>
      <c r="D142" s="14">
        <v>2023</v>
      </c>
      <c r="E142" s="14" t="s">
        <v>368</v>
      </c>
      <c r="F142" s="14" t="s">
        <v>259</v>
      </c>
      <c r="G142" s="14" t="s">
        <v>56</v>
      </c>
      <c r="H142" s="14">
        <v>2</v>
      </c>
      <c r="I142" s="14">
        <v>198510</v>
      </c>
      <c r="J142" s="14">
        <v>0</v>
      </c>
      <c r="K142" s="14">
        <v>397020</v>
      </c>
      <c r="L142" s="14" t="s">
        <v>3977</v>
      </c>
      <c r="M142" s="14" t="s">
        <v>3980</v>
      </c>
      <c r="N142" s="14" t="s">
        <v>3983</v>
      </c>
      <c r="O142" s="14" t="str">
        <f>IFERROR(INDEX(Cleaned_Products!$C$2:$C$61,MATCH(F142,Cleaned_Products!$A$2:$A$61,0)),"Unknown")</f>
        <v>Pendants</v>
      </c>
      <c r="P142" s="14" t="str">
        <f>IFERROR(INDEX(Cleaned_Products!$D$2:$D$61,MATCH(F142,Cleaned_Products!$A$2:$A$61,0)),"Unknown")</f>
        <v>Platinum</v>
      </c>
    </row>
    <row r="143" spans="1:16" x14ac:dyDescent="0.35">
      <c r="A143" s="14" t="s">
        <v>821</v>
      </c>
      <c r="B143" s="21">
        <v>45345</v>
      </c>
      <c r="C143" s="14" t="s">
        <v>3999</v>
      </c>
      <c r="D143" s="14">
        <v>2024</v>
      </c>
      <c r="E143" s="14" t="s">
        <v>457</v>
      </c>
      <c r="F143" s="14" t="s">
        <v>216</v>
      </c>
      <c r="G143" s="14" t="s">
        <v>113</v>
      </c>
      <c r="H143" s="14">
        <v>1</v>
      </c>
      <c r="I143" s="14">
        <v>206690</v>
      </c>
      <c r="J143" s="14">
        <v>15</v>
      </c>
      <c r="K143" s="14">
        <v>175686.5</v>
      </c>
      <c r="L143" s="14" t="s">
        <v>121</v>
      </c>
      <c r="M143" s="14" t="s">
        <v>3980</v>
      </c>
      <c r="N143" s="14" t="s">
        <v>824</v>
      </c>
      <c r="O143" s="14" t="str">
        <f>IFERROR(INDEX(Cleaned_Products!$C$2:$C$61,MATCH(F143,Cleaned_Products!$A$2:$A$61,0)),"Unknown")</f>
        <v>Bracelets</v>
      </c>
      <c r="P143" s="14" t="str">
        <f>IFERROR(INDEX(Cleaned_Products!$D$2:$D$61,MATCH(F143,Cleaned_Products!$A$2:$A$61,0)),"Unknown")</f>
        <v>Silver</v>
      </c>
    </row>
    <row r="144" spans="1:16" x14ac:dyDescent="0.35">
      <c r="A144" s="14" t="s">
        <v>825</v>
      </c>
      <c r="B144" s="21">
        <v>45026</v>
      </c>
      <c r="C144" s="14" t="s">
        <v>4010</v>
      </c>
      <c r="D144" s="14">
        <v>2023</v>
      </c>
      <c r="E144" s="14" t="s">
        <v>62</v>
      </c>
      <c r="F144" s="14" t="s">
        <v>172</v>
      </c>
      <c r="G144" s="14" t="s">
        <v>56</v>
      </c>
      <c r="H144" s="14">
        <v>1</v>
      </c>
      <c r="I144" s="14">
        <v>120500</v>
      </c>
      <c r="J144" s="14">
        <v>0</v>
      </c>
      <c r="K144" s="14">
        <v>120500</v>
      </c>
      <c r="L144" s="14" t="s">
        <v>3974</v>
      </c>
      <c r="M144" s="14" t="s">
        <v>3975</v>
      </c>
      <c r="N144" s="14" t="s">
        <v>828</v>
      </c>
      <c r="O144" s="14" t="str">
        <f>IFERROR(INDEX(Cleaned_Products!$C$2:$C$61,MATCH(F144,Cleaned_Products!$A$2:$A$61,0)),"Unknown")</f>
        <v>Bracelets</v>
      </c>
      <c r="P144" s="14" t="str">
        <f>IFERROR(INDEX(Cleaned_Products!$D$2:$D$61,MATCH(F144,Cleaned_Products!$A$2:$A$61,0)),"Unknown")</f>
        <v>Gold</v>
      </c>
    </row>
    <row r="145" spans="1:16" x14ac:dyDescent="0.35">
      <c r="A145" s="14" t="s">
        <v>834</v>
      </c>
      <c r="B145" s="21">
        <v>45533</v>
      </c>
      <c r="C145" s="14" t="s">
        <v>3992</v>
      </c>
      <c r="D145" s="14">
        <v>2024</v>
      </c>
      <c r="E145" s="14" t="s">
        <v>319</v>
      </c>
      <c r="F145" s="14" t="s">
        <v>348</v>
      </c>
      <c r="G145" s="14" t="s">
        <v>101</v>
      </c>
      <c r="H145" s="14">
        <v>1</v>
      </c>
      <c r="I145" s="14">
        <v>39100</v>
      </c>
      <c r="J145" s="14">
        <v>15</v>
      </c>
      <c r="K145" s="14">
        <v>33235</v>
      </c>
      <c r="L145" s="14" t="s">
        <v>3979</v>
      </c>
      <c r="M145" s="14" t="s">
        <v>3980</v>
      </c>
      <c r="N145" s="14" t="s">
        <v>836</v>
      </c>
      <c r="O145" s="14" t="str">
        <f>IFERROR(INDEX(Cleaned_Products!$C$2:$C$61,MATCH(F145,Cleaned_Products!$A$2:$A$61,0)),"Unknown")</f>
        <v>Rings</v>
      </c>
      <c r="P145" s="14" t="str">
        <f>IFERROR(INDEX(Cleaned_Products!$D$2:$D$61,MATCH(F145,Cleaned_Products!$A$2:$A$61,0)),"Unknown")</f>
        <v>Gold</v>
      </c>
    </row>
    <row r="146" spans="1:16" x14ac:dyDescent="0.35">
      <c r="A146" s="14" t="s">
        <v>837</v>
      </c>
      <c r="B146" s="21">
        <v>45294</v>
      </c>
      <c r="C146" s="14" t="s">
        <v>3993</v>
      </c>
      <c r="D146" s="14">
        <v>2024</v>
      </c>
      <c r="E146" s="14" t="s">
        <v>740</v>
      </c>
      <c r="F146" s="14" t="s">
        <v>88</v>
      </c>
      <c r="G146" s="14" t="s">
        <v>126</v>
      </c>
      <c r="H146" s="14">
        <v>2</v>
      </c>
      <c r="I146" s="14">
        <v>113720</v>
      </c>
      <c r="J146" s="14">
        <v>0</v>
      </c>
      <c r="K146" s="14">
        <v>227440</v>
      </c>
      <c r="L146" s="14" t="s">
        <v>73</v>
      </c>
      <c r="M146" s="14" t="s">
        <v>3980</v>
      </c>
      <c r="N146" s="14" t="s">
        <v>840</v>
      </c>
      <c r="O146" s="14" t="str">
        <f>IFERROR(INDEX(Cleaned_Products!$C$2:$C$61,MATCH(F146,Cleaned_Products!$A$2:$A$61,0)),"Unknown")</f>
        <v>Necklaces</v>
      </c>
      <c r="P146" s="14" t="str">
        <f>IFERROR(INDEX(Cleaned_Products!$D$2:$D$61,MATCH(F146,Cleaned_Products!$A$2:$A$61,0)),"Unknown")</f>
        <v>Gold</v>
      </c>
    </row>
    <row r="147" spans="1:16" x14ac:dyDescent="0.35">
      <c r="A147" s="14" t="s">
        <v>841</v>
      </c>
      <c r="B147" s="21">
        <v>45017</v>
      </c>
      <c r="C147" s="14" t="s">
        <v>4010</v>
      </c>
      <c r="D147" s="14">
        <v>2023</v>
      </c>
      <c r="E147" s="14" t="s">
        <v>211</v>
      </c>
      <c r="F147" s="14" t="s">
        <v>88</v>
      </c>
      <c r="G147" s="14" t="s">
        <v>72</v>
      </c>
      <c r="H147" s="14">
        <v>1</v>
      </c>
      <c r="I147" s="14">
        <v>141200</v>
      </c>
      <c r="J147" s="14">
        <v>0</v>
      </c>
      <c r="K147" s="14">
        <v>141200</v>
      </c>
      <c r="L147" s="14" t="s">
        <v>95</v>
      </c>
      <c r="M147" s="14" t="s">
        <v>3980</v>
      </c>
      <c r="N147" s="14" t="s">
        <v>844</v>
      </c>
      <c r="O147" s="14" t="str">
        <f>IFERROR(INDEX(Cleaned_Products!$C$2:$C$61,MATCH(F147,Cleaned_Products!$A$2:$A$61,0)),"Unknown")</f>
        <v>Necklaces</v>
      </c>
      <c r="P147" s="14" t="str">
        <f>IFERROR(INDEX(Cleaned_Products!$D$2:$D$61,MATCH(F147,Cleaned_Products!$A$2:$A$61,0)),"Unknown")</f>
        <v>Gold</v>
      </c>
    </row>
    <row r="148" spans="1:16" x14ac:dyDescent="0.35">
      <c r="A148" s="14" t="s">
        <v>845</v>
      </c>
      <c r="B148" s="21">
        <v>45154</v>
      </c>
      <c r="C148" s="14" t="s">
        <v>3998</v>
      </c>
      <c r="D148" s="14">
        <v>2023</v>
      </c>
      <c r="E148" s="14" t="s">
        <v>613</v>
      </c>
      <c r="F148" s="14" t="s">
        <v>212</v>
      </c>
      <c r="G148" s="14" t="s">
        <v>72</v>
      </c>
      <c r="H148" s="14">
        <v>1</v>
      </c>
      <c r="I148" s="14">
        <v>36520</v>
      </c>
      <c r="J148" s="14">
        <v>0</v>
      </c>
      <c r="K148" s="14">
        <v>36520</v>
      </c>
      <c r="L148" s="14" t="s">
        <v>95</v>
      </c>
      <c r="M148" s="14" t="s">
        <v>3975</v>
      </c>
      <c r="N148" s="14" t="s">
        <v>848</v>
      </c>
      <c r="O148" s="14" t="str">
        <f>IFERROR(INDEX(Cleaned_Products!$C$2:$C$61,MATCH(F148,Cleaned_Products!$A$2:$A$61,0)),"Unknown")</f>
        <v>Nose Pins</v>
      </c>
      <c r="P148" s="14" t="str">
        <f>IFERROR(INDEX(Cleaned_Products!$D$2:$D$61,MATCH(F148,Cleaned_Products!$A$2:$A$61,0)),"Unknown")</f>
        <v>Platinum</v>
      </c>
    </row>
    <row r="149" spans="1:16" x14ac:dyDescent="0.35">
      <c r="A149" s="14" t="s">
        <v>849</v>
      </c>
      <c r="B149" s="21">
        <v>45519</v>
      </c>
      <c r="C149" s="14" t="s">
        <v>3992</v>
      </c>
      <c r="D149" s="14">
        <v>2024</v>
      </c>
      <c r="E149" s="14" t="s">
        <v>703</v>
      </c>
      <c r="F149" s="14" t="s">
        <v>369</v>
      </c>
      <c r="G149" s="14" t="s">
        <v>101</v>
      </c>
      <c r="H149" s="14">
        <v>2</v>
      </c>
      <c r="I149" s="14">
        <v>33610</v>
      </c>
      <c r="J149" s="14">
        <v>10</v>
      </c>
      <c r="K149" s="14">
        <v>60498</v>
      </c>
      <c r="L149" s="14" t="s">
        <v>73</v>
      </c>
      <c r="M149" s="14" t="s">
        <v>3975</v>
      </c>
      <c r="N149" s="14" t="s">
        <v>851</v>
      </c>
      <c r="O149" s="14" t="str">
        <f>IFERROR(INDEX(Cleaned_Products!$C$2:$C$61,MATCH(F149,Cleaned_Products!$A$2:$A$61,0)),"Unknown")</f>
        <v>Earrings</v>
      </c>
      <c r="P149" s="14" t="str">
        <f>IFERROR(INDEX(Cleaned_Products!$D$2:$D$61,MATCH(F149,Cleaned_Products!$A$2:$A$61,0)),"Unknown")</f>
        <v>Platinum</v>
      </c>
    </row>
    <row r="150" spans="1:16" x14ac:dyDescent="0.35">
      <c r="A150" s="14" t="s">
        <v>852</v>
      </c>
      <c r="B150" s="21">
        <v>45605</v>
      </c>
      <c r="C150" s="14" t="s">
        <v>3976</v>
      </c>
      <c r="D150" s="14">
        <v>2024</v>
      </c>
      <c r="E150" s="14" t="s">
        <v>854</v>
      </c>
      <c r="F150" s="14" t="s">
        <v>144</v>
      </c>
      <c r="G150" s="14" t="s">
        <v>64</v>
      </c>
      <c r="H150" s="14">
        <v>3</v>
      </c>
      <c r="I150" s="14">
        <v>166510</v>
      </c>
      <c r="J150" s="14">
        <v>0</v>
      </c>
      <c r="K150" s="14">
        <v>499530</v>
      </c>
      <c r="L150" s="14" t="s">
        <v>73</v>
      </c>
      <c r="M150" s="14" t="s">
        <v>3975</v>
      </c>
      <c r="N150" s="14" t="s">
        <v>856</v>
      </c>
      <c r="O150" s="14" t="str">
        <f>IFERROR(INDEX(Cleaned_Products!$C$2:$C$61,MATCH(F150,Cleaned_Products!$A$2:$A$61,0)),"Unknown")</f>
        <v>Necklaces</v>
      </c>
      <c r="P150" s="14" t="str">
        <f>IFERROR(INDEX(Cleaned_Products!$D$2:$D$61,MATCH(F150,Cleaned_Products!$A$2:$A$61,0)),"Unknown")</f>
        <v>Gold</v>
      </c>
    </row>
    <row r="151" spans="1:16" x14ac:dyDescent="0.35">
      <c r="A151" s="14" t="s">
        <v>857</v>
      </c>
      <c r="B151" s="21">
        <v>45405</v>
      </c>
      <c r="C151" s="14" t="s">
        <v>4000</v>
      </c>
      <c r="D151" s="14">
        <v>2024</v>
      </c>
      <c r="E151" s="14" t="s">
        <v>859</v>
      </c>
      <c r="F151" s="14" t="s">
        <v>107</v>
      </c>
      <c r="G151" s="14" t="s">
        <v>64</v>
      </c>
      <c r="H151" s="14">
        <v>2</v>
      </c>
      <c r="I151" s="14">
        <v>193260</v>
      </c>
      <c r="J151" s="14">
        <v>10</v>
      </c>
      <c r="K151" s="14">
        <v>347868</v>
      </c>
      <c r="L151" s="14" t="s">
        <v>3977</v>
      </c>
      <c r="M151" s="14" t="s">
        <v>3980</v>
      </c>
      <c r="N151" s="14" t="s">
        <v>860</v>
      </c>
      <c r="O151" s="14" t="str">
        <f>IFERROR(INDEX(Cleaned_Products!$C$2:$C$61,MATCH(F151,Cleaned_Products!$A$2:$A$61,0)),"Unknown")</f>
        <v>Earrings</v>
      </c>
      <c r="P151" s="14" t="str">
        <f>IFERROR(INDEX(Cleaned_Products!$D$2:$D$61,MATCH(F151,Cleaned_Products!$A$2:$A$61,0)),"Unknown")</f>
        <v>Platinum</v>
      </c>
    </row>
    <row r="152" spans="1:16" x14ac:dyDescent="0.35">
      <c r="A152" s="14" t="s">
        <v>864</v>
      </c>
      <c r="B152" s="21">
        <v>45321</v>
      </c>
      <c r="C152" s="14" t="s">
        <v>3993</v>
      </c>
      <c r="D152" s="14">
        <v>2024</v>
      </c>
      <c r="E152" s="14" t="s">
        <v>389</v>
      </c>
      <c r="F152" s="14" t="s">
        <v>207</v>
      </c>
      <c r="G152" s="14" t="s">
        <v>108</v>
      </c>
      <c r="H152" s="14">
        <v>2</v>
      </c>
      <c r="I152" s="14">
        <v>204240</v>
      </c>
      <c r="J152" s="14">
        <v>10</v>
      </c>
      <c r="K152" s="14">
        <v>367632</v>
      </c>
      <c r="L152" s="14" t="s">
        <v>3977</v>
      </c>
      <c r="M152" s="14" t="s">
        <v>3975</v>
      </c>
      <c r="N152" s="14" t="s">
        <v>866</v>
      </c>
      <c r="O152" s="14" t="str">
        <f>IFERROR(INDEX(Cleaned_Products!$C$2:$C$61,MATCH(F152,Cleaned_Products!$A$2:$A$61,0)),"Unknown")</f>
        <v>Anklets</v>
      </c>
      <c r="P152" s="14" t="str">
        <f>IFERROR(INDEX(Cleaned_Products!$D$2:$D$61,MATCH(F152,Cleaned_Products!$A$2:$A$61,0)),"Unknown")</f>
        <v>Silver</v>
      </c>
    </row>
    <row r="153" spans="1:16" x14ac:dyDescent="0.35">
      <c r="A153" s="14" t="s">
        <v>867</v>
      </c>
      <c r="B153" s="21">
        <v>45614</v>
      </c>
      <c r="C153" s="14" t="s">
        <v>3976</v>
      </c>
      <c r="D153" s="14">
        <v>2024</v>
      </c>
      <c r="E153" s="14" t="s">
        <v>285</v>
      </c>
      <c r="F153" s="14" t="s">
        <v>112</v>
      </c>
      <c r="G153" s="14" t="s">
        <v>113</v>
      </c>
      <c r="H153" s="14">
        <v>1</v>
      </c>
      <c r="I153" s="14">
        <v>145900</v>
      </c>
      <c r="J153" s="14">
        <v>0</v>
      </c>
      <c r="K153" s="14">
        <v>145900</v>
      </c>
      <c r="L153" s="14" t="s">
        <v>3977</v>
      </c>
      <c r="M153" s="14" t="s">
        <v>3975</v>
      </c>
      <c r="N153" s="14" t="s">
        <v>870</v>
      </c>
      <c r="O153" s="14" t="str">
        <f>IFERROR(INDEX(Cleaned_Products!$C$2:$C$61,MATCH(F153,Cleaned_Products!$A$2:$A$61,0)),"Unknown")</f>
        <v>Bangles</v>
      </c>
      <c r="P153" s="14" t="str">
        <f>IFERROR(INDEX(Cleaned_Products!$D$2:$D$61,MATCH(F153,Cleaned_Products!$A$2:$A$61,0)),"Unknown")</f>
        <v>Rose Gold</v>
      </c>
    </row>
    <row r="154" spans="1:16" x14ac:dyDescent="0.35">
      <c r="A154" s="14" t="s">
        <v>874</v>
      </c>
      <c r="B154" s="21">
        <v>45789</v>
      </c>
      <c r="C154" s="14" t="s">
        <v>4004</v>
      </c>
      <c r="D154" s="14">
        <v>2025</v>
      </c>
      <c r="E154" s="14" t="s">
        <v>591</v>
      </c>
      <c r="F154" s="14" t="s">
        <v>125</v>
      </c>
      <c r="G154" s="14" t="s">
        <v>56</v>
      </c>
      <c r="H154" s="14">
        <v>1</v>
      </c>
      <c r="I154" s="14">
        <v>43710</v>
      </c>
      <c r="J154" s="14">
        <v>0</v>
      </c>
      <c r="K154" s="14">
        <v>43710</v>
      </c>
      <c r="L154" s="14" t="s">
        <v>3977</v>
      </c>
      <c r="M154" s="14" t="s">
        <v>3975</v>
      </c>
      <c r="N154" s="14" t="s">
        <v>876</v>
      </c>
      <c r="O154" s="14" t="str">
        <f>IFERROR(INDEX(Cleaned_Products!$C$2:$C$61,MATCH(F154,Cleaned_Products!$A$2:$A$61,0)),"Unknown")</f>
        <v>Bracelets</v>
      </c>
      <c r="P154" s="14" t="str">
        <f>IFERROR(INDEX(Cleaned_Products!$D$2:$D$61,MATCH(F154,Cleaned_Products!$A$2:$A$61,0)),"Unknown")</f>
        <v>Rose Gold</v>
      </c>
    </row>
    <row r="155" spans="1:16" x14ac:dyDescent="0.35">
      <c r="A155" s="14" t="s">
        <v>888</v>
      </c>
      <c r="B155" s="21">
        <v>45447</v>
      </c>
      <c r="C155" s="14" t="s">
        <v>3984</v>
      </c>
      <c r="D155" s="14">
        <v>2024</v>
      </c>
      <c r="E155" s="14" t="s">
        <v>890</v>
      </c>
      <c r="F155" s="14" t="s">
        <v>240</v>
      </c>
      <c r="G155" s="14" t="s">
        <v>101</v>
      </c>
      <c r="H155" s="14">
        <v>3</v>
      </c>
      <c r="I155" s="14">
        <v>202690</v>
      </c>
      <c r="J155" s="14">
        <v>5</v>
      </c>
      <c r="K155" s="14">
        <v>577666.5</v>
      </c>
      <c r="L155" s="14" t="s">
        <v>3979</v>
      </c>
      <c r="M155" s="14" t="s">
        <v>3980</v>
      </c>
      <c r="N155" s="14" t="s">
        <v>891</v>
      </c>
      <c r="O155" s="14" t="str">
        <f>IFERROR(INDEX(Cleaned_Products!$C$2:$C$61,MATCH(F155,Cleaned_Products!$A$2:$A$61,0)),"Unknown")</f>
        <v>Bangles</v>
      </c>
      <c r="P155" s="14" t="str">
        <f>IFERROR(INDEX(Cleaned_Products!$D$2:$D$61,MATCH(F155,Cleaned_Products!$A$2:$A$61,0)),"Unknown")</f>
        <v>Platinum</v>
      </c>
    </row>
    <row r="156" spans="1:16" x14ac:dyDescent="0.35">
      <c r="A156" s="14" t="s">
        <v>901</v>
      </c>
      <c r="B156" s="21">
        <v>45826</v>
      </c>
      <c r="C156" s="14" t="s">
        <v>3997</v>
      </c>
      <c r="D156" s="14">
        <v>2025</v>
      </c>
      <c r="E156" s="14" t="s">
        <v>903</v>
      </c>
      <c r="F156" s="14" t="s">
        <v>463</v>
      </c>
      <c r="G156" s="14" t="s">
        <v>108</v>
      </c>
      <c r="H156" s="14">
        <v>1</v>
      </c>
      <c r="I156" s="14">
        <v>32000</v>
      </c>
      <c r="J156" s="14">
        <v>0</v>
      </c>
      <c r="K156" s="14">
        <v>32000</v>
      </c>
      <c r="L156" s="14" t="s">
        <v>3977</v>
      </c>
      <c r="M156" s="14" t="s">
        <v>3975</v>
      </c>
      <c r="N156" s="14" t="s">
        <v>904</v>
      </c>
      <c r="O156" s="14" t="str">
        <f>IFERROR(INDEX(Cleaned_Products!$C$2:$C$61,MATCH(F156,Cleaned_Products!$A$2:$A$61,0)),"Unknown")</f>
        <v>Bracelets</v>
      </c>
      <c r="P156" s="14" t="str">
        <f>IFERROR(INDEX(Cleaned_Products!$D$2:$D$61,MATCH(F156,Cleaned_Products!$A$2:$A$61,0)),"Unknown")</f>
        <v>Gold</v>
      </c>
    </row>
    <row r="157" spans="1:16" x14ac:dyDescent="0.35">
      <c r="A157" s="14" t="s">
        <v>905</v>
      </c>
      <c r="B157" s="21">
        <v>45141</v>
      </c>
      <c r="C157" s="14" t="s">
        <v>3998</v>
      </c>
      <c r="D157" s="14">
        <v>2023</v>
      </c>
      <c r="E157" s="14" t="s">
        <v>457</v>
      </c>
      <c r="F157" s="14" t="s">
        <v>463</v>
      </c>
      <c r="G157" s="14" t="s">
        <v>72</v>
      </c>
      <c r="H157" s="14">
        <v>1</v>
      </c>
      <c r="I157" s="14">
        <v>107130</v>
      </c>
      <c r="J157" s="14">
        <v>5</v>
      </c>
      <c r="K157" s="14">
        <v>101773.5</v>
      </c>
      <c r="L157" s="14" t="s">
        <v>73</v>
      </c>
      <c r="M157" s="14" t="s">
        <v>3975</v>
      </c>
      <c r="N157" s="14" t="s">
        <v>908</v>
      </c>
      <c r="O157" s="14" t="str">
        <f>IFERROR(INDEX(Cleaned_Products!$C$2:$C$61,MATCH(F157,Cleaned_Products!$A$2:$A$61,0)),"Unknown")</f>
        <v>Bracelets</v>
      </c>
      <c r="P157" s="14" t="str">
        <f>IFERROR(INDEX(Cleaned_Products!$D$2:$D$61,MATCH(F157,Cleaned_Products!$A$2:$A$61,0)),"Unknown")</f>
        <v>Gold</v>
      </c>
    </row>
    <row r="158" spans="1:16" x14ac:dyDescent="0.35">
      <c r="A158" s="14" t="s">
        <v>909</v>
      </c>
      <c r="B158" s="21">
        <v>45379</v>
      </c>
      <c r="C158" s="14" t="s">
        <v>3985</v>
      </c>
      <c r="D158" s="14">
        <v>2024</v>
      </c>
      <c r="E158" s="14" t="s">
        <v>498</v>
      </c>
      <c r="F158" s="14" t="s">
        <v>520</v>
      </c>
      <c r="G158" s="14" t="s">
        <v>80</v>
      </c>
      <c r="H158" s="14">
        <v>2</v>
      </c>
      <c r="I158" s="14">
        <v>151180</v>
      </c>
      <c r="J158" s="14">
        <v>0</v>
      </c>
      <c r="K158" s="14">
        <v>302360</v>
      </c>
      <c r="L158" s="14" t="s">
        <v>95</v>
      </c>
      <c r="M158" s="14" t="s">
        <v>3980</v>
      </c>
      <c r="N158" s="14" t="s">
        <v>912</v>
      </c>
      <c r="O158" s="14" t="str">
        <f>IFERROR(INDEX(Cleaned_Products!$C$2:$C$61,MATCH(F158,Cleaned_Products!$A$2:$A$61,0)),"Unknown")</f>
        <v>Earrings</v>
      </c>
      <c r="P158" s="14">
        <f>IFERROR(INDEX(Cleaned_Products!$D$2:$D$61,MATCH(F158,Cleaned_Products!$A$2:$A$61,0)),"Unknown")</f>
        <v>0</v>
      </c>
    </row>
    <row r="159" spans="1:16" x14ac:dyDescent="0.35">
      <c r="A159" s="14" t="s">
        <v>913</v>
      </c>
      <c r="B159" s="21">
        <v>45543</v>
      </c>
      <c r="C159" s="14" t="s">
        <v>4003</v>
      </c>
      <c r="D159" s="14">
        <v>2024</v>
      </c>
      <c r="E159" s="14" t="s">
        <v>915</v>
      </c>
      <c r="F159" s="14" t="s">
        <v>916</v>
      </c>
      <c r="G159" s="14" t="s">
        <v>56</v>
      </c>
      <c r="H159" s="14">
        <v>2</v>
      </c>
      <c r="I159" s="14">
        <v>23110</v>
      </c>
      <c r="J159" s="14">
        <v>0</v>
      </c>
      <c r="K159" s="14">
        <v>46220</v>
      </c>
      <c r="L159" s="14" t="s">
        <v>3979</v>
      </c>
      <c r="M159" s="14" t="s">
        <v>3980</v>
      </c>
      <c r="N159" s="14" t="s">
        <v>918</v>
      </c>
      <c r="O159" s="14" t="str">
        <f>IFERROR(INDEX(Cleaned_Products!$C$2:$C$61,MATCH(F159,Cleaned_Products!$A$2:$A$61,0)),"Unknown")</f>
        <v>Bracelets</v>
      </c>
      <c r="P159" s="14" t="str">
        <f>IFERROR(INDEX(Cleaned_Products!$D$2:$D$61,MATCH(F159,Cleaned_Products!$A$2:$A$61,0)),"Unknown")</f>
        <v>Rose Gold</v>
      </c>
    </row>
    <row r="160" spans="1:16" x14ac:dyDescent="0.35">
      <c r="A160" s="14" t="s">
        <v>919</v>
      </c>
      <c r="B160" s="21">
        <v>45184</v>
      </c>
      <c r="C160" s="14" t="s">
        <v>3996</v>
      </c>
      <c r="D160" s="14">
        <v>2023</v>
      </c>
      <c r="E160" s="14" t="s">
        <v>376</v>
      </c>
      <c r="F160" s="14" t="s">
        <v>100</v>
      </c>
      <c r="G160" s="14" t="s">
        <v>108</v>
      </c>
      <c r="H160" s="14">
        <v>1</v>
      </c>
      <c r="I160" s="14">
        <v>44400</v>
      </c>
      <c r="J160" s="14">
        <v>0</v>
      </c>
      <c r="K160" s="14">
        <v>44400</v>
      </c>
      <c r="L160" s="14" t="s">
        <v>3979</v>
      </c>
      <c r="M160" s="14" t="s">
        <v>3975</v>
      </c>
      <c r="N160" s="14" t="s">
        <v>921</v>
      </c>
      <c r="O160" s="14" t="str">
        <f>IFERROR(INDEX(Cleaned_Products!$C$2:$C$61,MATCH(F160,Cleaned_Products!$A$2:$A$61,0)),"Unknown")</f>
        <v>Nose Pins</v>
      </c>
      <c r="P160" s="14" t="str">
        <f>IFERROR(INDEX(Cleaned_Products!$D$2:$D$61,MATCH(F160,Cleaned_Products!$A$2:$A$61,0)),"Unknown")</f>
        <v>Diamond</v>
      </c>
    </row>
    <row r="161" spans="1:16" x14ac:dyDescent="0.35">
      <c r="A161" s="14" t="s">
        <v>922</v>
      </c>
      <c r="B161" s="21">
        <v>45571</v>
      </c>
      <c r="C161" s="14" t="s">
        <v>3981</v>
      </c>
      <c r="D161" s="14">
        <v>2024</v>
      </c>
      <c r="E161" s="14" t="s">
        <v>468</v>
      </c>
      <c r="F161" s="14" t="s">
        <v>192</v>
      </c>
      <c r="G161" s="14" t="s">
        <v>101</v>
      </c>
      <c r="H161" s="14">
        <v>2</v>
      </c>
      <c r="I161" s="14">
        <v>87880</v>
      </c>
      <c r="J161" s="14">
        <v>0</v>
      </c>
      <c r="K161" s="14">
        <v>175760</v>
      </c>
      <c r="L161" s="14" t="s">
        <v>73</v>
      </c>
      <c r="M161" s="14" t="s">
        <v>3975</v>
      </c>
      <c r="N161" s="14" t="s">
        <v>924</v>
      </c>
      <c r="O161" s="14" t="str">
        <f>IFERROR(INDEX(Cleaned_Products!$C$2:$C$61,MATCH(F161,Cleaned_Products!$A$2:$A$61,0)),"Unknown")</f>
        <v>Bangles</v>
      </c>
      <c r="P161" s="14" t="str">
        <f>IFERROR(INDEX(Cleaned_Products!$D$2:$D$61,MATCH(F161,Cleaned_Products!$A$2:$A$61,0)),"Unknown")</f>
        <v>Silver</v>
      </c>
    </row>
    <row r="162" spans="1:16" x14ac:dyDescent="0.35">
      <c r="A162" s="14" t="s">
        <v>929</v>
      </c>
      <c r="B162" s="21">
        <v>45462</v>
      </c>
      <c r="C162" s="14" t="s">
        <v>3984</v>
      </c>
      <c r="D162" s="14">
        <v>2024</v>
      </c>
      <c r="E162" s="14" t="s">
        <v>457</v>
      </c>
      <c r="F162" s="14" t="s">
        <v>390</v>
      </c>
      <c r="G162" s="14" t="s">
        <v>113</v>
      </c>
      <c r="H162" s="14">
        <v>1</v>
      </c>
      <c r="I162" s="14">
        <v>229660</v>
      </c>
      <c r="J162" s="14">
        <v>0</v>
      </c>
      <c r="K162" s="14">
        <v>229660</v>
      </c>
      <c r="L162" s="14" t="s">
        <v>3974</v>
      </c>
      <c r="M162" s="14" t="s">
        <v>3975</v>
      </c>
      <c r="N162" s="14" t="s">
        <v>931</v>
      </c>
      <c r="O162" s="14" t="str">
        <f>IFERROR(INDEX(Cleaned_Products!$C$2:$C$61,MATCH(F162,Cleaned_Products!$A$2:$A$61,0)),"Unknown")</f>
        <v>Bracelets</v>
      </c>
      <c r="P162" s="14" t="str">
        <f>IFERROR(INDEX(Cleaned_Products!$D$2:$D$61,MATCH(F162,Cleaned_Products!$A$2:$A$61,0)),"Unknown")</f>
        <v>Platinum</v>
      </c>
    </row>
    <row r="163" spans="1:16" x14ac:dyDescent="0.35">
      <c r="A163" s="14" t="s">
        <v>936</v>
      </c>
      <c r="B163" s="21">
        <v>45270</v>
      </c>
      <c r="C163" s="14" t="s">
        <v>4008</v>
      </c>
      <c r="D163" s="14">
        <v>2023</v>
      </c>
      <c r="E163" s="14" t="s">
        <v>534</v>
      </c>
      <c r="F163" s="14" t="s">
        <v>240</v>
      </c>
      <c r="G163" s="14" t="s">
        <v>113</v>
      </c>
      <c r="H163" s="14">
        <v>2</v>
      </c>
      <c r="I163" s="14">
        <v>37580</v>
      </c>
      <c r="J163" s="14">
        <v>0</v>
      </c>
      <c r="K163" s="14">
        <v>75160</v>
      </c>
      <c r="L163" s="14" t="s">
        <v>3974</v>
      </c>
      <c r="M163" s="14" t="s">
        <v>3975</v>
      </c>
      <c r="N163" s="14" t="s">
        <v>938</v>
      </c>
      <c r="O163" s="14" t="str">
        <f>IFERROR(INDEX(Cleaned_Products!$C$2:$C$61,MATCH(F163,Cleaned_Products!$A$2:$A$61,0)),"Unknown")</f>
        <v>Bangles</v>
      </c>
      <c r="P163" s="14" t="str">
        <f>IFERROR(INDEX(Cleaned_Products!$D$2:$D$61,MATCH(F163,Cleaned_Products!$A$2:$A$61,0)),"Unknown")</f>
        <v>Platinum</v>
      </c>
    </row>
    <row r="164" spans="1:16" x14ac:dyDescent="0.35">
      <c r="A164" s="14" t="s">
        <v>939</v>
      </c>
      <c r="B164" s="21">
        <v>45380</v>
      </c>
      <c r="C164" s="14" t="s">
        <v>3985</v>
      </c>
      <c r="D164" s="14">
        <v>2024</v>
      </c>
      <c r="E164" s="14" t="s">
        <v>439</v>
      </c>
      <c r="F164" s="14" t="s">
        <v>79</v>
      </c>
      <c r="G164" s="14" t="s">
        <v>80</v>
      </c>
      <c r="H164" s="14">
        <v>1</v>
      </c>
      <c r="I164" s="14">
        <v>87220</v>
      </c>
      <c r="J164" s="14">
        <v>5</v>
      </c>
      <c r="K164" s="14">
        <v>82859</v>
      </c>
      <c r="L164" s="14" t="s">
        <v>3974</v>
      </c>
      <c r="M164" s="14" t="s">
        <v>3975</v>
      </c>
      <c r="N164" s="14" t="s">
        <v>941</v>
      </c>
      <c r="O164" s="14" t="str">
        <f>IFERROR(INDEX(Cleaned_Products!$C$2:$C$61,MATCH(F164,Cleaned_Products!$A$2:$A$61,0)),"Unknown")</f>
        <v>Rings</v>
      </c>
      <c r="P164" s="14" t="str">
        <f>IFERROR(INDEX(Cleaned_Products!$D$2:$D$61,MATCH(F164,Cleaned_Products!$A$2:$A$61,0)),"Unknown")</f>
        <v>Rose Gold</v>
      </c>
    </row>
    <row r="165" spans="1:16" x14ac:dyDescent="0.35">
      <c r="A165" s="14" t="s">
        <v>942</v>
      </c>
      <c r="B165" s="21">
        <v>45395</v>
      </c>
      <c r="C165" s="14" t="s">
        <v>4000</v>
      </c>
      <c r="D165" s="14">
        <v>2024</v>
      </c>
      <c r="E165" s="14" t="s">
        <v>129</v>
      </c>
      <c r="F165" s="14" t="s">
        <v>550</v>
      </c>
      <c r="G165" s="14" t="s">
        <v>101</v>
      </c>
      <c r="H165" s="14">
        <v>1</v>
      </c>
      <c r="I165" s="14">
        <v>90000</v>
      </c>
      <c r="J165" s="14">
        <v>15</v>
      </c>
      <c r="K165" s="14">
        <v>76500</v>
      </c>
      <c r="L165" s="14" t="s">
        <v>121</v>
      </c>
      <c r="M165" s="14" t="s">
        <v>3975</v>
      </c>
      <c r="N165" s="14" t="s">
        <v>945</v>
      </c>
      <c r="O165" s="14" t="str">
        <f>IFERROR(INDEX(Cleaned_Products!$C$2:$C$61,MATCH(F165,Cleaned_Products!$A$2:$A$61,0)),"Unknown")</f>
        <v>Bracelets</v>
      </c>
      <c r="P165" s="14" t="str">
        <f>IFERROR(INDEX(Cleaned_Products!$D$2:$D$61,MATCH(F165,Cleaned_Products!$A$2:$A$61,0)),"Unknown")</f>
        <v>Silver</v>
      </c>
    </row>
    <row r="166" spans="1:16" x14ac:dyDescent="0.35">
      <c r="A166" s="14" t="s">
        <v>946</v>
      </c>
      <c r="B166" s="21">
        <v>45513</v>
      </c>
      <c r="C166" s="14" t="s">
        <v>3992</v>
      </c>
      <c r="D166" s="14">
        <v>2024</v>
      </c>
      <c r="E166" s="14" t="s">
        <v>613</v>
      </c>
      <c r="F166" s="14" t="s">
        <v>948</v>
      </c>
      <c r="G166" s="14" t="s">
        <v>113</v>
      </c>
      <c r="H166" s="14">
        <v>2</v>
      </c>
      <c r="I166" s="14">
        <v>123250</v>
      </c>
      <c r="J166" s="14">
        <v>0</v>
      </c>
      <c r="K166" s="14">
        <v>246500</v>
      </c>
      <c r="L166" s="14" t="s">
        <v>3977</v>
      </c>
      <c r="M166" s="14" t="s">
        <v>3980</v>
      </c>
      <c r="N166" s="14" t="s">
        <v>3983</v>
      </c>
      <c r="O166" s="14" t="str">
        <f>IFERROR(INDEX(Cleaned_Products!$C$2:$C$61,MATCH(F166,Cleaned_Products!$A$2:$A$61,0)),"Unknown")</f>
        <v>Anklets</v>
      </c>
      <c r="P166" s="14" t="str">
        <f>IFERROR(INDEX(Cleaned_Products!$D$2:$D$61,MATCH(F166,Cleaned_Products!$A$2:$A$61,0)),"Unknown")</f>
        <v>Diamond</v>
      </c>
    </row>
    <row r="167" spans="1:16" x14ac:dyDescent="0.35">
      <c r="A167" s="14" t="s">
        <v>953</v>
      </c>
      <c r="B167" s="21">
        <v>45411</v>
      </c>
      <c r="C167" s="14" t="s">
        <v>4000</v>
      </c>
      <c r="D167" s="14">
        <v>2024</v>
      </c>
      <c r="E167" s="14" t="s">
        <v>573</v>
      </c>
      <c r="F167" s="14" t="s">
        <v>432</v>
      </c>
      <c r="G167" s="14" t="s">
        <v>101</v>
      </c>
      <c r="H167" s="14">
        <v>1</v>
      </c>
      <c r="I167" s="14">
        <v>243030</v>
      </c>
      <c r="J167" s="14">
        <v>10</v>
      </c>
      <c r="K167" s="14">
        <v>218727</v>
      </c>
      <c r="L167" s="14" t="s">
        <v>3977</v>
      </c>
      <c r="M167" s="14" t="s">
        <v>3975</v>
      </c>
      <c r="N167" s="14" t="s">
        <v>955</v>
      </c>
      <c r="O167" s="14" t="str">
        <f>IFERROR(INDEX(Cleaned_Products!$C$2:$C$61,MATCH(F167,Cleaned_Products!$A$2:$A$61,0)),"Unknown")</f>
        <v>Earrings</v>
      </c>
      <c r="P167" s="14" t="str">
        <f>IFERROR(INDEX(Cleaned_Products!$D$2:$D$61,MATCH(F167,Cleaned_Products!$A$2:$A$61,0)),"Unknown")</f>
        <v>Gold</v>
      </c>
    </row>
    <row r="168" spans="1:16" x14ac:dyDescent="0.35">
      <c r="A168" s="14" t="s">
        <v>956</v>
      </c>
      <c r="B168" s="21">
        <v>45588</v>
      </c>
      <c r="C168" s="14" t="s">
        <v>3981</v>
      </c>
      <c r="D168" s="14">
        <v>2024</v>
      </c>
      <c r="E168" s="14" t="s">
        <v>267</v>
      </c>
      <c r="F168" s="14" t="s">
        <v>125</v>
      </c>
      <c r="G168" s="14" t="s">
        <v>126</v>
      </c>
      <c r="H168" s="14">
        <v>2</v>
      </c>
      <c r="I168" s="14">
        <v>209240</v>
      </c>
      <c r="J168" s="14">
        <v>15</v>
      </c>
      <c r="K168" s="14">
        <v>355708</v>
      </c>
      <c r="L168" s="14" t="s">
        <v>121</v>
      </c>
      <c r="M168" s="14" t="s">
        <v>3980</v>
      </c>
      <c r="N168" s="14" t="s">
        <v>3983</v>
      </c>
      <c r="O168" s="14" t="str">
        <f>IFERROR(INDEX(Cleaned_Products!$C$2:$C$61,MATCH(F168,Cleaned_Products!$A$2:$A$61,0)),"Unknown")</f>
        <v>Bracelets</v>
      </c>
      <c r="P168" s="14" t="str">
        <f>IFERROR(INDEX(Cleaned_Products!$D$2:$D$61,MATCH(F168,Cleaned_Products!$A$2:$A$61,0)),"Unknown")</f>
        <v>Rose Gold</v>
      </c>
    </row>
    <row r="169" spans="1:16" x14ac:dyDescent="0.35">
      <c r="A169" s="14" t="s">
        <v>959</v>
      </c>
      <c r="B169" s="21">
        <v>45450</v>
      </c>
      <c r="C169" s="14" t="s">
        <v>3984</v>
      </c>
      <c r="D169" s="14">
        <v>2024</v>
      </c>
      <c r="E169" s="14" t="s">
        <v>898</v>
      </c>
      <c r="F169" s="14" t="s">
        <v>329</v>
      </c>
      <c r="G169" s="14" t="s">
        <v>80</v>
      </c>
      <c r="H169" s="14">
        <v>1</v>
      </c>
      <c r="I169" s="14">
        <v>39910</v>
      </c>
      <c r="J169" s="14">
        <v>0</v>
      </c>
      <c r="K169" s="14">
        <v>39910</v>
      </c>
      <c r="L169" s="14" t="s">
        <v>73</v>
      </c>
      <c r="M169" s="14" t="s">
        <v>3975</v>
      </c>
      <c r="N169" s="14" t="s">
        <v>962</v>
      </c>
      <c r="O169" s="14" t="str">
        <f>IFERROR(INDEX(Cleaned_Products!$C$2:$C$61,MATCH(F169,Cleaned_Products!$A$2:$A$61,0)),"Unknown")</f>
        <v>Nose Pins</v>
      </c>
      <c r="P169" s="14" t="str">
        <f>IFERROR(INDEX(Cleaned_Products!$D$2:$D$61,MATCH(F169,Cleaned_Products!$A$2:$A$61,0)),"Unknown")</f>
        <v>Gold</v>
      </c>
    </row>
    <row r="170" spans="1:16" x14ac:dyDescent="0.35">
      <c r="A170" s="14" t="s">
        <v>963</v>
      </c>
      <c r="B170" s="21">
        <v>45759</v>
      </c>
      <c r="C170" s="14" t="s">
        <v>4006</v>
      </c>
      <c r="D170" s="14">
        <v>2025</v>
      </c>
      <c r="E170" s="14" t="s">
        <v>124</v>
      </c>
      <c r="F170" s="14" t="s">
        <v>240</v>
      </c>
      <c r="G170" s="14" t="s">
        <v>101</v>
      </c>
      <c r="H170" s="14">
        <v>2</v>
      </c>
      <c r="I170" s="14">
        <v>152940</v>
      </c>
      <c r="J170" s="14">
        <v>5</v>
      </c>
      <c r="K170" s="14">
        <v>290586</v>
      </c>
      <c r="L170" s="14" t="s">
        <v>3977</v>
      </c>
      <c r="M170" s="14" t="s">
        <v>3980</v>
      </c>
      <c r="N170" s="14" t="s">
        <v>3983</v>
      </c>
      <c r="O170" s="14" t="str">
        <f>IFERROR(INDEX(Cleaned_Products!$C$2:$C$61,MATCH(F170,Cleaned_Products!$A$2:$A$61,0)),"Unknown")</f>
        <v>Bangles</v>
      </c>
      <c r="P170" s="14" t="str">
        <f>IFERROR(INDEX(Cleaned_Products!$D$2:$D$61,MATCH(F170,Cleaned_Products!$A$2:$A$61,0)),"Unknown")</f>
        <v>Platinum</v>
      </c>
    </row>
    <row r="171" spans="1:16" x14ac:dyDescent="0.35">
      <c r="A171" s="14" t="s">
        <v>965</v>
      </c>
      <c r="B171" s="21">
        <v>44982</v>
      </c>
      <c r="C171" s="14" t="s">
        <v>4001</v>
      </c>
      <c r="D171" s="14">
        <v>2023</v>
      </c>
      <c r="E171" s="14" t="s">
        <v>967</v>
      </c>
      <c r="F171" s="14" t="s">
        <v>212</v>
      </c>
      <c r="G171" s="14" t="s">
        <v>101</v>
      </c>
      <c r="H171" s="14">
        <v>3</v>
      </c>
      <c r="I171" s="14">
        <v>116840</v>
      </c>
      <c r="J171" s="14">
        <v>0</v>
      </c>
      <c r="K171" s="14">
        <v>350520</v>
      </c>
      <c r="L171" s="14" t="s">
        <v>73</v>
      </c>
      <c r="M171" s="14" t="s">
        <v>3980</v>
      </c>
      <c r="N171" s="14" t="s">
        <v>3983</v>
      </c>
      <c r="O171" s="14" t="str">
        <f>IFERROR(INDEX(Cleaned_Products!$C$2:$C$61,MATCH(F171,Cleaned_Products!$A$2:$A$61,0)),"Unknown")</f>
        <v>Nose Pins</v>
      </c>
      <c r="P171" s="14" t="str">
        <f>IFERROR(INDEX(Cleaned_Products!$D$2:$D$61,MATCH(F171,Cleaned_Products!$A$2:$A$61,0)),"Unknown")</f>
        <v>Platinum</v>
      </c>
    </row>
    <row r="172" spans="1:16" x14ac:dyDescent="0.35">
      <c r="A172" s="14" t="s">
        <v>969</v>
      </c>
      <c r="B172" s="21">
        <v>45335</v>
      </c>
      <c r="C172" s="14" t="s">
        <v>3999</v>
      </c>
      <c r="D172" s="14">
        <v>2024</v>
      </c>
      <c r="E172" s="14" t="s">
        <v>248</v>
      </c>
      <c r="F172" s="14" t="s">
        <v>163</v>
      </c>
      <c r="G172" s="14" t="s">
        <v>108</v>
      </c>
      <c r="H172" s="14">
        <v>1</v>
      </c>
      <c r="I172" s="14">
        <v>70780</v>
      </c>
      <c r="J172" s="14">
        <v>0</v>
      </c>
      <c r="K172" s="14">
        <v>70780</v>
      </c>
      <c r="L172" s="14" t="s">
        <v>3979</v>
      </c>
      <c r="M172" s="14" t="s">
        <v>3980</v>
      </c>
      <c r="N172" s="14" t="s">
        <v>3983</v>
      </c>
      <c r="O172" s="14" t="str">
        <f>IFERROR(INDEX(Cleaned_Products!$C$2:$C$61,MATCH(F172,Cleaned_Products!$A$2:$A$61,0)),"Unknown")</f>
        <v>Earrings</v>
      </c>
      <c r="P172" s="14" t="str">
        <f>IFERROR(INDEX(Cleaned_Products!$D$2:$D$61,MATCH(F172,Cleaned_Products!$A$2:$A$61,0)),"Unknown")</f>
        <v>Diamond</v>
      </c>
    </row>
    <row r="173" spans="1:16" x14ac:dyDescent="0.35">
      <c r="A173" s="14" t="s">
        <v>971</v>
      </c>
      <c r="B173" s="21">
        <v>44958</v>
      </c>
      <c r="C173" s="14" t="s">
        <v>4001</v>
      </c>
      <c r="D173" s="14">
        <v>2023</v>
      </c>
      <c r="E173" s="14" t="s">
        <v>973</v>
      </c>
      <c r="F173" s="14" t="s">
        <v>167</v>
      </c>
      <c r="G173" s="14" t="s">
        <v>72</v>
      </c>
      <c r="H173" s="14">
        <v>3</v>
      </c>
      <c r="I173" s="14">
        <v>54750</v>
      </c>
      <c r="J173" s="14">
        <v>0</v>
      </c>
      <c r="K173" s="14">
        <v>164250</v>
      </c>
      <c r="L173" s="14" t="s">
        <v>73</v>
      </c>
      <c r="M173" s="14" t="s">
        <v>3975</v>
      </c>
      <c r="N173" s="14" t="s">
        <v>975</v>
      </c>
      <c r="O173" s="14" t="str">
        <f>IFERROR(INDEX(Cleaned_Products!$C$2:$C$61,MATCH(F173,Cleaned_Products!$A$2:$A$61,0)),"Unknown")</f>
        <v>Nose Pins</v>
      </c>
      <c r="P173" s="14" t="str">
        <f>IFERROR(INDEX(Cleaned_Products!$D$2:$D$61,MATCH(F173,Cleaned_Products!$A$2:$A$61,0)),"Unknown")</f>
        <v>Rose Gold</v>
      </c>
    </row>
    <row r="174" spans="1:16" x14ac:dyDescent="0.35">
      <c r="A174" s="14" t="s">
        <v>983</v>
      </c>
      <c r="B174" s="21">
        <v>45171</v>
      </c>
      <c r="C174" s="14" t="s">
        <v>3996</v>
      </c>
      <c r="D174" s="14">
        <v>2023</v>
      </c>
      <c r="E174" s="14" t="s">
        <v>124</v>
      </c>
      <c r="F174" s="14" t="s">
        <v>684</v>
      </c>
      <c r="G174" s="14" t="s">
        <v>101</v>
      </c>
      <c r="H174" s="14">
        <v>1</v>
      </c>
      <c r="I174" s="14">
        <v>218240</v>
      </c>
      <c r="J174" s="14">
        <v>0</v>
      </c>
      <c r="K174" s="14">
        <v>218240</v>
      </c>
      <c r="L174" s="14" t="s">
        <v>3979</v>
      </c>
      <c r="M174" s="14" t="s">
        <v>3975</v>
      </c>
      <c r="N174" s="14" t="s">
        <v>986</v>
      </c>
      <c r="O174" s="14" t="str">
        <f>IFERROR(INDEX(Cleaned_Products!$C$2:$C$61,MATCH(F174,Cleaned_Products!$A$2:$A$61,0)),"Unknown")</f>
        <v>Nose Pins</v>
      </c>
      <c r="P174" s="14" t="str">
        <f>IFERROR(INDEX(Cleaned_Products!$D$2:$D$61,MATCH(F174,Cleaned_Products!$A$2:$A$61,0)),"Unknown")</f>
        <v>Silver</v>
      </c>
    </row>
    <row r="175" spans="1:16" x14ac:dyDescent="0.35">
      <c r="A175" s="14" t="s">
        <v>987</v>
      </c>
      <c r="B175" s="21">
        <v>45691</v>
      </c>
      <c r="C175" s="14" t="s">
        <v>3989</v>
      </c>
      <c r="D175" s="14">
        <v>2025</v>
      </c>
      <c r="E175" s="14" t="s">
        <v>314</v>
      </c>
      <c r="F175" s="14" t="s">
        <v>989</v>
      </c>
      <c r="G175" s="14" t="s">
        <v>64</v>
      </c>
      <c r="H175" s="14">
        <v>3</v>
      </c>
      <c r="I175" s="14">
        <v>13320</v>
      </c>
      <c r="J175" s="14">
        <v>5</v>
      </c>
      <c r="K175" s="14">
        <v>37962</v>
      </c>
      <c r="L175" s="14" t="s">
        <v>3977</v>
      </c>
      <c r="M175" s="14" t="s">
        <v>3980</v>
      </c>
      <c r="N175" s="14" t="s">
        <v>991</v>
      </c>
      <c r="O175" s="14" t="str">
        <f>IFERROR(INDEX(Cleaned_Products!$C$2:$C$61,MATCH(F175,Cleaned_Products!$A$2:$A$61,0)),"Unknown")</f>
        <v>Anklets</v>
      </c>
      <c r="P175" s="14" t="str">
        <f>IFERROR(INDEX(Cleaned_Products!$D$2:$D$61,MATCH(F175,Cleaned_Products!$A$2:$A$61,0)),"Unknown")</f>
        <v>Rose Gold</v>
      </c>
    </row>
    <row r="176" spans="1:16" x14ac:dyDescent="0.35">
      <c r="A176" s="14" t="s">
        <v>992</v>
      </c>
      <c r="B176" s="21">
        <v>45140</v>
      </c>
      <c r="C176" s="14" t="s">
        <v>3998</v>
      </c>
      <c r="D176" s="14">
        <v>2023</v>
      </c>
      <c r="E176" s="14" t="s">
        <v>385</v>
      </c>
      <c r="F176" s="14" t="s">
        <v>55</v>
      </c>
      <c r="G176" s="14" t="s">
        <v>113</v>
      </c>
      <c r="H176" s="14">
        <v>3</v>
      </c>
      <c r="I176" s="14">
        <v>176650</v>
      </c>
      <c r="J176" s="14">
        <v>10</v>
      </c>
      <c r="K176" s="14">
        <v>476955</v>
      </c>
      <c r="L176" s="14" t="s">
        <v>95</v>
      </c>
      <c r="M176" s="14" t="s">
        <v>3975</v>
      </c>
      <c r="N176" s="14" t="s">
        <v>994</v>
      </c>
      <c r="O176" s="14" t="str">
        <f>IFERROR(INDEX(Cleaned_Products!$C$2:$C$61,MATCH(F176,Cleaned_Products!$A$2:$A$61,0)),"Unknown")</f>
        <v>Anklets</v>
      </c>
      <c r="P176" s="14" t="str">
        <f>IFERROR(INDEX(Cleaned_Products!$D$2:$D$61,MATCH(F176,Cleaned_Products!$A$2:$A$61,0)),"Unknown")</f>
        <v>Gold</v>
      </c>
    </row>
    <row r="177" spans="1:16" x14ac:dyDescent="0.35">
      <c r="A177" s="14" t="s">
        <v>995</v>
      </c>
      <c r="B177" s="21">
        <v>45060</v>
      </c>
      <c r="C177" s="14" t="s">
        <v>3973</v>
      </c>
      <c r="D177" s="14">
        <v>2023</v>
      </c>
      <c r="E177" s="14" t="s">
        <v>439</v>
      </c>
      <c r="F177" s="14" t="s">
        <v>167</v>
      </c>
      <c r="G177" s="14" t="s">
        <v>113</v>
      </c>
      <c r="H177" s="14">
        <v>2</v>
      </c>
      <c r="I177" s="14">
        <v>97650</v>
      </c>
      <c r="J177" s="14">
        <v>0</v>
      </c>
      <c r="K177" s="14">
        <v>195300</v>
      </c>
      <c r="L177" s="14" t="s">
        <v>3974</v>
      </c>
      <c r="M177" s="14" t="s">
        <v>3975</v>
      </c>
      <c r="N177" s="14" t="s">
        <v>997</v>
      </c>
      <c r="O177" s="14" t="str">
        <f>IFERROR(INDEX(Cleaned_Products!$C$2:$C$61,MATCH(F177,Cleaned_Products!$A$2:$A$61,0)),"Unknown")</f>
        <v>Nose Pins</v>
      </c>
      <c r="P177" s="14" t="str">
        <f>IFERROR(INDEX(Cleaned_Products!$D$2:$D$61,MATCH(F177,Cleaned_Products!$A$2:$A$61,0)),"Unknown")</f>
        <v>Rose Gold</v>
      </c>
    </row>
    <row r="178" spans="1:16" x14ac:dyDescent="0.35">
      <c r="A178" s="14" t="s">
        <v>998</v>
      </c>
      <c r="B178" s="21">
        <v>45851</v>
      </c>
      <c r="C178" s="14" t="s">
        <v>3991</v>
      </c>
      <c r="D178" s="14">
        <v>2025</v>
      </c>
      <c r="E178" s="14" t="s">
        <v>750</v>
      </c>
      <c r="F178" s="14" t="s">
        <v>207</v>
      </c>
      <c r="G178" s="14" t="s">
        <v>72</v>
      </c>
      <c r="H178" s="14">
        <v>1</v>
      </c>
      <c r="I178" s="14">
        <v>25190</v>
      </c>
      <c r="J178" s="14">
        <v>0</v>
      </c>
      <c r="K178" s="14">
        <v>25190</v>
      </c>
      <c r="L178" s="14" t="s">
        <v>95</v>
      </c>
      <c r="M178" s="14" t="s">
        <v>3975</v>
      </c>
      <c r="N178" s="14" t="s">
        <v>1000</v>
      </c>
      <c r="O178" s="14" t="str">
        <f>IFERROR(INDEX(Cleaned_Products!$C$2:$C$61,MATCH(F178,Cleaned_Products!$A$2:$A$61,0)),"Unknown")</f>
        <v>Anklets</v>
      </c>
      <c r="P178" s="14" t="str">
        <f>IFERROR(INDEX(Cleaned_Products!$D$2:$D$61,MATCH(F178,Cleaned_Products!$A$2:$A$61,0)),"Unknown")</f>
        <v>Silver</v>
      </c>
    </row>
    <row r="179" spans="1:16" x14ac:dyDescent="0.35">
      <c r="A179" s="14" t="s">
        <v>1001</v>
      </c>
      <c r="B179" s="21">
        <v>45106</v>
      </c>
      <c r="C179" s="14" t="s">
        <v>3994</v>
      </c>
      <c r="D179" s="14">
        <v>2023</v>
      </c>
      <c r="E179" s="14" t="s">
        <v>683</v>
      </c>
      <c r="F179" s="14" t="s">
        <v>163</v>
      </c>
      <c r="G179" s="14" t="s">
        <v>113</v>
      </c>
      <c r="H179" s="14">
        <v>2</v>
      </c>
      <c r="I179" s="14">
        <v>152010</v>
      </c>
      <c r="J179" s="14">
        <v>0</v>
      </c>
      <c r="K179" s="14">
        <v>304020</v>
      </c>
      <c r="L179" s="14" t="s">
        <v>3979</v>
      </c>
      <c r="M179" s="14" t="s">
        <v>3980</v>
      </c>
      <c r="N179" s="14" t="s">
        <v>3983</v>
      </c>
      <c r="O179" s="14" t="str">
        <f>IFERROR(INDEX(Cleaned_Products!$C$2:$C$61,MATCH(F179,Cleaned_Products!$A$2:$A$61,0)),"Unknown")</f>
        <v>Earrings</v>
      </c>
      <c r="P179" s="14" t="str">
        <f>IFERROR(INDEX(Cleaned_Products!$D$2:$D$61,MATCH(F179,Cleaned_Products!$A$2:$A$61,0)),"Unknown")</f>
        <v>Diamond</v>
      </c>
    </row>
    <row r="180" spans="1:16" x14ac:dyDescent="0.35">
      <c r="A180" s="14" t="s">
        <v>1004</v>
      </c>
      <c r="B180" s="21">
        <v>45439</v>
      </c>
      <c r="C180" s="14" t="s">
        <v>4007</v>
      </c>
      <c r="D180" s="14">
        <v>2024</v>
      </c>
      <c r="E180" s="14" t="s">
        <v>1006</v>
      </c>
      <c r="F180" s="14" t="s">
        <v>71</v>
      </c>
      <c r="G180" s="14" t="s">
        <v>72</v>
      </c>
      <c r="H180" s="14">
        <v>3</v>
      </c>
      <c r="I180" s="14">
        <v>243570</v>
      </c>
      <c r="J180" s="14">
        <v>0</v>
      </c>
      <c r="K180" s="14">
        <v>730710</v>
      </c>
      <c r="L180" s="14" t="s">
        <v>3977</v>
      </c>
      <c r="M180" s="14" t="s">
        <v>3980</v>
      </c>
      <c r="N180" s="14" t="s">
        <v>3983</v>
      </c>
      <c r="O180" s="14" t="str">
        <f>IFERROR(INDEX(Cleaned_Products!$C$2:$C$61,MATCH(F180,Cleaned_Products!$A$2:$A$61,0)),"Unknown")</f>
        <v>Bracelets</v>
      </c>
      <c r="P180" s="14" t="str">
        <f>IFERROR(INDEX(Cleaned_Products!$D$2:$D$61,MATCH(F180,Cleaned_Products!$A$2:$A$61,0)),"Unknown")</f>
        <v>Rose Gold</v>
      </c>
    </row>
    <row r="181" spans="1:16" x14ac:dyDescent="0.35">
      <c r="A181" s="14" t="s">
        <v>1007</v>
      </c>
      <c r="B181" s="21">
        <v>45683</v>
      </c>
      <c r="C181" s="14" t="s">
        <v>4005</v>
      </c>
      <c r="D181" s="14">
        <v>2025</v>
      </c>
      <c r="E181" s="14" t="s">
        <v>1009</v>
      </c>
      <c r="F181" s="14" t="s">
        <v>550</v>
      </c>
      <c r="G181" s="14" t="s">
        <v>113</v>
      </c>
      <c r="H181" s="14">
        <v>1</v>
      </c>
      <c r="I181" s="14">
        <v>213590</v>
      </c>
      <c r="J181" s="14">
        <v>5</v>
      </c>
      <c r="K181" s="14">
        <v>202910.5</v>
      </c>
      <c r="L181" s="14" t="s">
        <v>3977</v>
      </c>
      <c r="M181" s="14" t="s">
        <v>3975</v>
      </c>
      <c r="N181" s="14" t="s">
        <v>1010</v>
      </c>
      <c r="O181" s="14" t="str">
        <f>IFERROR(INDEX(Cleaned_Products!$C$2:$C$61,MATCH(F181,Cleaned_Products!$A$2:$A$61,0)),"Unknown")</f>
        <v>Bracelets</v>
      </c>
      <c r="P181" s="14" t="str">
        <f>IFERROR(INDEX(Cleaned_Products!$D$2:$D$61,MATCH(F181,Cleaned_Products!$A$2:$A$61,0)),"Unknown")</f>
        <v>Silver</v>
      </c>
    </row>
    <row r="182" spans="1:16" x14ac:dyDescent="0.35">
      <c r="A182" s="14" t="s">
        <v>1011</v>
      </c>
      <c r="B182" s="21">
        <v>45127</v>
      </c>
      <c r="C182" s="14" t="s">
        <v>3988</v>
      </c>
      <c r="D182" s="14">
        <v>2023</v>
      </c>
      <c r="E182" s="14" t="s">
        <v>1013</v>
      </c>
      <c r="F182" s="14" t="s">
        <v>916</v>
      </c>
      <c r="G182" s="14" t="s">
        <v>113</v>
      </c>
      <c r="H182" s="14">
        <v>1</v>
      </c>
      <c r="I182" s="14">
        <v>107690</v>
      </c>
      <c r="J182" s="14">
        <v>10</v>
      </c>
      <c r="K182" s="14">
        <v>96921</v>
      </c>
      <c r="L182" s="14" t="s">
        <v>3974</v>
      </c>
      <c r="M182" s="14" t="s">
        <v>3975</v>
      </c>
      <c r="N182" s="14" t="s">
        <v>1015</v>
      </c>
      <c r="O182" s="14" t="str">
        <f>IFERROR(INDEX(Cleaned_Products!$C$2:$C$61,MATCH(F182,Cleaned_Products!$A$2:$A$61,0)),"Unknown")</f>
        <v>Bracelets</v>
      </c>
      <c r="P182" s="14" t="str">
        <f>IFERROR(INDEX(Cleaned_Products!$D$2:$D$61,MATCH(F182,Cleaned_Products!$A$2:$A$61,0)),"Unknown")</f>
        <v>Rose Gold</v>
      </c>
    </row>
    <row r="183" spans="1:16" x14ac:dyDescent="0.35">
      <c r="A183" s="14" t="s">
        <v>1016</v>
      </c>
      <c r="B183" s="21">
        <v>45576</v>
      </c>
      <c r="C183" s="14" t="s">
        <v>3981</v>
      </c>
      <c r="D183" s="14">
        <v>2024</v>
      </c>
      <c r="E183" s="14" t="s">
        <v>1018</v>
      </c>
      <c r="F183" s="14" t="s">
        <v>207</v>
      </c>
      <c r="G183" s="14" t="s">
        <v>113</v>
      </c>
      <c r="H183" s="14">
        <v>2</v>
      </c>
      <c r="I183" s="14">
        <v>187440</v>
      </c>
      <c r="J183" s="14">
        <v>5</v>
      </c>
      <c r="K183" s="14">
        <v>356136</v>
      </c>
      <c r="L183" s="14" t="s">
        <v>95</v>
      </c>
      <c r="M183" s="14" t="s">
        <v>3980</v>
      </c>
      <c r="N183" s="14" t="s">
        <v>3983</v>
      </c>
      <c r="O183" s="14" t="str">
        <f>IFERROR(INDEX(Cleaned_Products!$C$2:$C$61,MATCH(F183,Cleaned_Products!$A$2:$A$61,0)),"Unknown")</f>
        <v>Anklets</v>
      </c>
      <c r="P183" s="14" t="str">
        <f>IFERROR(INDEX(Cleaned_Products!$D$2:$D$61,MATCH(F183,Cleaned_Products!$A$2:$A$61,0)),"Unknown")</f>
        <v>Silver</v>
      </c>
    </row>
    <row r="184" spans="1:16" x14ac:dyDescent="0.35">
      <c r="A184" s="14" t="s">
        <v>1023</v>
      </c>
      <c r="B184" s="21">
        <v>45153</v>
      </c>
      <c r="C184" s="14" t="s">
        <v>3998</v>
      </c>
      <c r="D184" s="14">
        <v>2023</v>
      </c>
      <c r="E184" s="14" t="s">
        <v>1025</v>
      </c>
      <c r="F184" s="14" t="s">
        <v>315</v>
      </c>
      <c r="G184" s="14" t="s">
        <v>126</v>
      </c>
      <c r="H184" s="14">
        <v>1</v>
      </c>
      <c r="I184" s="14">
        <v>237180</v>
      </c>
      <c r="J184" s="14">
        <v>10</v>
      </c>
      <c r="K184" s="14">
        <v>213462</v>
      </c>
      <c r="L184" s="14" t="s">
        <v>121</v>
      </c>
      <c r="M184" s="14" t="s">
        <v>3980</v>
      </c>
      <c r="N184" s="14" t="s">
        <v>3983</v>
      </c>
      <c r="O184" s="14" t="str">
        <f>IFERROR(INDEX(Cleaned_Products!$C$2:$C$61,MATCH(F184,Cleaned_Products!$A$2:$A$61,0)),"Unknown")</f>
        <v>Bracelets</v>
      </c>
      <c r="P184" s="14" t="str">
        <f>IFERROR(INDEX(Cleaned_Products!$D$2:$D$61,MATCH(F184,Cleaned_Products!$A$2:$A$61,0)),"Unknown")</f>
        <v>Rose Gold</v>
      </c>
    </row>
    <row r="185" spans="1:16" x14ac:dyDescent="0.35">
      <c r="A185" s="14" t="s">
        <v>1026</v>
      </c>
      <c r="B185" s="21">
        <v>45180</v>
      </c>
      <c r="C185" s="14" t="s">
        <v>3996</v>
      </c>
      <c r="D185" s="14">
        <v>2023</v>
      </c>
      <c r="E185" s="14" t="s">
        <v>183</v>
      </c>
      <c r="F185" s="14" t="s">
        <v>520</v>
      </c>
      <c r="G185" s="14" t="s">
        <v>64</v>
      </c>
      <c r="H185" s="14">
        <v>1</v>
      </c>
      <c r="I185" s="14">
        <v>176480</v>
      </c>
      <c r="J185" s="14">
        <v>5</v>
      </c>
      <c r="K185" s="14">
        <v>167656</v>
      </c>
      <c r="L185" s="14" t="s">
        <v>121</v>
      </c>
      <c r="M185" s="14" t="s">
        <v>3980</v>
      </c>
      <c r="N185" s="14" t="s">
        <v>3983</v>
      </c>
      <c r="O185" s="14" t="str">
        <f>IFERROR(INDEX(Cleaned_Products!$C$2:$C$61,MATCH(F185,Cleaned_Products!$A$2:$A$61,0)),"Unknown")</f>
        <v>Earrings</v>
      </c>
      <c r="P185" s="14">
        <f>IFERROR(INDEX(Cleaned_Products!$D$2:$D$61,MATCH(F185,Cleaned_Products!$A$2:$A$61,0)),"Unknown")</f>
        <v>0</v>
      </c>
    </row>
    <row r="186" spans="1:16" x14ac:dyDescent="0.35">
      <c r="A186" s="14" t="s">
        <v>1028</v>
      </c>
      <c r="B186" s="21">
        <v>45493</v>
      </c>
      <c r="C186" s="14" t="s">
        <v>4009</v>
      </c>
      <c r="D186" s="14">
        <v>2024</v>
      </c>
      <c r="E186" s="14" t="s">
        <v>439</v>
      </c>
      <c r="F186" s="14" t="s">
        <v>463</v>
      </c>
      <c r="G186" s="14" t="s">
        <v>126</v>
      </c>
      <c r="H186" s="14">
        <v>2</v>
      </c>
      <c r="I186" s="14">
        <v>142700</v>
      </c>
      <c r="J186" s="14">
        <v>10</v>
      </c>
      <c r="K186" s="14">
        <v>256860</v>
      </c>
      <c r="L186" s="14" t="s">
        <v>3974</v>
      </c>
      <c r="M186" s="14" t="s">
        <v>3975</v>
      </c>
      <c r="N186" s="14" t="s">
        <v>1031</v>
      </c>
      <c r="O186" s="14" t="str">
        <f>IFERROR(INDEX(Cleaned_Products!$C$2:$C$61,MATCH(F186,Cleaned_Products!$A$2:$A$61,0)),"Unknown")</f>
        <v>Bracelets</v>
      </c>
      <c r="P186" s="14" t="str">
        <f>IFERROR(INDEX(Cleaned_Products!$D$2:$D$61,MATCH(F186,Cleaned_Products!$A$2:$A$61,0)),"Unknown")</f>
        <v>Gold</v>
      </c>
    </row>
    <row r="187" spans="1:16" x14ac:dyDescent="0.35">
      <c r="A187" s="14" t="s">
        <v>1032</v>
      </c>
      <c r="B187" s="21">
        <v>45270</v>
      </c>
      <c r="C187" s="14" t="s">
        <v>4008</v>
      </c>
      <c r="D187" s="14">
        <v>2023</v>
      </c>
      <c r="E187" s="14" t="s">
        <v>898</v>
      </c>
      <c r="F187" s="14" t="s">
        <v>989</v>
      </c>
      <c r="G187" s="14" t="s">
        <v>64</v>
      </c>
      <c r="H187" s="14">
        <v>1</v>
      </c>
      <c r="I187" s="14">
        <v>211480</v>
      </c>
      <c r="J187" s="14">
        <v>15</v>
      </c>
      <c r="K187" s="14">
        <v>179758</v>
      </c>
      <c r="L187" s="14" t="s">
        <v>95</v>
      </c>
      <c r="M187" s="14" t="s">
        <v>3980</v>
      </c>
      <c r="N187" s="14" t="s">
        <v>3983</v>
      </c>
      <c r="O187" s="14" t="str">
        <f>IFERROR(INDEX(Cleaned_Products!$C$2:$C$61,MATCH(F187,Cleaned_Products!$A$2:$A$61,0)),"Unknown")</f>
        <v>Anklets</v>
      </c>
      <c r="P187" s="14" t="str">
        <f>IFERROR(INDEX(Cleaned_Products!$D$2:$D$61,MATCH(F187,Cleaned_Products!$A$2:$A$61,0)),"Unknown")</f>
        <v>Rose Gold</v>
      </c>
    </row>
    <row r="188" spans="1:16" x14ac:dyDescent="0.35">
      <c r="A188" s="14" t="s">
        <v>1034</v>
      </c>
      <c r="B188" s="21">
        <v>45640</v>
      </c>
      <c r="C188" s="14" t="s">
        <v>3986</v>
      </c>
      <c r="D188" s="14">
        <v>2024</v>
      </c>
      <c r="E188" s="14" t="s">
        <v>368</v>
      </c>
      <c r="F188" s="14" t="s">
        <v>79</v>
      </c>
      <c r="G188" s="14" t="s">
        <v>108</v>
      </c>
      <c r="H188" s="14">
        <v>1</v>
      </c>
      <c r="I188" s="14">
        <v>107240</v>
      </c>
      <c r="J188" s="14">
        <v>0</v>
      </c>
      <c r="K188" s="14">
        <v>107240</v>
      </c>
      <c r="L188" s="14" t="s">
        <v>3974</v>
      </c>
      <c r="M188" s="14" t="s">
        <v>3980</v>
      </c>
      <c r="N188" s="14" t="s">
        <v>3983</v>
      </c>
      <c r="O188" s="14" t="str">
        <f>IFERROR(INDEX(Cleaned_Products!$C$2:$C$61,MATCH(F188,Cleaned_Products!$A$2:$A$61,0)),"Unknown")</f>
        <v>Rings</v>
      </c>
      <c r="P188" s="14" t="str">
        <f>IFERROR(INDEX(Cleaned_Products!$D$2:$D$61,MATCH(F188,Cleaned_Products!$A$2:$A$61,0)),"Unknown")</f>
        <v>Rose Gold</v>
      </c>
    </row>
    <row r="189" spans="1:16" x14ac:dyDescent="0.35">
      <c r="A189" s="14" t="s">
        <v>1039</v>
      </c>
      <c r="B189" s="21">
        <v>45031</v>
      </c>
      <c r="C189" s="14" t="s">
        <v>4010</v>
      </c>
      <c r="D189" s="14">
        <v>2023</v>
      </c>
      <c r="E189" s="14" t="s">
        <v>206</v>
      </c>
      <c r="F189" s="14" t="s">
        <v>342</v>
      </c>
      <c r="G189" s="14" t="s">
        <v>113</v>
      </c>
      <c r="H189" s="14">
        <v>2</v>
      </c>
      <c r="I189" s="14">
        <v>213080</v>
      </c>
      <c r="J189" s="14">
        <v>0</v>
      </c>
      <c r="K189" s="14">
        <v>426160</v>
      </c>
      <c r="L189" s="14" t="s">
        <v>121</v>
      </c>
      <c r="M189" s="14" t="s">
        <v>3975</v>
      </c>
      <c r="N189" s="14" t="s">
        <v>1041</v>
      </c>
      <c r="O189" s="14" t="str">
        <f>IFERROR(INDEX(Cleaned_Products!$C$2:$C$61,MATCH(F189,Cleaned_Products!$A$2:$A$61,0)),"Unknown")</f>
        <v>Necklaces</v>
      </c>
      <c r="P189" s="14" t="str">
        <f>IFERROR(INDEX(Cleaned_Products!$D$2:$D$61,MATCH(F189,Cleaned_Products!$A$2:$A$61,0)),"Unknown")</f>
        <v>Diamond</v>
      </c>
    </row>
    <row r="190" spans="1:16" x14ac:dyDescent="0.35">
      <c r="A190" s="14" t="s">
        <v>1042</v>
      </c>
      <c r="B190" s="21">
        <v>45436</v>
      </c>
      <c r="C190" s="14" t="s">
        <v>4007</v>
      </c>
      <c r="D190" s="14">
        <v>2024</v>
      </c>
      <c r="E190" s="14" t="s">
        <v>727</v>
      </c>
      <c r="F190" s="14" t="s">
        <v>989</v>
      </c>
      <c r="G190" s="14" t="s">
        <v>80</v>
      </c>
      <c r="H190" s="14">
        <v>1</v>
      </c>
      <c r="I190" s="14">
        <v>208260</v>
      </c>
      <c r="J190" s="14">
        <v>0</v>
      </c>
      <c r="K190" s="14">
        <v>208260</v>
      </c>
      <c r="L190" s="14" t="s">
        <v>121</v>
      </c>
      <c r="M190" s="14" t="s">
        <v>3975</v>
      </c>
      <c r="N190" s="14" t="s">
        <v>1044</v>
      </c>
      <c r="O190" s="14" t="str">
        <f>IFERROR(INDEX(Cleaned_Products!$C$2:$C$61,MATCH(F190,Cleaned_Products!$A$2:$A$61,0)),"Unknown")</f>
        <v>Anklets</v>
      </c>
      <c r="P190" s="14" t="str">
        <f>IFERROR(INDEX(Cleaned_Products!$D$2:$D$61,MATCH(F190,Cleaned_Products!$A$2:$A$61,0)),"Unknown")</f>
        <v>Rose Gold</v>
      </c>
    </row>
    <row r="191" spans="1:16" x14ac:dyDescent="0.35">
      <c r="A191" s="14" t="s">
        <v>1045</v>
      </c>
      <c r="B191" s="21">
        <v>45740</v>
      </c>
      <c r="C191" s="14" t="s">
        <v>4002</v>
      </c>
      <c r="D191" s="14">
        <v>2025</v>
      </c>
      <c r="E191" s="14" t="s">
        <v>285</v>
      </c>
      <c r="F191" s="14" t="s">
        <v>348</v>
      </c>
      <c r="G191" s="14" t="s">
        <v>101</v>
      </c>
      <c r="H191" s="14">
        <v>1</v>
      </c>
      <c r="I191" s="14">
        <v>209500</v>
      </c>
      <c r="J191" s="14">
        <v>0</v>
      </c>
      <c r="K191" s="14">
        <v>209500</v>
      </c>
      <c r="L191" s="14" t="s">
        <v>3977</v>
      </c>
      <c r="M191" s="14" t="s">
        <v>3975</v>
      </c>
      <c r="N191" s="14" t="s">
        <v>1048</v>
      </c>
      <c r="O191" s="14" t="str">
        <f>IFERROR(INDEX(Cleaned_Products!$C$2:$C$61,MATCH(F191,Cleaned_Products!$A$2:$A$61,0)),"Unknown")</f>
        <v>Rings</v>
      </c>
      <c r="P191" s="14" t="str">
        <f>IFERROR(INDEX(Cleaned_Products!$D$2:$D$61,MATCH(F191,Cleaned_Products!$A$2:$A$61,0)),"Unknown")</f>
        <v>Gold</v>
      </c>
    </row>
    <row r="192" spans="1:16" x14ac:dyDescent="0.35">
      <c r="A192" s="14" t="s">
        <v>1049</v>
      </c>
      <c r="B192" s="21">
        <v>45699</v>
      </c>
      <c r="C192" s="14" t="s">
        <v>3989</v>
      </c>
      <c r="D192" s="14">
        <v>2025</v>
      </c>
      <c r="E192" s="14" t="s">
        <v>148</v>
      </c>
      <c r="F192" s="14" t="s">
        <v>948</v>
      </c>
      <c r="G192" s="14" t="s">
        <v>64</v>
      </c>
      <c r="H192" s="14">
        <v>3</v>
      </c>
      <c r="I192" s="14">
        <v>173530</v>
      </c>
      <c r="J192" s="14">
        <v>0</v>
      </c>
      <c r="K192" s="14">
        <v>520590</v>
      </c>
      <c r="L192" s="14" t="s">
        <v>121</v>
      </c>
      <c r="M192" s="14" t="s">
        <v>3975</v>
      </c>
      <c r="N192" s="14" t="s">
        <v>1051</v>
      </c>
      <c r="O192" s="14" t="str">
        <f>IFERROR(INDEX(Cleaned_Products!$C$2:$C$61,MATCH(F192,Cleaned_Products!$A$2:$A$61,0)),"Unknown")</f>
        <v>Anklets</v>
      </c>
      <c r="P192" s="14" t="str">
        <f>IFERROR(INDEX(Cleaned_Products!$D$2:$D$61,MATCH(F192,Cleaned_Products!$A$2:$A$61,0)),"Unknown")</f>
        <v>Diamond</v>
      </c>
    </row>
    <row r="193" spans="1:16" x14ac:dyDescent="0.35">
      <c r="A193" s="14" t="s">
        <v>1052</v>
      </c>
      <c r="B193" s="21">
        <v>45859</v>
      </c>
      <c r="C193" s="14" t="s">
        <v>3991</v>
      </c>
      <c r="D193" s="14">
        <v>2025</v>
      </c>
      <c r="E193" s="14" t="s">
        <v>143</v>
      </c>
      <c r="F193" s="14" t="s">
        <v>63</v>
      </c>
      <c r="G193" s="14" t="s">
        <v>126</v>
      </c>
      <c r="H193" s="14">
        <v>2</v>
      </c>
      <c r="I193" s="14">
        <v>235240</v>
      </c>
      <c r="J193" s="14">
        <v>0</v>
      </c>
      <c r="K193" s="14">
        <v>470480</v>
      </c>
      <c r="L193" s="14" t="s">
        <v>95</v>
      </c>
      <c r="M193" s="14" t="s">
        <v>3975</v>
      </c>
      <c r="N193" s="14" t="s">
        <v>1055</v>
      </c>
      <c r="O193" s="14" t="str">
        <f>IFERROR(INDEX(Cleaned_Products!$C$2:$C$61,MATCH(F193,Cleaned_Products!$A$2:$A$61,0)),"Unknown")</f>
        <v>Anklets</v>
      </c>
      <c r="P193" s="14" t="str">
        <f>IFERROR(INDEX(Cleaned_Products!$D$2:$D$61,MATCH(F193,Cleaned_Products!$A$2:$A$61,0)),"Unknown")</f>
        <v>Diamond</v>
      </c>
    </row>
    <row r="194" spans="1:16" x14ac:dyDescent="0.35">
      <c r="A194" s="14" t="s">
        <v>1056</v>
      </c>
      <c r="B194" s="21">
        <v>45032</v>
      </c>
      <c r="C194" s="14" t="s">
        <v>4010</v>
      </c>
      <c r="D194" s="14">
        <v>2023</v>
      </c>
      <c r="E194" s="14" t="s">
        <v>1058</v>
      </c>
      <c r="F194" s="14" t="s">
        <v>135</v>
      </c>
      <c r="G194" s="14" t="s">
        <v>113</v>
      </c>
      <c r="H194" s="14">
        <v>1</v>
      </c>
      <c r="I194" s="14">
        <v>29860</v>
      </c>
      <c r="J194" s="14">
        <v>0</v>
      </c>
      <c r="K194" s="14">
        <v>29860</v>
      </c>
      <c r="L194" s="14" t="s">
        <v>121</v>
      </c>
      <c r="M194" s="14" t="s">
        <v>3980</v>
      </c>
      <c r="N194" s="14" t="s">
        <v>1060</v>
      </c>
      <c r="O194" s="14" t="str">
        <f>IFERROR(INDEX(Cleaned_Products!$C$2:$C$61,MATCH(F194,Cleaned_Products!$A$2:$A$61,0)),"Unknown")</f>
        <v>Necklaces</v>
      </c>
      <c r="P194" s="14" t="str">
        <f>IFERROR(INDEX(Cleaned_Products!$D$2:$D$61,MATCH(F194,Cleaned_Products!$A$2:$A$61,0)),"Unknown")</f>
        <v>Silver</v>
      </c>
    </row>
    <row r="195" spans="1:16" x14ac:dyDescent="0.35">
      <c r="A195" s="14" t="s">
        <v>1065</v>
      </c>
      <c r="B195" s="21">
        <v>45237</v>
      </c>
      <c r="C195" s="14" t="s">
        <v>3978</v>
      </c>
      <c r="D195" s="14">
        <v>2023</v>
      </c>
      <c r="E195" s="14" t="s">
        <v>444</v>
      </c>
      <c r="F195" s="14" t="s">
        <v>264</v>
      </c>
      <c r="G195" s="14" t="s">
        <v>101</v>
      </c>
      <c r="H195" s="14">
        <v>1</v>
      </c>
      <c r="I195" s="14">
        <v>17170</v>
      </c>
      <c r="J195" s="14">
        <v>10</v>
      </c>
      <c r="K195" s="14">
        <v>15453</v>
      </c>
      <c r="L195" s="14" t="s">
        <v>3974</v>
      </c>
      <c r="M195" s="14" t="s">
        <v>3975</v>
      </c>
      <c r="N195" s="14" t="s">
        <v>1068</v>
      </c>
      <c r="O195" s="14" t="str">
        <f>IFERROR(INDEX(Cleaned_Products!$C$2:$C$61,MATCH(F195,Cleaned_Products!$A$2:$A$61,0)),"Unknown")</f>
        <v>Pendants</v>
      </c>
      <c r="P195" s="14" t="str">
        <f>IFERROR(INDEX(Cleaned_Products!$D$2:$D$61,MATCH(F195,Cleaned_Products!$A$2:$A$61,0)),"Unknown")</f>
        <v>Silver</v>
      </c>
    </row>
    <row r="196" spans="1:16" x14ac:dyDescent="0.35">
      <c r="A196" s="14" t="s">
        <v>1069</v>
      </c>
      <c r="B196" s="21">
        <v>44963</v>
      </c>
      <c r="C196" s="14" t="s">
        <v>4001</v>
      </c>
      <c r="D196" s="14">
        <v>2023</v>
      </c>
      <c r="E196" s="14" t="s">
        <v>325</v>
      </c>
      <c r="F196" s="14" t="s">
        <v>342</v>
      </c>
      <c r="G196" s="14" t="s">
        <v>56</v>
      </c>
      <c r="H196" s="14">
        <v>1</v>
      </c>
      <c r="I196" s="14">
        <v>124900</v>
      </c>
      <c r="J196" s="14">
        <v>0</v>
      </c>
      <c r="K196" s="14">
        <v>124900</v>
      </c>
      <c r="L196" s="14" t="s">
        <v>3974</v>
      </c>
      <c r="M196" s="14" t="s">
        <v>3975</v>
      </c>
      <c r="N196" s="14" t="s">
        <v>1072</v>
      </c>
      <c r="O196" s="14" t="str">
        <f>IFERROR(INDEX(Cleaned_Products!$C$2:$C$61,MATCH(F196,Cleaned_Products!$A$2:$A$61,0)),"Unknown")</f>
        <v>Necklaces</v>
      </c>
      <c r="P196" s="14" t="str">
        <f>IFERROR(INDEX(Cleaned_Products!$D$2:$D$61,MATCH(F196,Cleaned_Products!$A$2:$A$61,0)),"Unknown")</f>
        <v>Diamond</v>
      </c>
    </row>
    <row r="197" spans="1:16" x14ac:dyDescent="0.35">
      <c r="A197" s="14" t="s">
        <v>1078</v>
      </c>
      <c r="B197" s="21">
        <v>45019</v>
      </c>
      <c r="C197" s="14" t="s">
        <v>4010</v>
      </c>
      <c r="D197" s="14">
        <v>2023</v>
      </c>
      <c r="E197" s="14" t="s">
        <v>3995</v>
      </c>
      <c r="F197" s="14" t="s">
        <v>369</v>
      </c>
      <c r="G197" s="14" t="s">
        <v>108</v>
      </c>
      <c r="H197" s="14">
        <v>3</v>
      </c>
      <c r="I197" s="14">
        <v>208750</v>
      </c>
      <c r="J197" s="14">
        <v>10</v>
      </c>
      <c r="K197" s="14">
        <v>563625</v>
      </c>
      <c r="L197" s="14" t="s">
        <v>3974</v>
      </c>
      <c r="M197" s="14" t="s">
        <v>3980</v>
      </c>
      <c r="N197" s="14" t="s">
        <v>3983</v>
      </c>
      <c r="O197" s="14" t="str">
        <f>IFERROR(INDEX(Cleaned_Products!$C$2:$C$61,MATCH(F197,Cleaned_Products!$A$2:$A$61,0)),"Unknown")</f>
        <v>Earrings</v>
      </c>
      <c r="P197" s="14" t="str">
        <f>IFERROR(INDEX(Cleaned_Products!$D$2:$D$61,MATCH(F197,Cleaned_Products!$A$2:$A$61,0)),"Unknown")</f>
        <v>Platinum</v>
      </c>
    </row>
    <row r="198" spans="1:16" x14ac:dyDescent="0.35">
      <c r="A198" s="14" t="s">
        <v>1080</v>
      </c>
      <c r="B198" s="21">
        <v>45192</v>
      </c>
      <c r="C198" s="14" t="s">
        <v>3996</v>
      </c>
      <c r="D198" s="14">
        <v>2023</v>
      </c>
      <c r="E198" s="14" t="s">
        <v>558</v>
      </c>
      <c r="F198" s="14" t="s">
        <v>196</v>
      </c>
      <c r="G198" s="14" t="s">
        <v>126</v>
      </c>
      <c r="H198" s="14">
        <v>2</v>
      </c>
      <c r="I198" s="14">
        <v>38690</v>
      </c>
      <c r="J198" s="14">
        <v>5</v>
      </c>
      <c r="K198" s="14">
        <v>73511</v>
      </c>
      <c r="L198" s="14" t="s">
        <v>3979</v>
      </c>
      <c r="M198" s="14" t="s">
        <v>3980</v>
      </c>
      <c r="N198" s="14" t="s">
        <v>3983</v>
      </c>
      <c r="O198" s="14" t="str">
        <f>IFERROR(INDEX(Cleaned_Products!$C$2:$C$61,MATCH(F198,Cleaned_Products!$A$2:$A$61,0)),"Unknown")</f>
        <v>Pendants</v>
      </c>
      <c r="P198" s="14" t="str">
        <f>IFERROR(INDEX(Cleaned_Products!$D$2:$D$61,MATCH(F198,Cleaned_Products!$A$2:$A$61,0)),"Unknown")</f>
        <v>Diamond</v>
      </c>
    </row>
    <row r="199" spans="1:16" x14ac:dyDescent="0.35">
      <c r="A199" s="14" t="s">
        <v>1087</v>
      </c>
      <c r="B199" s="21">
        <v>45168</v>
      </c>
      <c r="C199" s="14" t="s">
        <v>3998</v>
      </c>
      <c r="D199" s="14">
        <v>2023</v>
      </c>
      <c r="E199" s="14" t="s">
        <v>1018</v>
      </c>
      <c r="F199" s="14" t="s">
        <v>390</v>
      </c>
      <c r="G199" s="14" t="s">
        <v>126</v>
      </c>
      <c r="H199" s="14">
        <v>3</v>
      </c>
      <c r="I199" s="14">
        <v>77600</v>
      </c>
      <c r="J199" s="14">
        <v>5</v>
      </c>
      <c r="K199" s="14">
        <v>221160</v>
      </c>
      <c r="L199" s="14" t="s">
        <v>73</v>
      </c>
      <c r="M199" s="14" t="s">
        <v>3980</v>
      </c>
      <c r="N199" s="14" t="s">
        <v>3983</v>
      </c>
      <c r="O199" s="14" t="str">
        <f>IFERROR(INDEX(Cleaned_Products!$C$2:$C$61,MATCH(F199,Cleaned_Products!$A$2:$A$61,0)),"Unknown")</f>
        <v>Bracelets</v>
      </c>
      <c r="P199" s="14" t="str">
        <f>IFERROR(INDEX(Cleaned_Products!$D$2:$D$61,MATCH(F199,Cleaned_Products!$A$2:$A$61,0)),"Unknown")</f>
        <v>Platinum</v>
      </c>
    </row>
    <row r="200" spans="1:16" x14ac:dyDescent="0.35">
      <c r="A200" s="14" t="s">
        <v>1089</v>
      </c>
      <c r="B200" s="21">
        <v>45876</v>
      </c>
      <c r="C200" s="14" t="s">
        <v>4011</v>
      </c>
      <c r="D200" s="14">
        <v>2025</v>
      </c>
      <c r="E200" s="14" t="s">
        <v>99</v>
      </c>
      <c r="F200" s="14" t="s">
        <v>472</v>
      </c>
      <c r="G200" s="14" t="s">
        <v>72</v>
      </c>
      <c r="H200" s="14">
        <v>2</v>
      </c>
      <c r="I200" s="14">
        <v>17400</v>
      </c>
      <c r="J200" s="14">
        <v>0</v>
      </c>
      <c r="K200" s="14">
        <v>34800</v>
      </c>
      <c r="L200" s="14" t="s">
        <v>3974</v>
      </c>
      <c r="M200" s="14" t="s">
        <v>3980</v>
      </c>
      <c r="N200" s="14" t="s">
        <v>1091</v>
      </c>
      <c r="O200" s="14" t="str">
        <f>IFERROR(INDEX(Cleaned_Products!$C$2:$C$61,MATCH(F200,Cleaned_Products!$A$2:$A$61,0)),"Unknown")</f>
        <v>Nose Pins</v>
      </c>
      <c r="P200" s="14" t="str">
        <f>IFERROR(INDEX(Cleaned_Products!$D$2:$D$61,MATCH(F200,Cleaned_Products!$A$2:$A$61,0)),"Unknown")</f>
        <v>Platinum</v>
      </c>
    </row>
    <row r="201" spans="1:16" x14ac:dyDescent="0.35">
      <c r="A201" s="14" t="s">
        <v>1092</v>
      </c>
      <c r="B201" s="21">
        <v>45541</v>
      </c>
      <c r="C201" s="14" t="s">
        <v>4003</v>
      </c>
      <c r="D201" s="14">
        <v>2024</v>
      </c>
      <c r="E201" s="14" t="s">
        <v>524</v>
      </c>
      <c r="F201" s="14" t="s">
        <v>638</v>
      </c>
      <c r="G201" s="14" t="s">
        <v>113</v>
      </c>
      <c r="H201" s="14">
        <v>2</v>
      </c>
      <c r="I201" s="14">
        <v>54540</v>
      </c>
      <c r="J201" s="14">
        <v>10</v>
      </c>
      <c r="K201" s="14">
        <v>98172</v>
      </c>
      <c r="L201" s="14" t="s">
        <v>73</v>
      </c>
      <c r="M201" s="14" t="s">
        <v>3975</v>
      </c>
      <c r="N201" s="14" t="s">
        <v>1094</v>
      </c>
      <c r="O201" s="14" t="str">
        <f>IFERROR(INDEX(Cleaned_Products!$C$2:$C$61,MATCH(F201,Cleaned_Products!$A$2:$A$61,0)),"Unknown")</f>
        <v>Nose Pins</v>
      </c>
      <c r="P201" s="14" t="str">
        <f>IFERROR(INDEX(Cleaned_Products!$D$2:$D$61,MATCH(F201,Cleaned_Products!$A$2:$A$61,0)),"Unknown")</f>
        <v>Diamond</v>
      </c>
    </row>
    <row r="202" spans="1:16" x14ac:dyDescent="0.35">
      <c r="A202" s="14" t="s">
        <v>1095</v>
      </c>
      <c r="B202" s="21">
        <v>45381</v>
      </c>
      <c r="C202" s="14" t="s">
        <v>3985</v>
      </c>
      <c r="D202" s="14">
        <v>2024</v>
      </c>
      <c r="E202" s="14" t="s">
        <v>1097</v>
      </c>
      <c r="F202" s="14" t="s">
        <v>445</v>
      </c>
      <c r="G202" s="14" t="s">
        <v>126</v>
      </c>
      <c r="H202" s="14">
        <v>1</v>
      </c>
      <c r="I202" s="14">
        <v>9420</v>
      </c>
      <c r="J202" s="14">
        <v>10</v>
      </c>
      <c r="K202" s="14">
        <v>8478</v>
      </c>
      <c r="L202" s="14" t="s">
        <v>3974</v>
      </c>
      <c r="M202" s="14" t="s">
        <v>3975</v>
      </c>
      <c r="N202" s="14" t="s">
        <v>1098</v>
      </c>
      <c r="O202" s="14" t="str">
        <f>IFERROR(INDEX(Cleaned_Products!$C$2:$C$61,MATCH(F202,Cleaned_Products!$A$2:$A$61,0)),"Unknown")</f>
        <v>Bangles</v>
      </c>
      <c r="P202" s="14" t="str">
        <f>IFERROR(INDEX(Cleaned_Products!$D$2:$D$61,MATCH(F202,Cleaned_Products!$A$2:$A$61,0)),"Unknown")</f>
        <v>Diamond</v>
      </c>
    </row>
    <row r="203" spans="1:16" x14ac:dyDescent="0.35">
      <c r="A203" s="14" t="s">
        <v>1102</v>
      </c>
      <c r="B203" s="21">
        <v>45670</v>
      </c>
      <c r="C203" s="14" t="s">
        <v>4005</v>
      </c>
      <c r="D203" s="14">
        <v>2025</v>
      </c>
      <c r="E203" s="14" t="s">
        <v>385</v>
      </c>
      <c r="F203" s="14" t="s">
        <v>88</v>
      </c>
      <c r="G203" s="14" t="s">
        <v>108</v>
      </c>
      <c r="H203" s="14">
        <v>2</v>
      </c>
      <c r="I203" s="14">
        <v>59670</v>
      </c>
      <c r="J203" s="14">
        <v>0</v>
      </c>
      <c r="K203" s="14">
        <v>119340</v>
      </c>
      <c r="L203" s="14" t="s">
        <v>3974</v>
      </c>
      <c r="M203" s="14" t="s">
        <v>3980</v>
      </c>
      <c r="N203" s="14" t="s">
        <v>3983</v>
      </c>
      <c r="O203" s="14" t="str">
        <f>IFERROR(INDEX(Cleaned_Products!$C$2:$C$61,MATCH(F203,Cleaned_Products!$A$2:$A$61,0)),"Unknown")</f>
        <v>Necklaces</v>
      </c>
      <c r="P203" s="14" t="str">
        <f>IFERROR(INDEX(Cleaned_Products!$D$2:$D$61,MATCH(F203,Cleaned_Products!$A$2:$A$61,0)),"Unknown")</f>
        <v>Gold</v>
      </c>
    </row>
    <row r="204" spans="1:16" x14ac:dyDescent="0.35">
      <c r="A204" s="14" t="s">
        <v>1104</v>
      </c>
      <c r="B204" s="21">
        <v>45091</v>
      </c>
      <c r="C204" s="14" t="s">
        <v>3994</v>
      </c>
      <c r="D204" s="14">
        <v>2023</v>
      </c>
      <c r="E204" s="14" t="s">
        <v>799</v>
      </c>
      <c r="F204" s="14" t="s">
        <v>435</v>
      </c>
      <c r="G204" s="14" t="s">
        <v>101</v>
      </c>
      <c r="H204" s="14">
        <v>1</v>
      </c>
      <c r="I204" s="14">
        <v>44920</v>
      </c>
      <c r="J204" s="14">
        <v>0</v>
      </c>
      <c r="K204" s="14">
        <v>44920</v>
      </c>
      <c r="L204" s="14" t="s">
        <v>95</v>
      </c>
      <c r="M204" s="14" t="s">
        <v>3975</v>
      </c>
      <c r="N204" s="14" t="s">
        <v>1106</v>
      </c>
      <c r="O204" s="14" t="str">
        <f>IFERROR(INDEX(Cleaned_Products!$C$2:$C$61,MATCH(F204,Cleaned_Products!$A$2:$A$61,0)),"Unknown")</f>
        <v>Bangles</v>
      </c>
      <c r="P204" s="14" t="str">
        <f>IFERROR(INDEX(Cleaned_Products!$D$2:$D$61,MATCH(F204,Cleaned_Products!$A$2:$A$61,0)),"Unknown")</f>
        <v>Platinum</v>
      </c>
    </row>
    <row r="205" spans="1:16" x14ac:dyDescent="0.35">
      <c r="A205" s="14" t="s">
        <v>1107</v>
      </c>
      <c r="B205" s="21">
        <v>44975</v>
      </c>
      <c r="C205" s="14" t="s">
        <v>4001</v>
      </c>
      <c r="D205" s="14">
        <v>2023</v>
      </c>
      <c r="E205" s="14" t="s">
        <v>294</v>
      </c>
      <c r="F205" s="14" t="s">
        <v>295</v>
      </c>
      <c r="G205" s="14" t="s">
        <v>126</v>
      </c>
      <c r="H205" s="14">
        <v>1</v>
      </c>
      <c r="I205" s="14">
        <v>180560</v>
      </c>
      <c r="J205" s="14">
        <v>10</v>
      </c>
      <c r="K205" s="14">
        <v>162504</v>
      </c>
      <c r="L205" s="14" t="s">
        <v>3977</v>
      </c>
      <c r="M205" s="14" t="s">
        <v>3975</v>
      </c>
      <c r="N205" s="14" t="s">
        <v>1109</v>
      </c>
      <c r="O205" s="14" t="str">
        <f>IFERROR(INDEX(Cleaned_Products!$C$2:$C$61,MATCH(F205,Cleaned_Products!$A$2:$A$61,0)),"Unknown")</f>
        <v>Necklaces</v>
      </c>
      <c r="P205" s="14" t="str">
        <f>IFERROR(INDEX(Cleaned_Products!$D$2:$D$61,MATCH(F205,Cleaned_Products!$A$2:$A$61,0)),"Unknown")</f>
        <v>Silver</v>
      </c>
    </row>
    <row r="206" spans="1:16" x14ac:dyDescent="0.35">
      <c r="A206" s="14" t="s">
        <v>1110</v>
      </c>
      <c r="B206" s="21">
        <v>45152</v>
      </c>
      <c r="C206" s="14" t="s">
        <v>3998</v>
      </c>
      <c r="D206" s="14">
        <v>2023</v>
      </c>
      <c r="E206" s="14" t="s">
        <v>254</v>
      </c>
      <c r="F206" s="14" t="s">
        <v>329</v>
      </c>
      <c r="G206" s="14" t="s">
        <v>126</v>
      </c>
      <c r="H206" s="14">
        <v>2</v>
      </c>
      <c r="I206" s="14">
        <v>74030</v>
      </c>
      <c r="J206" s="14">
        <v>15</v>
      </c>
      <c r="K206" s="14">
        <v>125851</v>
      </c>
      <c r="L206" s="14" t="s">
        <v>3974</v>
      </c>
      <c r="M206" s="14" t="s">
        <v>3980</v>
      </c>
      <c r="N206" s="14" t="s">
        <v>3983</v>
      </c>
      <c r="O206" s="14" t="str">
        <f>IFERROR(INDEX(Cleaned_Products!$C$2:$C$61,MATCH(F206,Cleaned_Products!$A$2:$A$61,0)),"Unknown")</f>
        <v>Nose Pins</v>
      </c>
      <c r="P206" s="14" t="str">
        <f>IFERROR(INDEX(Cleaned_Products!$D$2:$D$61,MATCH(F206,Cleaned_Products!$A$2:$A$61,0)),"Unknown")</f>
        <v>Gold</v>
      </c>
    </row>
    <row r="207" spans="1:16" x14ac:dyDescent="0.35">
      <c r="A207" s="14" t="s">
        <v>1112</v>
      </c>
      <c r="B207" s="21">
        <v>45274</v>
      </c>
      <c r="C207" s="14" t="s">
        <v>4008</v>
      </c>
      <c r="D207" s="14">
        <v>2023</v>
      </c>
      <c r="E207" s="14" t="s">
        <v>347</v>
      </c>
      <c r="F207" s="14" t="s">
        <v>638</v>
      </c>
      <c r="G207" s="14" t="s">
        <v>72</v>
      </c>
      <c r="H207" s="14">
        <v>1</v>
      </c>
      <c r="I207" s="14">
        <v>102760</v>
      </c>
      <c r="J207" s="14">
        <v>0</v>
      </c>
      <c r="K207" s="14">
        <v>102760</v>
      </c>
      <c r="L207" s="14" t="s">
        <v>3979</v>
      </c>
      <c r="M207" s="14" t="s">
        <v>3980</v>
      </c>
      <c r="N207" s="14" t="s">
        <v>3983</v>
      </c>
      <c r="O207" s="14" t="str">
        <f>IFERROR(INDEX(Cleaned_Products!$C$2:$C$61,MATCH(F207,Cleaned_Products!$A$2:$A$61,0)),"Unknown")</f>
        <v>Nose Pins</v>
      </c>
      <c r="P207" s="14" t="str">
        <f>IFERROR(INDEX(Cleaned_Products!$D$2:$D$61,MATCH(F207,Cleaned_Products!$A$2:$A$61,0)),"Unknown")</f>
        <v>Diamond</v>
      </c>
    </row>
    <row r="208" spans="1:16" x14ac:dyDescent="0.35">
      <c r="A208" s="14" t="s">
        <v>1115</v>
      </c>
      <c r="B208" s="21">
        <v>44964</v>
      </c>
      <c r="C208" s="14" t="s">
        <v>4001</v>
      </c>
      <c r="D208" s="14">
        <v>2023</v>
      </c>
      <c r="E208" s="14" t="s">
        <v>54</v>
      </c>
      <c r="F208" s="14" t="s">
        <v>482</v>
      </c>
      <c r="G208" s="14" t="s">
        <v>101</v>
      </c>
      <c r="H208" s="14">
        <v>1</v>
      </c>
      <c r="I208" s="14">
        <v>135610</v>
      </c>
      <c r="J208" s="14">
        <v>5</v>
      </c>
      <c r="K208" s="14">
        <v>128829.5</v>
      </c>
      <c r="L208" s="14" t="s">
        <v>73</v>
      </c>
      <c r="M208" s="14" t="s">
        <v>3975</v>
      </c>
      <c r="N208" s="14" t="s">
        <v>1118</v>
      </c>
      <c r="O208" s="14" t="str">
        <f>IFERROR(INDEX(Cleaned_Products!$C$2:$C$61,MATCH(F208,Cleaned_Products!$A$2:$A$61,0)),"Unknown")</f>
        <v>Necklaces</v>
      </c>
      <c r="P208" s="14" t="str">
        <f>IFERROR(INDEX(Cleaned_Products!$D$2:$D$61,MATCH(F208,Cleaned_Products!$A$2:$A$61,0)),"Unknown")</f>
        <v>Diamond</v>
      </c>
    </row>
    <row r="209" spans="1:16" x14ac:dyDescent="0.35">
      <c r="A209" s="14" t="s">
        <v>1119</v>
      </c>
      <c r="B209" s="21">
        <v>45711</v>
      </c>
      <c r="C209" s="14" t="s">
        <v>3989</v>
      </c>
      <c r="D209" s="14">
        <v>2025</v>
      </c>
      <c r="E209" s="14" t="s">
        <v>234</v>
      </c>
      <c r="F209" s="14" t="s">
        <v>329</v>
      </c>
      <c r="G209" s="14" t="s">
        <v>72</v>
      </c>
      <c r="H209" s="14">
        <v>1</v>
      </c>
      <c r="I209" s="14">
        <v>32430</v>
      </c>
      <c r="J209" s="14">
        <v>10</v>
      </c>
      <c r="K209" s="14">
        <v>29187</v>
      </c>
      <c r="L209" s="14" t="s">
        <v>3977</v>
      </c>
      <c r="M209" s="14" t="s">
        <v>3975</v>
      </c>
      <c r="N209" s="14" t="s">
        <v>1122</v>
      </c>
      <c r="O209" s="14" t="str">
        <f>IFERROR(INDEX(Cleaned_Products!$C$2:$C$61,MATCH(F209,Cleaned_Products!$A$2:$A$61,0)),"Unknown")</f>
        <v>Nose Pins</v>
      </c>
      <c r="P209" s="14" t="str">
        <f>IFERROR(INDEX(Cleaned_Products!$D$2:$D$61,MATCH(F209,Cleaned_Products!$A$2:$A$61,0)),"Unknown")</f>
        <v>Gold</v>
      </c>
    </row>
    <row r="210" spans="1:16" x14ac:dyDescent="0.35">
      <c r="A210" s="14" t="s">
        <v>1123</v>
      </c>
      <c r="B210" s="21">
        <v>45074</v>
      </c>
      <c r="C210" s="14" t="s">
        <v>3973</v>
      </c>
      <c r="D210" s="14">
        <v>2023</v>
      </c>
      <c r="E210" s="14" t="s">
        <v>504</v>
      </c>
      <c r="F210" s="14" t="s">
        <v>482</v>
      </c>
      <c r="G210" s="14" t="s">
        <v>126</v>
      </c>
      <c r="H210" s="14">
        <v>2</v>
      </c>
      <c r="I210" s="14">
        <v>17740</v>
      </c>
      <c r="J210" s="14">
        <v>5</v>
      </c>
      <c r="K210" s="14">
        <v>33706</v>
      </c>
      <c r="L210" s="14" t="s">
        <v>3974</v>
      </c>
      <c r="M210" s="14" t="s">
        <v>3980</v>
      </c>
      <c r="N210" s="14" t="s">
        <v>3983</v>
      </c>
      <c r="O210" s="14" t="str">
        <f>IFERROR(INDEX(Cleaned_Products!$C$2:$C$61,MATCH(F210,Cleaned_Products!$A$2:$A$61,0)),"Unknown")</f>
        <v>Necklaces</v>
      </c>
      <c r="P210" s="14" t="str">
        <f>IFERROR(INDEX(Cleaned_Products!$D$2:$D$61,MATCH(F210,Cleaned_Products!$A$2:$A$61,0)),"Unknown")</f>
        <v>Diamond</v>
      </c>
    </row>
    <row r="211" spans="1:16" x14ac:dyDescent="0.35">
      <c r="A211" s="14" t="s">
        <v>1126</v>
      </c>
      <c r="B211" s="21">
        <v>45109</v>
      </c>
      <c r="C211" s="14" t="s">
        <v>3988</v>
      </c>
      <c r="D211" s="14">
        <v>2023</v>
      </c>
      <c r="E211" s="14" t="s">
        <v>400</v>
      </c>
      <c r="F211" s="14" t="s">
        <v>463</v>
      </c>
      <c r="G211" s="14" t="s">
        <v>108</v>
      </c>
      <c r="H211" s="14">
        <v>1</v>
      </c>
      <c r="I211" s="14">
        <v>154200</v>
      </c>
      <c r="J211" s="14">
        <v>0</v>
      </c>
      <c r="K211" s="14">
        <v>154200</v>
      </c>
      <c r="L211" s="14" t="s">
        <v>73</v>
      </c>
      <c r="M211" s="14" t="s">
        <v>3980</v>
      </c>
      <c r="N211" s="14" t="s">
        <v>3983</v>
      </c>
      <c r="O211" s="14" t="str">
        <f>IFERROR(INDEX(Cleaned_Products!$C$2:$C$61,MATCH(F211,Cleaned_Products!$A$2:$A$61,0)),"Unknown")</f>
        <v>Bracelets</v>
      </c>
      <c r="P211" s="14" t="str">
        <f>IFERROR(INDEX(Cleaned_Products!$D$2:$D$61,MATCH(F211,Cleaned_Products!$A$2:$A$61,0)),"Unknown")</f>
        <v>Gold</v>
      </c>
    </row>
    <row r="212" spans="1:16" x14ac:dyDescent="0.35">
      <c r="A212" s="14" t="s">
        <v>1127</v>
      </c>
      <c r="B212" s="21">
        <v>45422</v>
      </c>
      <c r="C212" s="14" t="s">
        <v>4007</v>
      </c>
      <c r="D212" s="14">
        <v>2024</v>
      </c>
      <c r="E212" s="14" t="s">
        <v>3995</v>
      </c>
      <c r="F212" s="14" t="s">
        <v>418</v>
      </c>
      <c r="G212" s="14" t="s">
        <v>113</v>
      </c>
      <c r="H212" s="14">
        <v>3</v>
      </c>
      <c r="I212" s="14">
        <v>242560</v>
      </c>
      <c r="J212" s="14">
        <v>0</v>
      </c>
      <c r="K212" s="14">
        <v>727680</v>
      </c>
      <c r="L212" s="14" t="s">
        <v>3977</v>
      </c>
      <c r="M212" s="14" t="s">
        <v>3980</v>
      </c>
      <c r="N212" s="14" t="s">
        <v>1129</v>
      </c>
      <c r="O212" s="14" t="str">
        <f>IFERROR(INDEX(Cleaned_Products!$C$2:$C$61,MATCH(F212,Cleaned_Products!$A$2:$A$61,0)),"Unknown")</f>
        <v>Rings</v>
      </c>
      <c r="P212" s="14" t="str">
        <f>IFERROR(INDEX(Cleaned_Products!$D$2:$D$61,MATCH(F212,Cleaned_Products!$A$2:$A$61,0)),"Unknown")</f>
        <v>Rose Gold</v>
      </c>
    </row>
    <row r="213" spans="1:16" x14ac:dyDescent="0.35">
      <c r="A213" s="14" t="s">
        <v>1137</v>
      </c>
      <c r="B213" s="21">
        <v>45678</v>
      </c>
      <c r="C213" s="14" t="s">
        <v>4005</v>
      </c>
      <c r="D213" s="14">
        <v>2025</v>
      </c>
      <c r="E213" s="14" t="s">
        <v>457</v>
      </c>
      <c r="F213" s="14" t="s">
        <v>154</v>
      </c>
      <c r="G213" s="14" t="s">
        <v>101</v>
      </c>
      <c r="H213" s="14">
        <v>1</v>
      </c>
      <c r="I213" s="14">
        <v>237400</v>
      </c>
      <c r="J213" s="14">
        <v>0</v>
      </c>
      <c r="K213" s="14">
        <v>237400</v>
      </c>
      <c r="L213" s="14" t="s">
        <v>95</v>
      </c>
      <c r="M213" s="14" t="s">
        <v>3980</v>
      </c>
      <c r="N213" s="14" t="s">
        <v>1139</v>
      </c>
      <c r="O213" s="14" t="str">
        <f>IFERROR(INDEX(Cleaned_Products!$C$2:$C$61,MATCH(F213,Cleaned_Products!$A$2:$A$61,0)),"Unknown")</f>
        <v>Rings</v>
      </c>
      <c r="P213" s="14" t="str">
        <f>IFERROR(INDEX(Cleaned_Products!$D$2:$D$61,MATCH(F213,Cleaned_Products!$A$2:$A$61,0)),"Unknown")</f>
        <v>Silver</v>
      </c>
    </row>
    <row r="214" spans="1:16" x14ac:dyDescent="0.35">
      <c r="A214" s="14" t="s">
        <v>1140</v>
      </c>
      <c r="B214" s="21">
        <v>45332</v>
      </c>
      <c r="C214" s="14" t="s">
        <v>3999</v>
      </c>
      <c r="D214" s="14">
        <v>2024</v>
      </c>
      <c r="E214" s="14" t="s">
        <v>1142</v>
      </c>
      <c r="F214" s="14" t="s">
        <v>684</v>
      </c>
      <c r="G214" s="14" t="s">
        <v>113</v>
      </c>
      <c r="H214" s="14">
        <v>1</v>
      </c>
      <c r="I214" s="14">
        <v>51730</v>
      </c>
      <c r="J214" s="14">
        <v>0</v>
      </c>
      <c r="K214" s="14">
        <v>51730</v>
      </c>
      <c r="L214" s="14" t="s">
        <v>3974</v>
      </c>
      <c r="M214" s="14" t="s">
        <v>3980</v>
      </c>
      <c r="N214" s="14" t="s">
        <v>3983</v>
      </c>
      <c r="O214" s="14" t="str">
        <f>IFERROR(INDEX(Cleaned_Products!$C$2:$C$61,MATCH(F214,Cleaned_Products!$A$2:$A$61,0)),"Unknown")</f>
        <v>Nose Pins</v>
      </c>
      <c r="P214" s="14" t="str">
        <f>IFERROR(INDEX(Cleaned_Products!$D$2:$D$61,MATCH(F214,Cleaned_Products!$A$2:$A$61,0)),"Unknown")</f>
        <v>Silver</v>
      </c>
    </row>
    <row r="215" spans="1:16" x14ac:dyDescent="0.35">
      <c r="A215" s="14" t="s">
        <v>1146</v>
      </c>
      <c r="B215" s="21">
        <v>45158</v>
      </c>
      <c r="C215" s="14" t="s">
        <v>3998</v>
      </c>
      <c r="D215" s="14">
        <v>2023</v>
      </c>
      <c r="E215" s="14" t="s">
        <v>758</v>
      </c>
      <c r="F215" s="14" t="s">
        <v>445</v>
      </c>
      <c r="G215" s="14" t="s">
        <v>72</v>
      </c>
      <c r="H215" s="14">
        <v>2</v>
      </c>
      <c r="I215" s="14">
        <v>214770</v>
      </c>
      <c r="J215" s="14">
        <v>0</v>
      </c>
      <c r="K215" s="14">
        <v>429540</v>
      </c>
      <c r="L215" s="14" t="s">
        <v>73</v>
      </c>
      <c r="M215" s="14" t="s">
        <v>3980</v>
      </c>
      <c r="N215" s="14" t="s">
        <v>1148</v>
      </c>
      <c r="O215" s="14" t="str">
        <f>IFERROR(INDEX(Cleaned_Products!$C$2:$C$61,MATCH(F215,Cleaned_Products!$A$2:$A$61,0)),"Unknown")</f>
        <v>Bangles</v>
      </c>
      <c r="P215" s="14" t="str">
        <f>IFERROR(INDEX(Cleaned_Products!$D$2:$D$61,MATCH(F215,Cleaned_Products!$A$2:$A$61,0)),"Unknown")</f>
        <v>Diamond</v>
      </c>
    </row>
    <row r="216" spans="1:16" x14ac:dyDescent="0.35">
      <c r="A216" s="14" t="s">
        <v>1149</v>
      </c>
      <c r="B216" s="21">
        <v>44959</v>
      </c>
      <c r="C216" s="14" t="s">
        <v>4001</v>
      </c>
      <c r="D216" s="14">
        <v>2023</v>
      </c>
      <c r="E216" s="14" t="s">
        <v>768</v>
      </c>
      <c r="F216" s="14" t="s">
        <v>310</v>
      </c>
      <c r="G216" s="14" t="s">
        <v>101</v>
      </c>
      <c r="H216" s="14">
        <v>1</v>
      </c>
      <c r="I216" s="14">
        <v>101510</v>
      </c>
      <c r="J216" s="14">
        <v>0</v>
      </c>
      <c r="K216" s="14">
        <v>101510</v>
      </c>
      <c r="L216" s="14" t="s">
        <v>95</v>
      </c>
      <c r="M216" s="14" t="s">
        <v>3975</v>
      </c>
      <c r="N216" s="14" t="s">
        <v>1151</v>
      </c>
      <c r="O216" s="14" t="str">
        <f>IFERROR(INDEX(Cleaned_Products!$C$2:$C$61,MATCH(F216,Cleaned_Products!$A$2:$A$61,0)),"Unknown")</f>
        <v>Pendants</v>
      </c>
      <c r="P216" s="14" t="str">
        <f>IFERROR(INDEX(Cleaned_Products!$D$2:$D$61,MATCH(F216,Cleaned_Products!$A$2:$A$61,0)),"Unknown")</f>
        <v>Gold</v>
      </c>
    </row>
    <row r="217" spans="1:16" x14ac:dyDescent="0.35">
      <c r="A217" s="14" t="s">
        <v>1152</v>
      </c>
      <c r="B217" s="21">
        <v>45350</v>
      </c>
      <c r="C217" s="14" t="s">
        <v>3999</v>
      </c>
      <c r="D217" s="14">
        <v>2024</v>
      </c>
      <c r="E217" s="14" t="s">
        <v>462</v>
      </c>
      <c r="F217" s="14" t="s">
        <v>88</v>
      </c>
      <c r="G217" s="14" t="s">
        <v>72</v>
      </c>
      <c r="H217" s="14">
        <v>3</v>
      </c>
      <c r="I217" s="14">
        <v>31890</v>
      </c>
      <c r="J217" s="14">
        <v>0</v>
      </c>
      <c r="K217" s="14">
        <v>95670</v>
      </c>
      <c r="L217" s="14" t="s">
        <v>3977</v>
      </c>
      <c r="M217" s="14" t="s">
        <v>3980</v>
      </c>
      <c r="N217" s="14" t="s">
        <v>3983</v>
      </c>
      <c r="O217" s="14" t="str">
        <f>IFERROR(INDEX(Cleaned_Products!$C$2:$C$61,MATCH(F217,Cleaned_Products!$A$2:$A$61,0)),"Unknown")</f>
        <v>Necklaces</v>
      </c>
      <c r="P217" s="14" t="str">
        <f>IFERROR(INDEX(Cleaned_Products!$D$2:$D$61,MATCH(F217,Cleaned_Products!$A$2:$A$61,0)),"Unknown")</f>
        <v>Gold</v>
      </c>
    </row>
    <row r="218" spans="1:16" x14ac:dyDescent="0.35">
      <c r="A218" s="14" t="s">
        <v>1155</v>
      </c>
      <c r="B218" s="21">
        <v>45572</v>
      </c>
      <c r="C218" s="14" t="s">
        <v>3981</v>
      </c>
      <c r="D218" s="14">
        <v>2024</v>
      </c>
      <c r="E218" s="14" t="s">
        <v>859</v>
      </c>
      <c r="F218" s="14" t="s">
        <v>472</v>
      </c>
      <c r="G218" s="14" t="s">
        <v>56</v>
      </c>
      <c r="H218" s="14">
        <v>1</v>
      </c>
      <c r="I218" s="14">
        <v>226280</v>
      </c>
      <c r="J218" s="14">
        <v>0</v>
      </c>
      <c r="K218" s="14">
        <v>226280</v>
      </c>
      <c r="L218" s="14" t="s">
        <v>3974</v>
      </c>
      <c r="M218" s="14" t="s">
        <v>3975</v>
      </c>
      <c r="N218" s="14" t="s">
        <v>1157</v>
      </c>
      <c r="O218" s="14" t="str">
        <f>IFERROR(INDEX(Cleaned_Products!$C$2:$C$61,MATCH(F218,Cleaned_Products!$A$2:$A$61,0)),"Unknown")</f>
        <v>Nose Pins</v>
      </c>
      <c r="P218" s="14" t="str">
        <f>IFERROR(INDEX(Cleaned_Products!$D$2:$D$61,MATCH(F218,Cleaned_Products!$A$2:$A$61,0)),"Unknown")</f>
        <v>Platinum</v>
      </c>
    </row>
    <row r="219" spans="1:16" x14ac:dyDescent="0.35">
      <c r="A219" s="14" t="s">
        <v>1158</v>
      </c>
      <c r="B219" s="21">
        <v>45615</v>
      </c>
      <c r="C219" s="14" t="s">
        <v>3976</v>
      </c>
      <c r="D219" s="14">
        <v>2024</v>
      </c>
      <c r="E219" s="14" t="s">
        <v>3995</v>
      </c>
      <c r="F219" s="14" t="s">
        <v>63</v>
      </c>
      <c r="G219" s="14" t="s">
        <v>72</v>
      </c>
      <c r="H219" s="14">
        <v>1</v>
      </c>
      <c r="I219" s="14">
        <v>89440</v>
      </c>
      <c r="J219" s="14">
        <v>0</v>
      </c>
      <c r="K219" s="14">
        <v>89440</v>
      </c>
      <c r="L219" s="14" t="s">
        <v>95</v>
      </c>
      <c r="M219" s="14" t="s">
        <v>3975</v>
      </c>
      <c r="N219" s="14" t="s">
        <v>1160</v>
      </c>
      <c r="O219" s="14" t="str">
        <f>IFERROR(INDEX(Cleaned_Products!$C$2:$C$61,MATCH(F219,Cleaned_Products!$A$2:$A$61,0)),"Unknown")</f>
        <v>Anklets</v>
      </c>
      <c r="P219" s="14" t="str">
        <f>IFERROR(INDEX(Cleaned_Products!$D$2:$D$61,MATCH(F219,Cleaned_Products!$A$2:$A$61,0)),"Unknown")</f>
        <v>Diamond</v>
      </c>
    </row>
    <row r="220" spans="1:16" x14ac:dyDescent="0.35">
      <c r="A220" s="14" t="s">
        <v>1161</v>
      </c>
      <c r="B220" s="21">
        <v>45086</v>
      </c>
      <c r="C220" s="14" t="s">
        <v>3994</v>
      </c>
      <c r="D220" s="14">
        <v>2023</v>
      </c>
      <c r="E220" s="14" t="s">
        <v>753</v>
      </c>
      <c r="F220" s="14" t="s">
        <v>736</v>
      </c>
      <c r="G220" s="14" t="s">
        <v>126</v>
      </c>
      <c r="H220" s="14">
        <v>2</v>
      </c>
      <c r="I220" s="14">
        <v>185450</v>
      </c>
      <c r="J220" s="14">
        <v>5</v>
      </c>
      <c r="K220" s="14">
        <v>352355</v>
      </c>
      <c r="L220" s="14" t="s">
        <v>121</v>
      </c>
      <c r="M220" s="14" t="s">
        <v>3980</v>
      </c>
      <c r="N220" s="14" t="s">
        <v>1163</v>
      </c>
      <c r="O220" s="14" t="str">
        <f>IFERROR(INDEX(Cleaned_Products!$C$2:$C$61,MATCH(F220,Cleaned_Products!$A$2:$A$61,0)),"Unknown")</f>
        <v>Rings</v>
      </c>
      <c r="P220" s="14" t="str">
        <f>IFERROR(INDEX(Cleaned_Products!$D$2:$D$61,MATCH(F220,Cleaned_Products!$A$2:$A$61,0)),"Unknown")</f>
        <v>Silver</v>
      </c>
    </row>
    <row r="221" spans="1:16" x14ac:dyDescent="0.35">
      <c r="A221" s="14" t="s">
        <v>1164</v>
      </c>
      <c r="B221" s="21">
        <v>45048</v>
      </c>
      <c r="C221" s="14" t="s">
        <v>3973</v>
      </c>
      <c r="D221" s="14">
        <v>2023</v>
      </c>
      <c r="E221" s="14" t="s">
        <v>414</v>
      </c>
      <c r="F221" s="14" t="s">
        <v>418</v>
      </c>
      <c r="G221" s="14" t="s">
        <v>72</v>
      </c>
      <c r="H221" s="14">
        <v>1</v>
      </c>
      <c r="I221" s="14">
        <v>175660</v>
      </c>
      <c r="J221" s="14">
        <v>0</v>
      </c>
      <c r="K221" s="14">
        <v>175660</v>
      </c>
      <c r="L221" s="14" t="s">
        <v>3977</v>
      </c>
      <c r="M221" s="14" t="s">
        <v>3975</v>
      </c>
      <c r="N221" s="14" t="s">
        <v>1167</v>
      </c>
      <c r="O221" s="14" t="str">
        <f>IFERROR(INDEX(Cleaned_Products!$C$2:$C$61,MATCH(F221,Cleaned_Products!$A$2:$A$61,0)),"Unknown")</f>
        <v>Rings</v>
      </c>
      <c r="P221" s="14" t="str">
        <f>IFERROR(INDEX(Cleaned_Products!$D$2:$D$61,MATCH(F221,Cleaned_Products!$A$2:$A$61,0)),"Unknown")</f>
        <v>Rose Gold</v>
      </c>
    </row>
    <row r="222" spans="1:16" x14ac:dyDescent="0.35">
      <c r="A222" s="14" t="s">
        <v>1168</v>
      </c>
      <c r="B222" s="21">
        <v>45164</v>
      </c>
      <c r="C222" s="14" t="s">
        <v>3998</v>
      </c>
      <c r="D222" s="14">
        <v>2023</v>
      </c>
      <c r="E222" s="14" t="s">
        <v>903</v>
      </c>
      <c r="F222" s="14" t="s">
        <v>196</v>
      </c>
      <c r="G222" s="14" t="s">
        <v>101</v>
      </c>
      <c r="H222" s="14">
        <v>1</v>
      </c>
      <c r="I222" s="14">
        <v>44550</v>
      </c>
      <c r="J222" s="14">
        <v>10</v>
      </c>
      <c r="K222" s="14">
        <v>40095</v>
      </c>
      <c r="L222" s="14" t="s">
        <v>3979</v>
      </c>
      <c r="M222" s="14" t="s">
        <v>3980</v>
      </c>
      <c r="N222" s="14" t="s">
        <v>3983</v>
      </c>
      <c r="O222" s="14" t="str">
        <f>IFERROR(INDEX(Cleaned_Products!$C$2:$C$61,MATCH(F222,Cleaned_Products!$A$2:$A$61,0)),"Unknown")</f>
        <v>Pendants</v>
      </c>
      <c r="P222" s="14" t="str">
        <f>IFERROR(INDEX(Cleaned_Products!$D$2:$D$61,MATCH(F222,Cleaned_Products!$A$2:$A$61,0)),"Unknown")</f>
        <v>Diamond</v>
      </c>
    </row>
    <row r="223" spans="1:16" x14ac:dyDescent="0.35">
      <c r="A223" s="14" t="s">
        <v>1170</v>
      </c>
      <c r="B223" s="21">
        <v>45012</v>
      </c>
      <c r="C223" s="14" t="s">
        <v>3982</v>
      </c>
      <c r="D223" s="14">
        <v>2023</v>
      </c>
      <c r="E223" s="14" t="s">
        <v>3995</v>
      </c>
      <c r="F223" s="14" t="s">
        <v>315</v>
      </c>
      <c r="G223" s="14" t="s">
        <v>101</v>
      </c>
      <c r="H223" s="14">
        <v>1</v>
      </c>
      <c r="I223" s="14">
        <v>67290</v>
      </c>
      <c r="J223" s="14">
        <v>0</v>
      </c>
      <c r="K223" s="14">
        <v>67290</v>
      </c>
      <c r="L223" s="14" t="s">
        <v>3977</v>
      </c>
      <c r="M223" s="14" t="s">
        <v>3975</v>
      </c>
      <c r="N223" s="14" t="s">
        <v>1172</v>
      </c>
      <c r="O223" s="14" t="str">
        <f>IFERROR(INDEX(Cleaned_Products!$C$2:$C$61,MATCH(F223,Cleaned_Products!$A$2:$A$61,0)),"Unknown")</f>
        <v>Bracelets</v>
      </c>
      <c r="P223" s="14" t="str">
        <f>IFERROR(INDEX(Cleaned_Products!$D$2:$D$61,MATCH(F223,Cleaned_Products!$A$2:$A$61,0)),"Unknown")</f>
        <v>Rose Gold</v>
      </c>
    </row>
    <row r="224" spans="1:16" x14ac:dyDescent="0.35">
      <c r="A224" s="14" t="s">
        <v>1177</v>
      </c>
      <c r="B224" s="21">
        <v>45544</v>
      </c>
      <c r="C224" s="14" t="s">
        <v>4003</v>
      </c>
      <c r="D224" s="14">
        <v>2024</v>
      </c>
      <c r="E224" s="14" t="s">
        <v>124</v>
      </c>
      <c r="F224" s="14" t="s">
        <v>482</v>
      </c>
      <c r="G224" s="14" t="s">
        <v>56</v>
      </c>
      <c r="H224" s="14">
        <v>1</v>
      </c>
      <c r="I224" s="14">
        <v>137230</v>
      </c>
      <c r="J224" s="14">
        <v>0</v>
      </c>
      <c r="K224" s="14">
        <v>137230</v>
      </c>
      <c r="L224" s="14" t="s">
        <v>3977</v>
      </c>
      <c r="M224" s="14" t="s">
        <v>3980</v>
      </c>
      <c r="N224" s="14" t="s">
        <v>3983</v>
      </c>
      <c r="O224" s="14" t="str">
        <f>IFERROR(INDEX(Cleaned_Products!$C$2:$C$61,MATCH(F224,Cleaned_Products!$A$2:$A$61,0)),"Unknown")</f>
        <v>Necklaces</v>
      </c>
      <c r="P224" s="14" t="str">
        <f>IFERROR(INDEX(Cleaned_Products!$D$2:$D$61,MATCH(F224,Cleaned_Products!$A$2:$A$61,0)),"Unknown")</f>
        <v>Diamond</v>
      </c>
    </row>
    <row r="225" spans="1:16" x14ac:dyDescent="0.35">
      <c r="A225" s="14" t="s">
        <v>1184</v>
      </c>
      <c r="B225" s="21">
        <v>45512</v>
      </c>
      <c r="C225" s="14" t="s">
        <v>3992</v>
      </c>
      <c r="D225" s="14">
        <v>2024</v>
      </c>
      <c r="E225" s="14" t="s">
        <v>674</v>
      </c>
      <c r="F225" s="14" t="s">
        <v>576</v>
      </c>
      <c r="G225" s="14" t="s">
        <v>80</v>
      </c>
      <c r="H225" s="14">
        <v>1</v>
      </c>
      <c r="I225" s="14">
        <v>181880</v>
      </c>
      <c r="J225" s="14">
        <v>10</v>
      </c>
      <c r="K225" s="14">
        <v>163692</v>
      </c>
      <c r="L225" s="14" t="s">
        <v>95</v>
      </c>
      <c r="M225" s="14" t="s">
        <v>3980</v>
      </c>
      <c r="N225" s="14" t="s">
        <v>1186</v>
      </c>
      <c r="O225" s="14" t="str">
        <f>IFERROR(INDEX(Cleaned_Products!$C$2:$C$61,MATCH(F225,Cleaned_Products!$A$2:$A$61,0)),"Unknown")</f>
        <v>Bangles</v>
      </c>
      <c r="P225" s="14" t="str">
        <f>IFERROR(INDEX(Cleaned_Products!$D$2:$D$61,MATCH(F225,Cleaned_Products!$A$2:$A$61,0)),"Unknown")</f>
        <v>Diamond</v>
      </c>
    </row>
    <row r="226" spans="1:16" x14ac:dyDescent="0.35">
      <c r="A226" s="14" t="s">
        <v>1187</v>
      </c>
      <c r="B226" s="21">
        <v>45139</v>
      </c>
      <c r="C226" s="14" t="s">
        <v>3998</v>
      </c>
      <c r="D226" s="14">
        <v>2023</v>
      </c>
      <c r="E226" s="14" t="s">
        <v>347</v>
      </c>
      <c r="F226" s="14" t="s">
        <v>463</v>
      </c>
      <c r="G226" s="14" t="s">
        <v>56</v>
      </c>
      <c r="H226" s="14">
        <v>2</v>
      </c>
      <c r="I226" s="14">
        <v>188710</v>
      </c>
      <c r="J226" s="14">
        <v>0</v>
      </c>
      <c r="K226" s="14">
        <v>377420</v>
      </c>
      <c r="L226" s="14" t="s">
        <v>3979</v>
      </c>
      <c r="M226" s="14" t="s">
        <v>3980</v>
      </c>
      <c r="N226" s="14" t="s">
        <v>1189</v>
      </c>
      <c r="O226" s="14" t="str">
        <f>IFERROR(INDEX(Cleaned_Products!$C$2:$C$61,MATCH(F226,Cleaned_Products!$A$2:$A$61,0)),"Unknown")</f>
        <v>Bracelets</v>
      </c>
      <c r="P226" s="14" t="str">
        <f>IFERROR(INDEX(Cleaned_Products!$D$2:$D$61,MATCH(F226,Cleaned_Products!$A$2:$A$61,0)),"Unknown")</f>
        <v>Gold</v>
      </c>
    </row>
    <row r="227" spans="1:16" x14ac:dyDescent="0.35">
      <c r="A227" s="14" t="s">
        <v>1190</v>
      </c>
      <c r="B227" s="21">
        <v>45801</v>
      </c>
      <c r="C227" s="14" t="s">
        <v>4004</v>
      </c>
      <c r="D227" s="14">
        <v>2025</v>
      </c>
      <c r="E227" s="14" t="s">
        <v>301</v>
      </c>
      <c r="F227" s="14" t="s">
        <v>529</v>
      </c>
      <c r="G227" s="14" t="s">
        <v>101</v>
      </c>
      <c r="H227" s="14">
        <v>1</v>
      </c>
      <c r="I227" s="14">
        <v>244900</v>
      </c>
      <c r="J227" s="14">
        <v>0</v>
      </c>
      <c r="K227" s="14">
        <v>244900</v>
      </c>
      <c r="L227" s="14" t="s">
        <v>73</v>
      </c>
      <c r="M227" s="14" t="s">
        <v>3980</v>
      </c>
      <c r="N227" s="14" t="s">
        <v>1192</v>
      </c>
      <c r="O227" s="14" t="str">
        <f>IFERROR(INDEX(Cleaned_Products!$C$2:$C$61,MATCH(F227,Cleaned_Products!$A$2:$A$61,0)),"Unknown")</f>
        <v>Bangles</v>
      </c>
      <c r="P227" s="14" t="str">
        <f>IFERROR(INDEX(Cleaned_Products!$D$2:$D$61,MATCH(F227,Cleaned_Products!$A$2:$A$61,0)),"Unknown")</f>
        <v>Silver</v>
      </c>
    </row>
    <row r="228" spans="1:16" x14ac:dyDescent="0.35">
      <c r="A228" s="14" t="s">
        <v>1195</v>
      </c>
      <c r="B228" s="21">
        <v>45124</v>
      </c>
      <c r="C228" s="14" t="s">
        <v>3988</v>
      </c>
      <c r="D228" s="14">
        <v>2023</v>
      </c>
      <c r="E228" s="14" t="s">
        <v>124</v>
      </c>
      <c r="F228" s="14" t="s">
        <v>315</v>
      </c>
      <c r="G228" s="14" t="s">
        <v>113</v>
      </c>
      <c r="H228" s="14">
        <v>1</v>
      </c>
      <c r="I228" s="14">
        <v>57210</v>
      </c>
      <c r="J228" s="14">
        <v>10</v>
      </c>
      <c r="K228" s="14">
        <v>51489</v>
      </c>
      <c r="L228" s="14" t="s">
        <v>3979</v>
      </c>
      <c r="M228" s="14" t="s">
        <v>3980</v>
      </c>
      <c r="N228" s="14" t="s">
        <v>3983</v>
      </c>
      <c r="O228" s="14" t="str">
        <f>IFERROR(INDEX(Cleaned_Products!$C$2:$C$61,MATCH(F228,Cleaned_Products!$A$2:$A$61,0)),"Unknown")</f>
        <v>Bracelets</v>
      </c>
      <c r="P228" s="14" t="str">
        <f>IFERROR(INDEX(Cleaned_Products!$D$2:$D$61,MATCH(F228,Cleaned_Products!$A$2:$A$61,0)),"Unknown")</f>
        <v>Rose Gold</v>
      </c>
    </row>
    <row r="229" spans="1:16" x14ac:dyDescent="0.35">
      <c r="A229" s="14" t="s">
        <v>1197</v>
      </c>
      <c r="B229" s="21">
        <v>45080</v>
      </c>
      <c r="C229" s="14" t="s">
        <v>3994</v>
      </c>
      <c r="D229" s="14">
        <v>2023</v>
      </c>
      <c r="E229" s="14" t="s">
        <v>183</v>
      </c>
      <c r="F229" s="14" t="s">
        <v>432</v>
      </c>
      <c r="G229" s="14" t="s">
        <v>113</v>
      </c>
      <c r="H229" s="14">
        <v>1</v>
      </c>
      <c r="I229" s="14">
        <v>27270</v>
      </c>
      <c r="J229" s="14">
        <v>0</v>
      </c>
      <c r="K229" s="14">
        <v>27270</v>
      </c>
      <c r="L229" s="14" t="s">
        <v>3979</v>
      </c>
      <c r="M229" s="14" t="s">
        <v>3980</v>
      </c>
      <c r="N229" s="14" t="s">
        <v>3983</v>
      </c>
      <c r="O229" s="14" t="str">
        <f>IFERROR(INDEX(Cleaned_Products!$C$2:$C$61,MATCH(F229,Cleaned_Products!$A$2:$A$61,0)),"Unknown")</f>
        <v>Earrings</v>
      </c>
      <c r="P229" s="14" t="str">
        <f>IFERROR(INDEX(Cleaned_Products!$D$2:$D$61,MATCH(F229,Cleaned_Products!$A$2:$A$61,0)),"Unknown")</f>
        <v>Gold</v>
      </c>
    </row>
    <row r="230" spans="1:16" x14ac:dyDescent="0.35">
      <c r="A230" s="14" t="s">
        <v>1199</v>
      </c>
      <c r="B230" s="21">
        <v>45425</v>
      </c>
      <c r="C230" s="14" t="s">
        <v>4007</v>
      </c>
      <c r="D230" s="14">
        <v>2024</v>
      </c>
      <c r="E230" s="14" t="s">
        <v>558</v>
      </c>
      <c r="F230" s="14" t="s">
        <v>144</v>
      </c>
      <c r="G230" s="14" t="s">
        <v>80</v>
      </c>
      <c r="H230" s="14">
        <v>2</v>
      </c>
      <c r="I230" s="14">
        <v>215240</v>
      </c>
      <c r="J230" s="14">
        <v>10</v>
      </c>
      <c r="K230" s="14">
        <v>387432</v>
      </c>
      <c r="L230" s="14" t="s">
        <v>3977</v>
      </c>
      <c r="M230" s="14" t="s">
        <v>3980</v>
      </c>
      <c r="N230" s="14" t="s">
        <v>1202</v>
      </c>
      <c r="O230" s="14" t="str">
        <f>IFERROR(INDEX(Cleaned_Products!$C$2:$C$61,MATCH(F230,Cleaned_Products!$A$2:$A$61,0)),"Unknown")</f>
        <v>Necklaces</v>
      </c>
      <c r="P230" s="14" t="str">
        <f>IFERROR(INDEX(Cleaned_Products!$D$2:$D$61,MATCH(F230,Cleaned_Products!$A$2:$A$61,0)),"Unknown")</f>
        <v>Gold</v>
      </c>
    </row>
    <row r="231" spans="1:16" x14ac:dyDescent="0.35">
      <c r="A231" s="14" t="s">
        <v>1209</v>
      </c>
      <c r="B231" s="21">
        <v>45140</v>
      </c>
      <c r="C231" s="14" t="s">
        <v>3998</v>
      </c>
      <c r="D231" s="14">
        <v>2023</v>
      </c>
      <c r="E231" s="14" t="s">
        <v>3995</v>
      </c>
      <c r="F231" s="14" t="s">
        <v>216</v>
      </c>
      <c r="G231" s="14" t="s">
        <v>80</v>
      </c>
      <c r="H231" s="14">
        <v>1</v>
      </c>
      <c r="I231" s="14">
        <v>189770</v>
      </c>
      <c r="J231" s="14">
        <v>0</v>
      </c>
      <c r="K231" s="14">
        <v>189770</v>
      </c>
      <c r="L231" s="14" t="s">
        <v>121</v>
      </c>
      <c r="M231" s="14" t="s">
        <v>3975</v>
      </c>
      <c r="N231" s="14" t="s">
        <v>1212</v>
      </c>
      <c r="O231" s="14" t="str">
        <f>IFERROR(INDEX(Cleaned_Products!$C$2:$C$61,MATCH(F231,Cleaned_Products!$A$2:$A$61,0)),"Unknown")</f>
        <v>Bracelets</v>
      </c>
      <c r="P231" s="14" t="str">
        <f>IFERROR(INDEX(Cleaned_Products!$D$2:$D$61,MATCH(F231,Cleaned_Products!$A$2:$A$61,0)),"Unknown")</f>
        <v>Silver</v>
      </c>
    </row>
    <row r="232" spans="1:16" x14ac:dyDescent="0.35">
      <c r="A232" s="14" t="s">
        <v>1213</v>
      </c>
      <c r="B232" s="21">
        <v>45564</v>
      </c>
      <c r="C232" s="14" t="s">
        <v>4003</v>
      </c>
      <c r="D232" s="14">
        <v>2024</v>
      </c>
      <c r="E232" s="14" t="s">
        <v>645</v>
      </c>
      <c r="F232" s="14" t="s">
        <v>112</v>
      </c>
      <c r="G232" s="14" t="s">
        <v>80</v>
      </c>
      <c r="H232" s="14">
        <v>2</v>
      </c>
      <c r="I232" s="14">
        <v>234020</v>
      </c>
      <c r="J232" s="14">
        <v>5</v>
      </c>
      <c r="K232" s="14">
        <v>444638</v>
      </c>
      <c r="L232" s="14" t="s">
        <v>95</v>
      </c>
      <c r="M232" s="14" t="s">
        <v>3980</v>
      </c>
      <c r="N232" s="14" t="s">
        <v>3983</v>
      </c>
      <c r="O232" s="14" t="str">
        <f>IFERROR(INDEX(Cleaned_Products!$C$2:$C$61,MATCH(F232,Cleaned_Products!$A$2:$A$61,0)),"Unknown")</f>
        <v>Bangles</v>
      </c>
      <c r="P232" s="14" t="str">
        <f>IFERROR(INDEX(Cleaned_Products!$D$2:$D$61,MATCH(F232,Cleaned_Products!$A$2:$A$61,0)),"Unknown")</f>
        <v>Rose Gold</v>
      </c>
    </row>
    <row r="233" spans="1:16" x14ac:dyDescent="0.35">
      <c r="A233" s="14" t="s">
        <v>1220</v>
      </c>
      <c r="B233" s="21">
        <v>45447</v>
      </c>
      <c r="C233" s="14" t="s">
        <v>3984</v>
      </c>
      <c r="D233" s="14">
        <v>2024</v>
      </c>
      <c r="E233" s="14" t="s">
        <v>277</v>
      </c>
      <c r="F233" s="14" t="s">
        <v>463</v>
      </c>
      <c r="G233" s="14" t="s">
        <v>64</v>
      </c>
      <c r="H233" s="14">
        <v>2</v>
      </c>
      <c r="I233" s="14">
        <v>191800</v>
      </c>
      <c r="J233" s="14">
        <v>10</v>
      </c>
      <c r="K233" s="14">
        <v>345240</v>
      </c>
      <c r="L233" s="14" t="s">
        <v>121</v>
      </c>
      <c r="M233" s="14" t="s">
        <v>3980</v>
      </c>
      <c r="N233" s="14" t="s">
        <v>3983</v>
      </c>
      <c r="O233" s="14" t="str">
        <f>IFERROR(INDEX(Cleaned_Products!$C$2:$C$61,MATCH(F233,Cleaned_Products!$A$2:$A$61,0)),"Unknown")</f>
        <v>Bracelets</v>
      </c>
      <c r="P233" s="14" t="str">
        <f>IFERROR(INDEX(Cleaned_Products!$D$2:$D$61,MATCH(F233,Cleaned_Products!$A$2:$A$61,0)),"Unknown")</f>
        <v>Gold</v>
      </c>
    </row>
    <row r="234" spans="1:16" x14ac:dyDescent="0.35">
      <c r="A234" s="14" t="s">
        <v>1222</v>
      </c>
      <c r="B234" s="21">
        <v>45313</v>
      </c>
      <c r="C234" s="14" t="s">
        <v>3993</v>
      </c>
      <c r="D234" s="14">
        <v>2024</v>
      </c>
      <c r="E234" s="14" t="s">
        <v>1224</v>
      </c>
      <c r="F234" s="14" t="s">
        <v>278</v>
      </c>
      <c r="G234" s="14" t="s">
        <v>64</v>
      </c>
      <c r="H234" s="14">
        <v>2</v>
      </c>
      <c r="I234" s="14">
        <v>151630</v>
      </c>
      <c r="J234" s="14">
        <v>0</v>
      </c>
      <c r="K234" s="14">
        <v>303260</v>
      </c>
      <c r="L234" s="14" t="s">
        <v>3979</v>
      </c>
      <c r="M234" s="14" t="s">
        <v>3980</v>
      </c>
      <c r="N234" s="14" t="s">
        <v>3983</v>
      </c>
      <c r="O234" s="14" t="str">
        <f>IFERROR(INDEX(Cleaned_Products!$C$2:$C$61,MATCH(F234,Cleaned_Products!$A$2:$A$61,0)),"Unknown")</f>
        <v>Earrings</v>
      </c>
      <c r="P234" s="14" t="str">
        <f>IFERROR(INDEX(Cleaned_Products!$D$2:$D$61,MATCH(F234,Cleaned_Products!$A$2:$A$61,0)),"Unknown")</f>
        <v>Diamond</v>
      </c>
    </row>
    <row r="235" spans="1:16" x14ac:dyDescent="0.35">
      <c r="A235" s="14" t="s">
        <v>1228</v>
      </c>
      <c r="B235" s="21">
        <v>45011</v>
      </c>
      <c r="C235" s="14" t="s">
        <v>3982</v>
      </c>
      <c r="D235" s="14">
        <v>2023</v>
      </c>
      <c r="E235" s="14" t="s">
        <v>1009</v>
      </c>
      <c r="F235" s="14" t="s">
        <v>79</v>
      </c>
      <c r="G235" s="14" t="s">
        <v>72</v>
      </c>
      <c r="H235" s="14">
        <v>2</v>
      </c>
      <c r="I235" s="14">
        <v>222180</v>
      </c>
      <c r="J235" s="14">
        <v>10</v>
      </c>
      <c r="K235" s="14">
        <v>399924</v>
      </c>
      <c r="L235" s="14" t="s">
        <v>3977</v>
      </c>
      <c r="M235" s="14" t="s">
        <v>3975</v>
      </c>
      <c r="N235" s="14" t="s">
        <v>1231</v>
      </c>
      <c r="O235" s="14" t="str">
        <f>IFERROR(INDEX(Cleaned_Products!$C$2:$C$61,MATCH(F235,Cleaned_Products!$A$2:$A$61,0)),"Unknown")</f>
        <v>Rings</v>
      </c>
      <c r="P235" s="14" t="str">
        <f>IFERROR(INDEX(Cleaned_Products!$D$2:$D$61,MATCH(F235,Cleaned_Products!$A$2:$A$61,0)),"Unknown")</f>
        <v>Rose Gold</v>
      </c>
    </row>
    <row r="236" spans="1:16" x14ac:dyDescent="0.35">
      <c r="A236" s="14" t="s">
        <v>1232</v>
      </c>
      <c r="B236" s="21">
        <v>45163</v>
      </c>
      <c r="C236" s="14" t="s">
        <v>3998</v>
      </c>
      <c r="D236" s="14">
        <v>2023</v>
      </c>
      <c r="E236" s="14" t="s">
        <v>119</v>
      </c>
      <c r="F236" s="14" t="s">
        <v>79</v>
      </c>
      <c r="G236" s="14" t="s">
        <v>80</v>
      </c>
      <c r="H236" s="14">
        <v>3</v>
      </c>
      <c r="I236" s="14">
        <v>123230</v>
      </c>
      <c r="J236" s="14">
        <v>0</v>
      </c>
      <c r="K236" s="14">
        <v>369690</v>
      </c>
      <c r="L236" s="14" t="s">
        <v>121</v>
      </c>
      <c r="M236" s="14" t="s">
        <v>3975</v>
      </c>
      <c r="N236" s="14" t="s">
        <v>1234</v>
      </c>
      <c r="O236" s="14" t="str">
        <f>IFERROR(INDEX(Cleaned_Products!$C$2:$C$61,MATCH(F236,Cleaned_Products!$A$2:$A$61,0)),"Unknown")</f>
        <v>Rings</v>
      </c>
      <c r="P236" s="14" t="str">
        <f>IFERROR(INDEX(Cleaned_Products!$D$2:$D$61,MATCH(F236,Cleaned_Products!$A$2:$A$61,0)),"Unknown")</f>
        <v>Rose Gold</v>
      </c>
    </row>
    <row r="237" spans="1:16" x14ac:dyDescent="0.35">
      <c r="A237" s="14" t="s">
        <v>1235</v>
      </c>
      <c r="B237" s="21">
        <v>44982</v>
      </c>
      <c r="C237" s="14" t="s">
        <v>4001</v>
      </c>
      <c r="D237" s="14">
        <v>2023</v>
      </c>
      <c r="E237" s="14" t="s">
        <v>183</v>
      </c>
      <c r="F237" s="14" t="s">
        <v>360</v>
      </c>
      <c r="G237" s="14" t="s">
        <v>56</v>
      </c>
      <c r="H237" s="14">
        <v>1</v>
      </c>
      <c r="I237" s="14">
        <v>52860</v>
      </c>
      <c r="J237" s="14">
        <v>0</v>
      </c>
      <c r="K237" s="14">
        <v>52860</v>
      </c>
      <c r="L237" s="14" t="s">
        <v>3974</v>
      </c>
      <c r="M237" s="14" t="s">
        <v>3980</v>
      </c>
      <c r="N237" s="14" t="s">
        <v>3983</v>
      </c>
      <c r="O237" s="14" t="str">
        <f>IFERROR(INDEX(Cleaned_Products!$C$2:$C$61,MATCH(F237,Cleaned_Products!$A$2:$A$61,0)),"Unknown")</f>
        <v>Pendants</v>
      </c>
      <c r="P237" s="14" t="str">
        <f>IFERROR(INDEX(Cleaned_Products!$D$2:$D$61,MATCH(F237,Cleaned_Products!$A$2:$A$61,0)),"Unknown")</f>
        <v>Diamond</v>
      </c>
    </row>
    <row r="238" spans="1:16" x14ac:dyDescent="0.35">
      <c r="A238" s="14" t="s">
        <v>1236</v>
      </c>
      <c r="B238" s="21">
        <v>45188</v>
      </c>
      <c r="C238" s="14" t="s">
        <v>3996</v>
      </c>
      <c r="D238" s="14">
        <v>2023</v>
      </c>
      <c r="E238" s="14" t="s">
        <v>70</v>
      </c>
      <c r="F238" s="14" t="s">
        <v>310</v>
      </c>
      <c r="G238" s="14" t="s">
        <v>64</v>
      </c>
      <c r="H238" s="14">
        <v>3</v>
      </c>
      <c r="I238" s="14">
        <v>175330</v>
      </c>
      <c r="J238" s="14">
        <v>0</v>
      </c>
      <c r="K238" s="14">
        <v>525990</v>
      </c>
      <c r="L238" s="14" t="s">
        <v>73</v>
      </c>
      <c r="M238" s="14" t="s">
        <v>3980</v>
      </c>
      <c r="N238" s="14" t="s">
        <v>3983</v>
      </c>
      <c r="O238" s="14" t="str">
        <f>IFERROR(INDEX(Cleaned_Products!$C$2:$C$61,MATCH(F238,Cleaned_Products!$A$2:$A$61,0)),"Unknown")</f>
        <v>Pendants</v>
      </c>
      <c r="P238" s="14" t="str">
        <f>IFERROR(INDEX(Cleaned_Products!$D$2:$D$61,MATCH(F238,Cleaned_Products!$A$2:$A$61,0)),"Unknown")</f>
        <v>Gold</v>
      </c>
    </row>
    <row r="239" spans="1:16" x14ac:dyDescent="0.35">
      <c r="A239" s="14" t="s">
        <v>1238</v>
      </c>
      <c r="B239" s="21">
        <v>45121</v>
      </c>
      <c r="C239" s="14" t="s">
        <v>3988</v>
      </c>
      <c r="D239" s="14">
        <v>2023</v>
      </c>
      <c r="E239" s="14" t="s">
        <v>1240</v>
      </c>
      <c r="F239" s="14" t="s">
        <v>264</v>
      </c>
      <c r="G239" s="14" t="s">
        <v>56</v>
      </c>
      <c r="H239" s="14">
        <v>3</v>
      </c>
      <c r="I239" s="14">
        <v>39250</v>
      </c>
      <c r="J239" s="14">
        <v>5</v>
      </c>
      <c r="K239" s="14">
        <v>111862.5</v>
      </c>
      <c r="L239" s="14" t="s">
        <v>121</v>
      </c>
      <c r="M239" s="14" t="s">
        <v>3975</v>
      </c>
      <c r="N239" s="14" t="s">
        <v>1241</v>
      </c>
      <c r="O239" s="14" t="str">
        <f>IFERROR(INDEX(Cleaned_Products!$C$2:$C$61,MATCH(F239,Cleaned_Products!$A$2:$A$61,0)),"Unknown")</f>
        <v>Pendants</v>
      </c>
      <c r="P239" s="14" t="str">
        <f>IFERROR(INDEX(Cleaned_Products!$D$2:$D$61,MATCH(F239,Cleaned_Products!$A$2:$A$61,0)),"Unknown")</f>
        <v>Silver</v>
      </c>
    </row>
    <row r="240" spans="1:16" x14ac:dyDescent="0.35">
      <c r="A240" s="14" t="s">
        <v>1242</v>
      </c>
      <c r="B240" s="21">
        <v>45250</v>
      </c>
      <c r="C240" s="14" t="s">
        <v>3978</v>
      </c>
      <c r="D240" s="14">
        <v>2023</v>
      </c>
      <c r="E240" s="14" t="s">
        <v>1244</v>
      </c>
      <c r="F240" s="14" t="s">
        <v>916</v>
      </c>
      <c r="G240" s="14" t="s">
        <v>108</v>
      </c>
      <c r="H240" s="14">
        <v>1</v>
      </c>
      <c r="I240" s="14">
        <v>75280</v>
      </c>
      <c r="J240" s="14">
        <v>5</v>
      </c>
      <c r="K240" s="14">
        <v>71516</v>
      </c>
      <c r="L240" s="14" t="s">
        <v>121</v>
      </c>
      <c r="M240" s="14" t="s">
        <v>3975</v>
      </c>
      <c r="N240" s="14" t="s">
        <v>1246</v>
      </c>
      <c r="O240" s="14" t="str">
        <f>IFERROR(INDEX(Cleaned_Products!$C$2:$C$61,MATCH(F240,Cleaned_Products!$A$2:$A$61,0)),"Unknown")</f>
        <v>Bracelets</v>
      </c>
      <c r="P240" s="14" t="str">
        <f>IFERROR(INDEX(Cleaned_Products!$D$2:$D$61,MATCH(F240,Cleaned_Products!$A$2:$A$61,0)),"Unknown")</f>
        <v>Rose Gold</v>
      </c>
    </row>
    <row r="241" spans="1:16" x14ac:dyDescent="0.35">
      <c r="A241" s="14" t="s">
        <v>1247</v>
      </c>
      <c r="B241" s="21">
        <v>45450</v>
      </c>
      <c r="C241" s="14" t="s">
        <v>3984</v>
      </c>
      <c r="D241" s="14">
        <v>2024</v>
      </c>
      <c r="E241" s="14" t="s">
        <v>119</v>
      </c>
      <c r="F241" s="14" t="s">
        <v>212</v>
      </c>
      <c r="G241" s="14" t="s">
        <v>108</v>
      </c>
      <c r="H241" s="14">
        <v>2</v>
      </c>
      <c r="I241" s="14">
        <v>97190</v>
      </c>
      <c r="J241" s="14">
        <v>5</v>
      </c>
      <c r="K241" s="14">
        <v>184661</v>
      </c>
      <c r="L241" s="14" t="s">
        <v>3974</v>
      </c>
      <c r="M241" s="14" t="s">
        <v>3980</v>
      </c>
      <c r="N241" s="14" t="s">
        <v>1248</v>
      </c>
      <c r="O241" s="14" t="str">
        <f>IFERROR(INDEX(Cleaned_Products!$C$2:$C$61,MATCH(F241,Cleaned_Products!$A$2:$A$61,0)),"Unknown")</f>
        <v>Nose Pins</v>
      </c>
      <c r="P241" s="14" t="str">
        <f>IFERROR(INDEX(Cleaned_Products!$D$2:$D$61,MATCH(F241,Cleaned_Products!$A$2:$A$61,0)),"Unknown")</f>
        <v>Platinum</v>
      </c>
    </row>
    <row r="242" spans="1:16" x14ac:dyDescent="0.35">
      <c r="A242" s="14" t="s">
        <v>1249</v>
      </c>
      <c r="B242" s="21">
        <v>45334</v>
      </c>
      <c r="C242" s="14" t="s">
        <v>3999</v>
      </c>
      <c r="D242" s="14">
        <v>2024</v>
      </c>
      <c r="E242" s="14" t="s">
        <v>78</v>
      </c>
      <c r="F242" s="14" t="s">
        <v>135</v>
      </c>
      <c r="G242" s="14" t="s">
        <v>126</v>
      </c>
      <c r="H242" s="14">
        <v>2</v>
      </c>
      <c r="I242" s="14">
        <v>121230</v>
      </c>
      <c r="J242" s="14">
        <v>0</v>
      </c>
      <c r="K242" s="14">
        <v>242460</v>
      </c>
      <c r="L242" s="14" t="s">
        <v>73</v>
      </c>
      <c r="M242" s="14" t="s">
        <v>3975</v>
      </c>
      <c r="N242" s="14" t="s">
        <v>1251</v>
      </c>
      <c r="O242" s="14" t="str">
        <f>IFERROR(INDEX(Cleaned_Products!$C$2:$C$61,MATCH(F242,Cleaned_Products!$A$2:$A$61,0)),"Unknown")</f>
        <v>Necklaces</v>
      </c>
      <c r="P242" s="14" t="str">
        <f>IFERROR(INDEX(Cleaned_Products!$D$2:$D$61,MATCH(F242,Cleaned_Products!$A$2:$A$61,0)),"Unknown")</f>
        <v>Silver</v>
      </c>
    </row>
    <row r="243" spans="1:16" x14ac:dyDescent="0.35">
      <c r="A243" s="14" t="s">
        <v>1252</v>
      </c>
      <c r="B243" s="21">
        <v>45071</v>
      </c>
      <c r="C243" s="14" t="s">
        <v>3973</v>
      </c>
      <c r="D243" s="14">
        <v>2023</v>
      </c>
      <c r="E243" s="14" t="s">
        <v>1254</v>
      </c>
      <c r="F243" s="14" t="s">
        <v>916</v>
      </c>
      <c r="G243" s="14" t="s">
        <v>113</v>
      </c>
      <c r="H243" s="14">
        <v>2</v>
      </c>
      <c r="I243" s="14">
        <v>176520</v>
      </c>
      <c r="J243" s="14">
        <v>5</v>
      </c>
      <c r="K243" s="14">
        <v>335388</v>
      </c>
      <c r="L243" s="14" t="s">
        <v>73</v>
      </c>
      <c r="M243" s="14" t="s">
        <v>3975</v>
      </c>
      <c r="N243" s="14" t="s">
        <v>1256</v>
      </c>
      <c r="O243" s="14" t="str">
        <f>IFERROR(INDEX(Cleaned_Products!$C$2:$C$61,MATCH(F243,Cleaned_Products!$A$2:$A$61,0)),"Unknown")</f>
        <v>Bracelets</v>
      </c>
      <c r="P243" s="14" t="str">
        <f>IFERROR(INDEX(Cleaned_Products!$D$2:$D$61,MATCH(F243,Cleaned_Products!$A$2:$A$61,0)),"Unknown")</f>
        <v>Rose Gold</v>
      </c>
    </row>
    <row r="244" spans="1:16" x14ac:dyDescent="0.35">
      <c r="A244" s="14" t="s">
        <v>1257</v>
      </c>
      <c r="B244" s="21">
        <v>44932</v>
      </c>
      <c r="C244" s="14" t="s">
        <v>3987</v>
      </c>
      <c r="D244" s="14">
        <v>2023</v>
      </c>
      <c r="E244" s="14" t="s">
        <v>967</v>
      </c>
      <c r="F244" s="14" t="s">
        <v>360</v>
      </c>
      <c r="G244" s="14" t="s">
        <v>80</v>
      </c>
      <c r="H244" s="14">
        <v>3</v>
      </c>
      <c r="I244" s="14">
        <v>229290</v>
      </c>
      <c r="J244" s="14">
        <v>0</v>
      </c>
      <c r="K244" s="14">
        <v>687870</v>
      </c>
      <c r="L244" s="14" t="s">
        <v>95</v>
      </c>
      <c r="M244" s="14" t="s">
        <v>3980</v>
      </c>
      <c r="N244" s="14" t="s">
        <v>1259</v>
      </c>
      <c r="O244" s="14" t="str">
        <f>IFERROR(INDEX(Cleaned_Products!$C$2:$C$61,MATCH(F244,Cleaned_Products!$A$2:$A$61,0)),"Unknown")</f>
        <v>Pendants</v>
      </c>
      <c r="P244" s="14" t="str">
        <f>IFERROR(INDEX(Cleaned_Products!$D$2:$D$61,MATCH(F244,Cleaned_Products!$A$2:$A$61,0)),"Unknown")</f>
        <v>Diamond</v>
      </c>
    </row>
    <row r="245" spans="1:16" x14ac:dyDescent="0.35">
      <c r="A245" s="14" t="s">
        <v>1260</v>
      </c>
      <c r="B245" s="21">
        <v>44956</v>
      </c>
      <c r="C245" s="14" t="s">
        <v>3987</v>
      </c>
      <c r="D245" s="14">
        <v>2023</v>
      </c>
      <c r="E245" s="14" t="s">
        <v>799</v>
      </c>
      <c r="F245" s="14" t="s">
        <v>369</v>
      </c>
      <c r="G245" s="14" t="s">
        <v>80</v>
      </c>
      <c r="H245" s="14">
        <v>2</v>
      </c>
      <c r="I245" s="14">
        <v>181470</v>
      </c>
      <c r="J245" s="14">
        <v>10</v>
      </c>
      <c r="K245" s="14">
        <v>326646</v>
      </c>
      <c r="L245" s="14" t="s">
        <v>3974</v>
      </c>
      <c r="M245" s="14" t="s">
        <v>3975</v>
      </c>
      <c r="N245" s="14" t="s">
        <v>1262</v>
      </c>
      <c r="O245" s="14" t="str">
        <f>IFERROR(INDEX(Cleaned_Products!$C$2:$C$61,MATCH(F245,Cleaned_Products!$A$2:$A$61,0)),"Unknown")</f>
        <v>Earrings</v>
      </c>
      <c r="P245" s="14" t="str">
        <f>IFERROR(INDEX(Cleaned_Products!$D$2:$D$61,MATCH(F245,Cleaned_Products!$A$2:$A$61,0)),"Unknown")</f>
        <v>Platinum</v>
      </c>
    </row>
    <row r="246" spans="1:16" x14ac:dyDescent="0.35">
      <c r="A246" s="14" t="s">
        <v>1263</v>
      </c>
      <c r="B246" s="21">
        <v>45642</v>
      </c>
      <c r="C246" s="14" t="s">
        <v>3986</v>
      </c>
      <c r="D246" s="14">
        <v>2024</v>
      </c>
      <c r="E246" s="14" t="s">
        <v>831</v>
      </c>
      <c r="F246" s="14" t="s">
        <v>154</v>
      </c>
      <c r="G246" s="14" t="s">
        <v>126</v>
      </c>
      <c r="H246" s="14">
        <v>2</v>
      </c>
      <c r="I246" s="14">
        <v>66110</v>
      </c>
      <c r="J246" s="14">
        <v>15</v>
      </c>
      <c r="K246" s="14">
        <v>112387</v>
      </c>
      <c r="L246" s="14" t="s">
        <v>121</v>
      </c>
      <c r="M246" s="14" t="s">
        <v>3980</v>
      </c>
      <c r="N246" s="14" t="s">
        <v>1265</v>
      </c>
      <c r="O246" s="14" t="str">
        <f>IFERROR(INDEX(Cleaned_Products!$C$2:$C$61,MATCH(F246,Cleaned_Products!$A$2:$A$61,0)),"Unknown")</f>
        <v>Rings</v>
      </c>
      <c r="P246" s="14" t="str">
        <f>IFERROR(INDEX(Cleaned_Products!$D$2:$D$61,MATCH(F246,Cleaned_Products!$A$2:$A$61,0)),"Unknown")</f>
        <v>Silver</v>
      </c>
    </row>
    <row r="247" spans="1:16" x14ac:dyDescent="0.35">
      <c r="A247" s="14" t="s">
        <v>1266</v>
      </c>
      <c r="B247" s="21">
        <v>45855</v>
      </c>
      <c r="C247" s="14" t="s">
        <v>3991</v>
      </c>
      <c r="D247" s="14">
        <v>2025</v>
      </c>
      <c r="E247" s="14" t="s">
        <v>294</v>
      </c>
      <c r="F247" s="14" t="s">
        <v>418</v>
      </c>
      <c r="G247" s="14" t="s">
        <v>64</v>
      </c>
      <c r="H247" s="14">
        <v>1</v>
      </c>
      <c r="I247" s="14">
        <v>237560</v>
      </c>
      <c r="J247" s="14">
        <v>0</v>
      </c>
      <c r="K247" s="14">
        <v>237560</v>
      </c>
      <c r="L247" s="14" t="s">
        <v>73</v>
      </c>
      <c r="M247" s="14" t="s">
        <v>3975</v>
      </c>
      <c r="N247" s="14" t="s">
        <v>1268</v>
      </c>
      <c r="O247" s="14" t="str">
        <f>IFERROR(INDEX(Cleaned_Products!$C$2:$C$61,MATCH(F247,Cleaned_Products!$A$2:$A$61,0)),"Unknown")</f>
        <v>Rings</v>
      </c>
      <c r="P247" s="14" t="str">
        <f>IFERROR(INDEX(Cleaned_Products!$D$2:$D$61,MATCH(F247,Cleaned_Products!$A$2:$A$61,0)),"Unknown")</f>
        <v>Rose Gold</v>
      </c>
    </row>
    <row r="248" spans="1:16" x14ac:dyDescent="0.35">
      <c r="A248" s="14" t="s">
        <v>1269</v>
      </c>
      <c r="B248" s="21">
        <v>45732</v>
      </c>
      <c r="C248" s="14" t="s">
        <v>4002</v>
      </c>
      <c r="D248" s="14">
        <v>2025</v>
      </c>
      <c r="E248" s="14" t="s">
        <v>124</v>
      </c>
      <c r="F248" s="14" t="s">
        <v>55</v>
      </c>
      <c r="G248" s="14" t="s">
        <v>126</v>
      </c>
      <c r="H248" s="14">
        <v>2</v>
      </c>
      <c r="I248" s="14">
        <v>103300</v>
      </c>
      <c r="J248" s="14">
        <v>15</v>
      </c>
      <c r="K248" s="14">
        <v>175610</v>
      </c>
      <c r="L248" s="14" t="s">
        <v>95</v>
      </c>
      <c r="M248" s="14" t="s">
        <v>3980</v>
      </c>
      <c r="N248" s="14" t="s">
        <v>3983</v>
      </c>
      <c r="O248" s="14" t="str">
        <f>IFERROR(INDEX(Cleaned_Products!$C$2:$C$61,MATCH(F248,Cleaned_Products!$A$2:$A$61,0)),"Unknown")</f>
        <v>Anklets</v>
      </c>
      <c r="P248" s="14" t="str">
        <f>IFERROR(INDEX(Cleaned_Products!$D$2:$D$61,MATCH(F248,Cleaned_Products!$A$2:$A$61,0)),"Unknown")</f>
        <v>Gold</v>
      </c>
    </row>
    <row r="249" spans="1:16" x14ac:dyDescent="0.35">
      <c r="A249" s="14" t="s">
        <v>1271</v>
      </c>
      <c r="B249" s="21">
        <v>45467</v>
      </c>
      <c r="C249" s="14" t="s">
        <v>3984</v>
      </c>
      <c r="D249" s="14">
        <v>2024</v>
      </c>
      <c r="E249" s="14" t="s">
        <v>444</v>
      </c>
      <c r="F249" s="14" t="s">
        <v>120</v>
      </c>
      <c r="G249" s="14" t="s">
        <v>80</v>
      </c>
      <c r="H249" s="14">
        <v>1</v>
      </c>
      <c r="I249" s="14">
        <v>245030</v>
      </c>
      <c r="J249" s="14">
        <v>15</v>
      </c>
      <c r="K249" s="14">
        <v>208275.5</v>
      </c>
      <c r="L249" s="14" t="s">
        <v>121</v>
      </c>
      <c r="M249" s="14" t="s">
        <v>3975</v>
      </c>
      <c r="N249" s="14" t="s">
        <v>1273</v>
      </c>
      <c r="O249" s="14" t="str">
        <f>IFERROR(INDEX(Cleaned_Products!$C$2:$C$61,MATCH(F249,Cleaned_Products!$A$2:$A$61,0)),"Unknown")</f>
        <v>Necklaces</v>
      </c>
      <c r="P249" s="14" t="str">
        <f>IFERROR(INDEX(Cleaned_Products!$D$2:$D$61,MATCH(F249,Cleaned_Products!$A$2:$A$61,0)),"Unknown")</f>
        <v>Platinum</v>
      </c>
    </row>
    <row r="250" spans="1:16" x14ac:dyDescent="0.35">
      <c r="A250" s="14" t="s">
        <v>1274</v>
      </c>
      <c r="B250" s="21">
        <v>45407</v>
      </c>
      <c r="C250" s="14" t="s">
        <v>4000</v>
      </c>
      <c r="D250" s="14">
        <v>2024</v>
      </c>
      <c r="E250" s="14" t="s">
        <v>234</v>
      </c>
      <c r="F250" s="14" t="s">
        <v>216</v>
      </c>
      <c r="G250" s="14" t="s">
        <v>108</v>
      </c>
      <c r="H250" s="14">
        <v>1</v>
      </c>
      <c r="I250" s="14">
        <v>121540</v>
      </c>
      <c r="J250" s="14">
        <v>10</v>
      </c>
      <c r="K250" s="14">
        <v>109386</v>
      </c>
      <c r="L250" s="14" t="s">
        <v>121</v>
      </c>
      <c r="M250" s="14" t="s">
        <v>3980</v>
      </c>
      <c r="N250" s="14" t="s">
        <v>3983</v>
      </c>
      <c r="O250" s="14" t="str">
        <f>IFERROR(INDEX(Cleaned_Products!$C$2:$C$61,MATCH(F250,Cleaned_Products!$A$2:$A$61,0)),"Unknown")</f>
        <v>Bracelets</v>
      </c>
      <c r="P250" s="14" t="str">
        <f>IFERROR(INDEX(Cleaned_Products!$D$2:$D$61,MATCH(F250,Cleaned_Products!$A$2:$A$61,0)),"Unknown")</f>
        <v>Silver</v>
      </c>
    </row>
    <row r="251" spans="1:16" x14ac:dyDescent="0.35">
      <c r="A251" s="14" t="s">
        <v>1276</v>
      </c>
      <c r="B251" s="21">
        <v>45215</v>
      </c>
      <c r="C251" s="14" t="s">
        <v>3990</v>
      </c>
      <c r="D251" s="14">
        <v>2023</v>
      </c>
      <c r="E251" s="14" t="s">
        <v>491</v>
      </c>
      <c r="F251" s="14" t="s">
        <v>71</v>
      </c>
      <c r="G251" s="14" t="s">
        <v>72</v>
      </c>
      <c r="H251" s="14">
        <v>2</v>
      </c>
      <c r="I251" s="14">
        <v>155930</v>
      </c>
      <c r="J251" s="14">
        <v>5</v>
      </c>
      <c r="K251" s="14">
        <v>296267</v>
      </c>
      <c r="L251" s="14" t="s">
        <v>121</v>
      </c>
      <c r="M251" s="14" t="s">
        <v>3980</v>
      </c>
      <c r="N251" s="14" t="s">
        <v>1278</v>
      </c>
      <c r="O251" s="14" t="str">
        <f>IFERROR(INDEX(Cleaned_Products!$C$2:$C$61,MATCH(F251,Cleaned_Products!$A$2:$A$61,0)),"Unknown")</f>
        <v>Bracelets</v>
      </c>
      <c r="P251" s="14" t="str">
        <f>IFERROR(INDEX(Cleaned_Products!$D$2:$D$61,MATCH(F251,Cleaned_Products!$A$2:$A$61,0)),"Unknown")</f>
        <v>Rose Gold</v>
      </c>
    </row>
    <row r="252" spans="1:16" x14ac:dyDescent="0.35">
      <c r="A252" s="14" t="s">
        <v>1279</v>
      </c>
      <c r="B252" s="21">
        <v>45687</v>
      </c>
      <c r="C252" s="14" t="s">
        <v>4005</v>
      </c>
      <c r="D252" s="14">
        <v>2025</v>
      </c>
      <c r="E252" s="14" t="s">
        <v>753</v>
      </c>
      <c r="F252" s="14" t="s">
        <v>342</v>
      </c>
      <c r="G252" s="14" t="s">
        <v>126</v>
      </c>
      <c r="H252" s="14">
        <v>1</v>
      </c>
      <c r="I252" s="14">
        <v>116610</v>
      </c>
      <c r="J252" s="14">
        <v>10</v>
      </c>
      <c r="K252" s="14">
        <v>104949</v>
      </c>
      <c r="L252" s="14" t="s">
        <v>121</v>
      </c>
      <c r="M252" s="14" t="s">
        <v>3980</v>
      </c>
      <c r="N252" s="14" t="s">
        <v>3983</v>
      </c>
      <c r="O252" s="14" t="str">
        <f>IFERROR(INDEX(Cleaned_Products!$C$2:$C$61,MATCH(F252,Cleaned_Products!$A$2:$A$61,0)),"Unknown")</f>
        <v>Necklaces</v>
      </c>
      <c r="P252" s="14" t="str">
        <f>IFERROR(INDEX(Cleaned_Products!$D$2:$D$61,MATCH(F252,Cleaned_Products!$A$2:$A$61,0)),"Unknown")</f>
        <v>Diamond</v>
      </c>
    </row>
    <row r="253" spans="1:16" x14ac:dyDescent="0.35">
      <c r="A253" s="14" t="s">
        <v>1281</v>
      </c>
      <c r="B253" s="21">
        <v>45186</v>
      </c>
      <c r="C253" s="14" t="s">
        <v>3996</v>
      </c>
      <c r="D253" s="14">
        <v>2023</v>
      </c>
      <c r="E253" s="14" t="s">
        <v>157</v>
      </c>
      <c r="F253" s="14" t="s">
        <v>240</v>
      </c>
      <c r="G253" s="14" t="s">
        <v>64</v>
      </c>
      <c r="H253" s="14">
        <v>1</v>
      </c>
      <c r="I253" s="14">
        <v>225960</v>
      </c>
      <c r="J253" s="14">
        <v>5</v>
      </c>
      <c r="K253" s="14">
        <v>214662</v>
      </c>
      <c r="L253" s="14" t="s">
        <v>3979</v>
      </c>
      <c r="M253" s="14" t="s">
        <v>3975</v>
      </c>
      <c r="N253" s="14" t="s">
        <v>1284</v>
      </c>
      <c r="O253" s="14" t="str">
        <f>IFERROR(INDEX(Cleaned_Products!$C$2:$C$61,MATCH(F253,Cleaned_Products!$A$2:$A$61,0)),"Unknown")</f>
        <v>Bangles</v>
      </c>
      <c r="P253" s="14" t="str">
        <f>IFERROR(INDEX(Cleaned_Products!$D$2:$D$61,MATCH(F253,Cleaned_Products!$A$2:$A$61,0)),"Unknown")</f>
        <v>Platinum</v>
      </c>
    </row>
    <row r="254" spans="1:16" x14ac:dyDescent="0.35">
      <c r="A254" s="14" t="s">
        <v>1285</v>
      </c>
      <c r="B254" s="21">
        <v>45133</v>
      </c>
      <c r="C254" s="14" t="s">
        <v>3988</v>
      </c>
      <c r="D254" s="14">
        <v>2023</v>
      </c>
      <c r="E254" s="14" t="s">
        <v>703</v>
      </c>
      <c r="F254" s="14" t="s">
        <v>445</v>
      </c>
      <c r="G254" s="14" t="s">
        <v>126</v>
      </c>
      <c r="H254" s="14">
        <v>1</v>
      </c>
      <c r="I254" s="14">
        <v>196850</v>
      </c>
      <c r="J254" s="14">
        <v>10</v>
      </c>
      <c r="K254" s="14">
        <v>177165</v>
      </c>
      <c r="L254" s="14" t="s">
        <v>95</v>
      </c>
      <c r="M254" s="14" t="s">
        <v>3980</v>
      </c>
      <c r="N254" s="14" t="s">
        <v>3983</v>
      </c>
      <c r="O254" s="14" t="str">
        <f>IFERROR(INDEX(Cleaned_Products!$C$2:$C$61,MATCH(F254,Cleaned_Products!$A$2:$A$61,0)),"Unknown")</f>
        <v>Bangles</v>
      </c>
      <c r="P254" s="14" t="str">
        <f>IFERROR(INDEX(Cleaned_Products!$D$2:$D$61,MATCH(F254,Cleaned_Products!$A$2:$A$61,0)),"Unknown")</f>
        <v>Diamond</v>
      </c>
    </row>
    <row r="255" spans="1:16" x14ac:dyDescent="0.35">
      <c r="A255" s="14" t="s">
        <v>1287</v>
      </c>
      <c r="B255" s="21">
        <v>45107</v>
      </c>
      <c r="C255" s="14" t="s">
        <v>3994</v>
      </c>
      <c r="D255" s="14">
        <v>2023</v>
      </c>
      <c r="E255" s="14" t="s">
        <v>1289</v>
      </c>
      <c r="F255" s="14" t="s">
        <v>79</v>
      </c>
      <c r="G255" s="14" t="s">
        <v>101</v>
      </c>
      <c r="H255" s="14">
        <v>2</v>
      </c>
      <c r="I255" s="14">
        <v>123670</v>
      </c>
      <c r="J255" s="14">
        <v>0</v>
      </c>
      <c r="K255" s="14">
        <v>247340</v>
      </c>
      <c r="L255" s="14" t="s">
        <v>3974</v>
      </c>
      <c r="M255" s="14" t="s">
        <v>3980</v>
      </c>
      <c r="N255" s="14" t="s">
        <v>3983</v>
      </c>
      <c r="O255" s="14" t="str">
        <f>IFERROR(INDEX(Cleaned_Products!$C$2:$C$61,MATCH(F255,Cleaned_Products!$A$2:$A$61,0)),"Unknown")</f>
        <v>Rings</v>
      </c>
      <c r="P255" s="14" t="str">
        <f>IFERROR(INDEX(Cleaned_Products!$D$2:$D$61,MATCH(F255,Cleaned_Products!$A$2:$A$61,0)),"Unknown")</f>
        <v>Rose Gold</v>
      </c>
    </row>
    <row r="256" spans="1:16" x14ac:dyDescent="0.35">
      <c r="A256" s="14" t="s">
        <v>1290</v>
      </c>
      <c r="B256" s="21">
        <v>45729</v>
      </c>
      <c r="C256" s="14" t="s">
        <v>4002</v>
      </c>
      <c r="D256" s="14">
        <v>2025</v>
      </c>
      <c r="E256" s="14" t="s">
        <v>407</v>
      </c>
      <c r="F256" s="14" t="s">
        <v>226</v>
      </c>
      <c r="G256" s="14" t="s">
        <v>80</v>
      </c>
      <c r="H256" s="14">
        <v>2</v>
      </c>
      <c r="I256" s="14">
        <v>126900</v>
      </c>
      <c r="J256" s="14">
        <v>0</v>
      </c>
      <c r="K256" s="14">
        <v>253800</v>
      </c>
      <c r="L256" s="14" t="s">
        <v>3977</v>
      </c>
      <c r="M256" s="14" t="s">
        <v>3980</v>
      </c>
      <c r="N256" s="14" t="s">
        <v>1292</v>
      </c>
      <c r="O256" s="14" t="str">
        <f>IFERROR(INDEX(Cleaned_Products!$C$2:$C$61,MATCH(F256,Cleaned_Products!$A$2:$A$61,0)),"Unknown")</f>
        <v>Earrings</v>
      </c>
      <c r="P256" s="14" t="str">
        <f>IFERROR(INDEX(Cleaned_Products!$D$2:$D$61,MATCH(F256,Cleaned_Products!$A$2:$A$61,0)),"Unknown")</f>
        <v>Diamond</v>
      </c>
    </row>
    <row r="257" spans="1:16" x14ac:dyDescent="0.35">
      <c r="A257" s="14" t="s">
        <v>1293</v>
      </c>
      <c r="B257" s="21">
        <v>45172</v>
      </c>
      <c r="C257" s="14" t="s">
        <v>3996</v>
      </c>
      <c r="D257" s="14">
        <v>2023</v>
      </c>
      <c r="E257" s="14" t="s">
        <v>1224</v>
      </c>
      <c r="F257" s="14" t="s">
        <v>212</v>
      </c>
      <c r="G257" s="14" t="s">
        <v>72</v>
      </c>
      <c r="H257" s="14">
        <v>1</v>
      </c>
      <c r="I257" s="14">
        <v>92150</v>
      </c>
      <c r="J257" s="14">
        <v>0</v>
      </c>
      <c r="K257" s="14">
        <v>92150</v>
      </c>
      <c r="L257" s="14" t="s">
        <v>73</v>
      </c>
      <c r="M257" s="14" t="s">
        <v>3980</v>
      </c>
      <c r="N257" s="14" t="s">
        <v>1295</v>
      </c>
      <c r="O257" s="14" t="str">
        <f>IFERROR(INDEX(Cleaned_Products!$C$2:$C$61,MATCH(F257,Cleaned_Products!$A$2:$A$61,0)),"Unknown")</f>
        <v>Nose Pins</v>
      </c>
      <c r="P257" s="14" t="str">
        <f>IFERROR(INDEX(Cleaned_Products!$D$2:$D$61,MATCH(F257,Cleaned_Products!$A$2:$A$61,0)),"Unknown")</f>
        <v>Platinum</v>
      </c>
    </row>
    <row r="258" spans="1:16" x14ac:dyDescent="0.35">
      <c r="A258" s="14" t="s">
        <v>1303</v>
      </c>
      <c r="B258" s="21">
        <v>45542</v>
      </c>
      <c r="C258" s="14" t="s">
        <v>4003</v>
      </c>
      <c r="D258" s="14">
        <v>2024</v>
      </c>
      <c r="E258" s="14" t="s">
        <v>1305</v>
      </c>
      <c r="F258" s="14" t="s">
        <v>989</v>
      </c>
      <c r="G258" s="14" t="s">
        <v>56</v>
      </c>
      <c r="H258" s="14">
        <v>2</v>
      </c>
      <c r="I258" s="14">
        <v>128840</v>
      </c>
      <c r="J258" s="14">
        <v>0</v>
      </c>
      <c r="K258" s="14">
        <v>257680</v>
      </c>
      <c r="L258" s="14" t="s">
        <v>3979</v>
      </c>
      <c r="M258" s="14" t="s">
        <v>3975</v>
      </c>
      <c r="N258" s="14" t="s">
        <v>1306</v>
      </c>
      <c r="O258" s="14" t="str">
        <f>IFERROR(INDEX(Cleaned_Products!$C$2:$C$61,MATCH(F258,Cleaned_Products!$A$2:$A$61,0)),"Unknown")</f>
        <v>Anklets</v>
      </c>
      <c r="P258" s="14" t="str">
        <f>IFERROR(INDEX(Cleaned_Products!$D$2:$D$61,MATCH(F258,Cleaned_Products!$A$2:$A$61,0)),"Unknown")</f>
        <v>Rose Gold</v>
      </c>
    </row>
    <row r="259" spans="1:16" x14ac:dyDescent="0.35">
      <c r="A259" s="14" t="s">
        <v>1307</v>
      </c>
      <c r="B259" s="21">
        <v>45206</v>
      </c>
      <c r="C259" s="14" t="s">
        <v>3990</v>
      </c>
      <c r="D259" s="14">
        <v>2023</v>
      </c>
      <c r="E259" s="14" t="s">
        <v>309</v>
      </c>
      <c r="F259" s="14" t="s">
        <v>1309</v>
      </c>
      <c r="G259" s="14" t="s">
        <v>80</v>
      </c>
      <c r="H259" s="14">
        <v>1</v>
      </c>
      <c r="I259" s="14">
        <v>239740</v>
      </c>
      <c r="J259" s="14">
        <v>0</v>
      </c>
      <c r="K259" s="14">
        <v>239740</v>
      </c>
      <c r="L259" s="14" t="s">
        <v>121</v>
      </c>
      <c r="M259" s="14" t="s">
        <v>3975</v>
      </c>
      <c r="N259" s="14" t="s">
        <v>1310</v>
      </c>
      <c r="O259" s="14" t="str">
        <f>IFERROR(INDEX(Cleaned_Products!$C$2:$C$61,MATCH(F259,Cleaned_Products!$A$2:$A$61,0)),"Unknown")</f>
        <v>Rings</v>
      </c>
      <c r="P259" s="14" t="str">
        <f>IFERROR(INDEX(Cleaned_Products!$D$2:$D$61,MATCH(F259,Cleaned_Products!$A$2:$A$61,0)),"Unknown")</f>
        <v>Platinum</v>
      </c>
    </row>
    <row r="260" spans="1:16" x14ac:dyDescent="0.35">
      <c r="A260" s="14" t="s">
        <v>1311</v>
      </c>
      <c r="B260" s="21">
        <v>45382</v>
      </c>
      <c r="C260" s="14" t="s">
        <v>3985</v>
      </c>
      <c r="D260" s="14">
        <v>2024</v>
      </c>
      <c r="E260" s="14" t="s">
        <v>804</v>
      </c>
      <c r="F260" s="14" t="s">
        <v>167</v>
      </c>
      <c r="G260" s="14" t="s">
        <v>113</v>
      </c>
      <c r="H260" s="14">
        <v>2</v>
      </c>
      <c r="I260" s="14">
        <v>171420</v>
      </c>
      <c r="J260" s="14">
        <v>10</v>
      </c>
      <c r="K260" s="14">
        <v>308556</v>
      </c>
      <c r="L260" s="14" t="s">
        <v>3979</v>
      </c>
      <c r="M260" s="14" t="s">
        <v>3980</v>
      </c>
      <c r="N260" s="14" t="s">
        <v>1313</v>
      </c>
      <c r="O260" s="14" t="str">
        <f>IFERROR(INDEX(Cleaned_Products!$C$2:$C$61,MATCH(F260,Cleaned_Products!$A$2:$A$61,0)),"Unknown")</f>
        <v>Nose Pins</v>
      </c>
      <c r="P260" s="14" t="str">
        <f>IFERROR(INDEX(Cleaned_Products!$D$2:$D$61,MATCH(F260,Cleaned_Products!$A$2:$A$61,0)),"Unknown")</f>
        <v>Rose Gold</v>
      </c>
    </row>
    <row r="261" spans="1:16" x14ac:dyDescent="0.35">
      <c r="A261" s="14" t="s">
        <v>1317</v>
      </c>
      <c r="B261" s="21">
        <v>45752</v>
      </c>
      <c r="C261" s="14" t="s">
        <v>4006</v>
      </c>
      <c r="D261" s="14">
        <v>2025</v>
      </c>
      <c r="E261" s="14" t="s">
        <v>187</v>
      </c>
      <c r="F261" s="14" t="s">
        <v>192</v>
      </c>
      <c r="G261" s="14" t="s">
        <v>72</v>
      </c>
      <c r="H261" s="14">
        <v>1</v>
      </c>
      <c r="I261" s="14">
        <v>115780</v>
      </c>
      <c r="J261" s="14">
        <v>0</v>
      </c>
      <c r="K261" s="14">
        <v>115780</v>
      </c>
      <c r="L261" s="14" t="s">
        <v>3974</v>
      </c>
      <c r="M261" s="14" t="s">
        <v>3980</v>
      </c>
      <c r="N261" s="14" t="s">
        <v>3983</v>
      </c>
      <c r="O261" s="14" t="str">
        <f>IFERROR(INDEX(Cleaned_Products!$C$2:$C$61,MATCH(F261,Cleaned_Products!$A$2:$A$61,0)),"Unknown")</f>
        <v>Bangles</v>
      </c>
      <c r="P261" s="14" t="str">
        <f>IFERROR(INDEX(Cleaned_Products!$D$2:$D$61,MATCH(F261,Cleaned_Products!$A$2:$A$61,0)),"Unknown")</f>
        <v>Silver</v>
      </c>
    </row>
    <row r="262" spans="1:16" x14ac:dyDescent="0.35">
      <c r="A262" s="14" t="s">
        <v>1319</v>
      </c>
      <c r="B262" s="21">
        <v>45253</v>
      </c>
      <c r="C262" s="14" t="s">
        <v>3978</v>
      </c>
      <c r="D262" s="14">
        <v>2023</v>
      </c>
      <c r="E262" s="14" t="s">
        <v>1321</v>
      </c>
      <c r="F262" s="14" t="s">
        <v>55</v>
      </c>
      <c r="G262" s="14" t="s">
        <v>101</v>
      </c>
      <c r="H262" s="14">
        <v>1</v>
      </c>
      <c r="I262" s="14">
        <v>20130</v>
      </c>
      <c r="J262" s="14">
        <v>15</v>
      </c>
      <c r="K262" s="14">
        <v>17110.5</v>
      </c>
      <c r="L262" s="14" t="s">
        <v>3979</v>
      </c>
      <c r="M262" s="14" t="s">
        <v>3975</v>
      </c>
      <c r="N262" s="14" t="s">
        <v>1322</v>
      </c>
      <c r="O262" s="14" t="str">
        <f>IFERROR(INDEX(Cleaned_Products!$C$2:$C$61,MATCH(F262,Cleaned_Products!$A$2:$A$61,0)),"Unknown")</f>
        <v>Anklets</v>
      </c>
      <c r="P262" s="14" t="str">
        <f>IFERROR(INDEX(Cleaned_Products!$D$2:$D$61,MATCH(F262,Cleaned_Products!$A$2:$A$61,0)),"Unknown")</f>
        <v>Gold</v>
      </c>
    </row>
    <row r="263" spans="1:16" x14ac:dyDescent="0.35">
      <c r="A263" s="14" t="s">
        <v>1323</v>
      </c>
      <c r="B263" s="21">
        <v>45509</v>
      </c>
      <c r="C263" s="14" t="s">
        <v>3992</v>
      </c>
      <c r="D263" s="14">
        <v>2024</v>
      </c>
      <c r="E263" s="14" t="s">
        <v>637</v>
      </c>
      <c r="F263" s="14" t="s">
        <v>88</v>
      </c>
      <c r="G263" s="14" t="s">
        <v>56</v>
      </c>
      <c r="H263" s="14">
        <v>2</v>
      </c>
      <c r="I263" s="14">
        <v>88180</v>
      </c>
      <c r="J263" s="14">
        <v>15</v>
      </c>
      <c r="K263" s="14">
        <v>149906</v>
      </c>
      <c r="L263" s="14" t="s">
        <v>3979</v>
      </c>
      <c r="M263" s="14" t="s">
        <v>3975</v>
      </c>
      <c r="N263" s="14" t="s">
        <v>1325</v>
      </c>
      <c r="O263" s="14" t="str">
        <f>IFERROR(INDEX(Cleaned_Products!$C$2:$C$61,MATCH(F263,Cleaned_Products!$A$2:$A$61,0)),"Unknown")</f>
        <v>Necklaces</v>
      </c>
      <c r="P263" s="14" t="str">
        <f>IFERROR(INDEX(Cleaned_Products!$D$2:$D$61,MATCH(F263,Cleaned_Products!$A$2:$A$61,0)),"Unknown")</f>
        <v>Gold</v>
      </c>
    </row>
    <row r="264" spans="1:16" x14ac:dyDescent="0.35">
      <c r="A264" s="14" t="s">
        <v>1326</v>
      </c>
      <c r="B264" s="21">
        <v>45060</v>
      </c>
      <c r="C264" s="14" t="s">
        <v>3973</v>
      </c>
      <c r="D264" s="14">
        <v>2023</v>
      </c>
      <c r="E264" s="14" t="s">
        <v>62</v>
      </c>
      <c r="F264" s="14" t="s">
        <v>231</v>
      </c>
      <c r="G264" s="14" t="s">
        <v>126</v>
      </c>
      <c r="H264" s="14">
        <v>2</v>
      </c>
      <c r="I264" s="14">
        <v>182770</v>
      </c>
      <c r="J264" s="14">
        <v>5</v>
      </c>
      <c r="K264" s="14">
        <v>347263</v>
      </c>
      <c r="L264" s="14" t="s">
        <v>3974</v>
      </c>
      <c r="M264" s="14" t="s">
        <v>3980</v>
      </c>
      <c r="N264" s="14" t="s">
        <v>1329</v>
      </c>
      <c r="O264" s="14" t="str">
        <f>IFERROR(INDEX(Cleaned_Products!$C$2:$C$61,MATCH(F264,Cleaned_Products!$A$2:$A$61,0)),"Unknown")</f>
        <v>Nose Pins</v>
      </c>
      <c r="P264" s="14" t="str">
        <f>IFERROR(INDEX(Cleaned_Products!$D$2:$D$61,MATCH(F264,Cleaned_Products!$A$2:$A$61,0)),"Unknown")</f>
        <v>Platinum</v>
      </c>
    </row>
    <row r="265" spans="1:16" x14ac:dyDescent="0.35">
      <c r="A265" s="14" t="s">
        <v>1330</v>
      </c>
      <c r="B265" s="21">
        <v>45503</v>
      </c>
      <c r="C265" s="14" t="s">
        <v>4009</v>
      </c>
      <c r="D265" s="14">
        <v>2024</v>
      </c>
      <c r="E265" s="14" t="s">
        <v>1332</v>
      </c>
      <c r="F265" s="14" t="s">
        <v>259</v>
      </c>
      <c r="G265" s="14" t="s">
        <v>72</v>
      </c>
      <c r="H265" s="14">
        <v>2</v>
      </c>
      <c r="I265" s="14">
        <v>73510</v>
      </c>
      <c r="J265" s="14">
        <v>10</v>
      </c>
      <c r="K265" s="14">
        <v>132318</v>
      </c>
      <c r="L265" s="14" t="s">
        <v>3977</v>
      </c>
      <c r="M265" s="14" t="s">
        <v>3975</v>
      </c>
      <c r="N265" s="14" t="s">
        <v>1334</v>
      </c>
      <c r="O265" s="14" t="str">
        <f>IFERROR(INDEX(Cleaned_Products!$C$2:$C$61,MATCH(F265,Cleaned_Products!$A$2:$A$61,0)),"Unknown")</f>
        <v>Pendants</v>
      </c>
      <c r="P265" s="14" t="str">
        <f>IFERROR(INDEX(Cleaned_Products!$D$2:$D$61,MATCH(F265,Cleaned_Products!$A$2:$A$61,0)),"Unknown")</f>
        <v>Platinum</v>
      </c>
    </row>
    <row r="266" spans="1:16" x14ac:dyDescent="0.35">
      <c r="A266" s="14" t="s">
        <v>1338</v>
      </c>
      <c r="B266" s="21">
        <v>45852</v>
      </c>
      <c r="C266" s="14" t="s">
        <v>3991</v>
      </c>
      <c r="D266" s="14">
        <v>2025</v>
      </c>
      <c r="E266" s="14" t="s">
        <v>319</v>
      </c>
      <c r="F266" s="14" t="s">
        <v>249</v>
      </c>
      <c r="G266" s="14" t="s">
        <v>56</v>
      </c>
      <c r="H266" s="14">
        <v>2</v>
      </c>
      <c r="I266" s="14">
        <v>46630</v>
      </c>
      <c r="J266" s="14">
        <v>10</v>
      </c>
      <c r="K266" s="14">
        <v>83934</v>
      </c>
      <c r="L266" s="14" t="s">
        <v>95</v>
      </c>
      <c r="M266" s="14" t="s">
        <v>3980</v>
      </c>
      <c r="N266" s="14" t="s">
        <v>3983</v>
      </c>
      <c r="O266" s="14" t="str">
        <f>IFERROR(INDEX(Cleaned_Products!$C$2:$C$61,MATCH(F266,Cleaned_Products!$A$2:$A$61,0)),"Unknown")</f>
        <v>Pendants</v>
      </c>
      <c r="P266" s="14" t="str">
        <f>IFERROR(INDEX(Cleaned_Products!$D$2:$D$61,MATCH(F266,Cleaned_Products!$A$2:$A$61,0)),"Unknown")</f>
        <v>Rose Gold</v>
      </c>
    </row>
    <row r="267" spans="1:16" x14ac:dyDescent="0.35">
      <c r="A267" s="14" t="s">
        <v>1340</v>
      </c>
      <c r="B267" s="21">
        <v>44940</v>
      </c>
      <c r="C267" s="14" t="s">
        <v>3987</v>
      </c>
      <c r="D267" s="14">
        <v>2023</v>
      </c>
      <c r="E267" s="14" t="s">
        <v>498</v>
      </c>
      <c r="F267" s="14" t="s">
        <v>329</v>
      </c>
      <c r="G267" s="14" t="s">
        <v>108</v>
      </c>
      <c r="H267" s="14">
        <v>1</v>
      </c>
      <c r="I267" s="14">
        <v>47670</v>
      </c>
      <c r="J267" s="14">
        <v>0</v>
      </c>
      <c r="K267" s="14">
        <v>47670</v>
      </c>
      <c r="L267" s="14" t="s">
        <v>121</v>
      </c>
      <c r="M267" s="14" t="s">
        <v>3975</v>
      </c>
      <c r="N267" s="14" t="s">
        <v>1343</v>
      </c>
      <c r="O267" s="14" t="str">
        <f>IFERROR(INDEX(Cleaned_Products!$C$2:$C$61,MATCH(F267,Cleaned_Products!$A$2:$A$61,0)),"Unknown")</f>
        <v>Nose Pins</v>
      </c>
      <c r="P267" s="14" t="str">
        <f>IFERROR(INDEX(Cleaned_Products!$D$2:$D$61,MATCH(F267,Cleaned_Products!$A$2:$A$61,0)),"Unknown")</f>
        <v>Gold</v>
      </c>
    </row>
    <row r="268" spans="1:16" x14ac:dyDescent="0.35">
      <c r="A268" s="14" t="s">
        <v>1344</v>
      </c>
      <c r="B268" s="21">
        <v>45712</v>
      </c>
      <c r="C268" s="14" t="s">
        <v>3989</v>
      </c>
      <c r="D268" s="14">
        <v>2025</v>
      </c>
      <c r="E268" s="14" t="s">
        <v>549</v>
      </c>
      <c r="F268" s="14" t="s">
        <v>1309</v>
      </c>
      <c r="G268" s="14" t="s">
        <v>101</v>
      </c>
      <c r="H268" s="14">
        <v>2</v>
      </c>
      <c r="I268" s="14">
        <v>91790</v>
      </c>
      <c r="J268" s="14">
        <v>10</v>
      </c>
      <c r="K268" s="14">
        <v>165222</v>
      </c>
      <c r="L268" s="14" t="s">
        <v>3977</v>
      </c>
      <c r="M268" s="14" t="s">
        <v>3980</v>
      </c>
      <c r="N268" s="14" t="s">
        <v>3983</v>
      </c>
      <c r="O268" s="14" t="str">
        <f>IFERROR(INDEX(Cleaned_Products!$C$2:$C$61,MATCH(F268,Cleaned_Products!$A$2:$A$61,0)),"Unknown")</f>
        <v>Rings</v>
      </c>
      <c r="P268" s="14" t="str">
        <f>IFERROR(INDEX(Cleaned_Products!$D$2:$D$61,MATCH(F268,Cleaned_Products!$A$2:$A$61,0)),"Unknown")</f>
        <v>Platinum</v>
      </c>
    </row>
    <row r="269" spans="1:16" x14ac:dyDescent="0.35">
      <c r="A269" s="14" t="s">
        <v>1347</v>
      </c>
      <c r="B269" s="21">
        <v>45056</v>
      </c>
      <c r="C269" s="14" t="s">
        <v>3973</v>
      </c>
      <c r="D269" s="14">
        <v>2023</v>
      </c>
      <c r="E269" s="14" t="s">
        <v>3995</v>
      </c>
      <c r="F269" s="14" t="s">
        <v>310</v>
      </c>
      <c r="G269" s="14" t="s">
        <v>126</v>
      </c>
      <c r="H269" s="14">
        <v>3</v>
      </c>
      <c r="I269" s="14">
        <v>232000</v>
      </c>
      <c r="J269" s="14">
        <v>10</v>
      </c>
      <c r="K269" s="14">
        <v>626400</v>
      </c>
      <c r="L269" s="14" t="s">
        <v>95</v>
      </c>
      <c r="M269" s="14" t="s">
        <v>3975</v>
      </c>
      <c r="N269" s="14" t="s">
        <v>1350</v>
      </c>
      <c r="O269" s="14" t="str">
        <f>IFERROR(INDEX(Cleaned_Products!$C$2:$C$61,MATCH(F269,Cleaned_Products!$A$2:$A$61,0)),"Unknown")</f>
        <v>Pendants</v>
      </c>
      <c r="P269" s="14" t="str">
        <f>IFERROR(INDEX(Cleaned_Products!$D$2:$D$61,MATCH(F269,Cleaned_Products!$A$2:$A$61,0)),"Unknown")</f>
        <v>Gold</v>
      </c>
    </row>
    <row r="270" spans="1:16" x14ac:dyDescent="0.35">
      <c r="A270" s="14" t="s">
        <v>1354</v>
      </c>
      <c r="B270" s="21">
        <v>45105</v>
      </c>
      <c r="C270" s="14" t="s">
        <v>3994</v>
      </c>
      <c r="D270" s="14">
        <v>2023</v>
      </c>
      <c r="E270" s="14" t="s">
        <v>93</v>
      </c>
      <c r="F270" s="14" t="s">
        <v>463</v>
      </c>
      <c r="G270" s="14" t="s">
        <v>64</v>
      </c>
      <c r="H270" s="14">
        <v>3</v>
      </c>
      <c r="I270" s="14">
        <v>192760</v>
      </c>
      <c r="J270" s="14">
        <v>0</v>
      </c>
      <c r="K270" s="14">
        <v>578280</v>
      </c>
      <c r="L270" s="14" t="s">
        <v>73</v>
      </c>
      <c r="M270" s="14" t="s">
        <v>3975</v>
      </c>
      <c r="N270" s="14" t="s">
        <v>1357</v>
      </c>
      <c r="O270" s="14" t="str">
        <f>IFERROR(INDEX(Cleaned_Products!$C$2:$C$61,MATCH(F270,Cleaned_Products!$A$2:$A$61,0)),"Unknown")</f>
        <v>Bracelets</v>
      </c>
      <c r="P270" s="14" t="str">
        <f>IFERROR(INDEX(Cleaned_Products!$D$2:$D$61,MATCH(F270,Cleaned_Products!$A$2:$A$61,0)),"Unknown")</f>
        <v>Gold</v>
      </c>
    </row>
    <row r="271" spans="1:16" x14ac:dyDescent="0.35">
      <c r="A271" s="14" t="s">
        <v>1358</v>
      </c>
      <c r="B271" s="21">
        <v>45463</v>
      </c>
      <c r="C271" s="14" t="s">
        <v>3984</v>
      </c>
      <c r="D271" s="14">
        <v>2024</v>
      </c>
      <c r="E271" s="14" t="s">
        <v>333</v>
      </c>
      <c r="F271" s="14" t="s">
        <v>315</v>
      </c>
      <c r="G271" s="14" t="s">
        <v>101</v>
      </c>
      <c r="H271" s="14">
        <v>3</v>
      </c>
      <c r="I271" s="14">
        <v>127590</v>
      </c>
      <c r="J271" s="14">
        <v>0</v>
      </c>
      <c r="K271" s="14">
        <v>382770</v>
      </c>
      <c r="L271" s="14" t="s">
        <v>73</v>
      </c>
      <c r="M271" s="14" t="s">
        <v>3975</v>
      </c>
      <c r="N271" s="14" t="s">
        <v>1361</v>
      </c>
      <c r="O271" s="14" t="str">
        <f>IFERROR(INDEX(Cleaned_Products!$C$2:$C$61,MATCH(F271,Cleaned_Products!$A$2:$A$61,0)),"Unknown")</f>
        <v>Bracelets</v>
      </c>
      <c r="P271" s="14" t="str">
        <f>IFERROR(INDEX(Cleaned_Products!$D$2:$D$61,MATCH(F271,Cleaned_Products!$A$2:$A$61,0)),"Unknown")</f>
        <v>Rose Gold</v>
      </c>
    </row>
    <row r="272" spans="1:16" x14ac:dyDescent="0.35">
      <c r="A272" s="14" t="s">
        <v>1362</v>
      </c>
      <c r="B272" s="21">
        <v>45137</v>
      </c>
      <c r="C272" s="14" t="s">
        <v>3988</v>
      </c>
      <c r="D272" s="14">
        <v>2023</v>
      </c>
      <c r="E272" s="14" t="s">
        <v>477</v>
      </c>
      <c r="F272" s="14" t="s">
        <v>249</v>
      </c>
      <c r="G272" s="14" t="s">
        <v>126</v>
      </c>
      <c r="H272" s="14">
        <v>2</v>
      </c>
      <c r="I272" s="14">
        <v>153580</v>
      </c>
      <c r="J272" s="14">
        <v>10</v>
      </c>
      <c r="K272" s="14">
        <v>276444</v>
      </c>
      <c r="L272" s="14" t="s">
        <v>121</v>
      </c>
      <c r="M272" s="14" t="s">
        <v>3980</v>
      </c>
      <c r="N272" s="14" t="s">
        <v>1363</v>
      </c>
      <c r="O272" s="14" t="str">
        <f>IFERROR(INDEX(Cleaned_Products!$C$2:$C$61,MATCH(F272,Cleaned_Products!$A$2:$A$61,0)),"Unknown")</f>
        <v>Pendants</v>
      </c>
      <c r="P272" s="14" t="str">
        <f>IFERROR(INDEX(Cleaned_Products!$D$2:$D$61,MATCH(F272,Cleaned_Products!$A$2:$A$61,0)),"Unknown")</f>
        <v>Rose Gold</v>
      </c>
    </row>
    <row r="273" spans="1:16" x14ac:dyDescent="0.35">
      <c r="A273" s="14" t="s">
        <v>1364</v>
      </c>
      <c r="B273" s="21">
        <v>45450</v>
      </c>
      <c r="C273" s="14" t="s">
        <v>3984</v>
      </c>
      <c r="D273" s="14">
        <v>2024</v>
      </c>
      <c r="E273" s="14" t="s">
        <v>171</v>
      </c>
      <c r="F273" s="14" t="s">
        <v>310</v>
      </c>
      <c r="G273" s="14" t="s">
        <v>113</v>
      </c>
      <c r="H273" s="14">
        <v>2</v>
      </c>
      <c r="I273" s="14">
        <v>9220</v>
      </c>
      <c r="J273" s="14">
        <v>0</v>
      </c>
      <c r="K273" s="14">
        <v>18440</v>
      </c>
      <c r="L273" s="14" t="s">
        <v>3977</v>
      </c>
      <c r="M273" s="14" t="s">
        <v>3975</v>
      </c>
      <c r="N273" s="14" t="s">
        <v>1365</v>
      </c>
      <c r="O273" s="14" t="str">
        <f>IFERROR(INDEX(Cleaned_Products!$C$2:$C$61,MATCH(F273,Cleaned_Products!$A$2:$A$61,0)),"Unknown")</f>
        <v>Pendants</v>
      </c>
      <c r="P273" s="14" t="str">
        <f>IFERROR(INDEX(Cleaned_Products!$D$2:$D$61,MATCH(F273,Cleaned_Products!$A$2:$A$61,0)),"Unknown")</f>
        <v>Gold</v>
      </c>
    </row>
    <row r="274" spans="1:16" x14ac:dyDescent="0.35">
      <c r="A274" s="14" t="s">
        <v>1366</v>
      </c>
      <c r="B274" s="21">
        <v>45274</v>
      </c>
      <c r="C274" s="14" t="s">
        <v>4008</v>
      </c>
      <c r="D274" s="14">
        <v>2023</v>
      </c>
      <c r="E274" s="14" t="s">
        <v>504</v>
      </c>
      <c r="F274" s="14" t="s">
        <v>329</v>
      </c>
      <c r="G274" s="14" t="s">
        <v>72</v>
      </c>
      <c r="H274" s="14">
        <v>2</v>
      </c>
      <c r="I274" s="14">
        <v>84220</v>
      </c>
      <c r="J274" s="14">
        <v>0</v>
      </c>
      <c r="K274" s="14">
        <v>168440</v>
      </c>
      <c r="L274" s="14" t="s">
        <v>121</v>
      </c>
      <c r="M274" s="14" t="s">
        <v>3975</v>
      </c>
      <c r="N274" s="14" t="s">
        <v>1369</v>
      </c>
      <c r="O274" s="14" t="str">
        <f>IFERROR(INDEX(Cleaned_Products!$C$2:$C$61,MATCH(F274,Cleaned_Products!$A$2:$A$61,0)),"Unknown")</f>
        <v>Nose Pins</v>
      </c>
      <c r="P274" s="14" t="str">
        <f>IFERROR(INDEX(Cleaned_Products!$D$2:$D$61,MATCH(F274,Cleaned_Products!$A$2:$A$61,0)),"Unknown")</f>
        <v>Gold</v>
      </c>
    </row>
    <row r="275" spans="1:16" x14ac:dyDescent="0.35">
      <c r="A275" s="14" t="s">
        <v>1370</v>
      </c>
      <c r="B275" s="21">
        <v>45168</v>
      </c>
      <c r="C275" s="14" t="s">
        <v>3998</v>
      </c>
      <c r="D275" s="14">
        <v>2023</v>
      </c>
      <c r="E275" s="14" t="s">
        <v>689</v>
      </c>
      <c r="F275" s="14" t="s">
        <v>948</v>
      </c>
      <c r="G275" s="14" t="s">
        <v>113</v>
      </c>
      <c r="H275" s="14">
        <v>2</v>
      </c>
      <c r="I275" s="14">
        <v>220150</v>
      </c>
      <c r="J275" s="14">
        <v>0</v>
      </c>
      <c r="K275" s="14">
        <v>440300</v>
      </c>
      <c r="L275" s="14" t="s">
        <v>95</v>
      </c>
      <c r="M275" s="14" t="s">
        <v>3980</v>
      </c>
      <c r="N275" s="14" t="s">
        <v>3983</v>
      </c>
      <c r="O275" s="14" t="str">
        <f>IFERROR(INDEX(Cleaned_Products!$C$2:$C$61,MATCH(F275,Cleaned_Products!$A$2:$A$61,0)),"Unknown")</f>
        <v>Anklets</v>
      </c>
      <c r="P275" s="14" t="str">
        <f>IFERROR(INDEX(Cleaned_Products!$D$2:$D$61,MATCH(F275,Cleaned_Products!$A$2:$A$61,0)),"Unknown")</f>
        <v>Diamond</v>
      </c>
    </row>
    <row r="276" spans="1:16" x14ac:dyDescent="0.35">
      <c r="A276" s="14" t="s">
        <v>1383</v>
      </c>
      <c r="B276" s="21">
        <v>45288</v>
      </c>
      <c r="C276" s="14" t="s">
        <v>4008</v>
      </c>
      <c r="D276" s="14">
        <v>2023</v>
      </c>
      <c r="E276" s="14" t="s">
        <v>3995</v>
      </c>
      <c r="F276" s="14" t="s">
        <v>88</v>
      </c>
      <c r="G276" s="14" t="s">
        <v>72</v>
      </c>
      <c r="H276" s="14">
        <v>1</v>
      </c>
      <c r="I276" s="14">
        <v>210430</v>
      </c>
      <c r="J276" s="14">
        <v>0</v>
      </c>
      <c r="K276" s="14">
        <v>210430</v>
      </c>
      <c r="L276" s="14" t="s">
        <v>3979</v>
      </c>
      <c r="M276" s="14" t="s">
        <v>3975</v>
      </c>
      <c r="N276" s="14" t="s">
        <v>1385</v>
      </c>
      <c r="O276" s="14" t="str">
        <f>IFERROR(INDEX(Cleaned_Products!$C$2:$C$61,MATCH(F276,Cleaned_Products!$A$2:$A$61,0)),"Unknown")</f>
        <v>Necklaces</v>
      </c>
      <c r="P276" s="14" t="str">
        <f>IFERROR(INDEX(Cleaned_Products!$D$2:$D$61,MATCH(F276,Cleaned_Products!$A$2:$A$61,0)),"Unknown")</f>
        <v>Gold</v>
      </c>
    </row>
    <row r="277" spans="1:16" x14ac:dyDescent="0.35">
      <c r="A277" s="14" t="s">
        <v>1386</v>
      </c>
      <c r="B277" s="21">
        <v>45432</v>
      </c>
      <c r="C277" s="14" t="s">
        <v>4007</v>
      </c>
      <c r="D277" s="14">
        <v>2024</v>
      </c>
      <c r="E277" s="14" t="s">
        <v>674</v>
      </c>
      <c r="F277" s="14" t="s">
        <v>576</v>
      </c>
      <c r="G277" s="14" t="s">
        <v>101</v>
      </c>
      <c r="H277" s="14">
        <v>2</v>
      </c>
      <c r="I277" s="14">
        <v>183980</v>
      </c>
      <c r="J277" s="14">
        <v>10</v>
      </c>
      <c r="K277" s="14">
        <v>331164</v>
      </c>
      <c r="L277" s="14" t="s">
        <v>3979</v>
      </c>
      <c r="M277" s="14" t="s">
        <v>3980</v>
      </c>
      <c r="N277" s="14" t="s">
        <v>3983</v>
      </c>
      <c r="O277" s="14" t="str">
        <f>IFERROR(INDEX(Cleaned_Products!$C$2:$C$61,MATCH(F277,Cleaned_Products!$A$2:$A$61,0)),"Unknown")</f>
        <v>Bangles</v>
      </c>
      <c r="P277" s="14" t="str">
        <f>IFERROR(INDEX(Cleaned_Products!$D$2:$D$61,MATCH(F277,Cleaned_Products!$A$2:$A$61,0)),"Unknown")</f>
        <v>Diamond</v>
      </c>
    </row>
    <row r="278" spans="1:16" x14ac:dyDescent="0.35">
      <c r="A278" s="14" t="s">
        <v>1389</v>
      </c>
      <c r="B278" s="21">
        <v>45040</v>
      </c>
      <c r="C278" s="14" t="s">
        <v>4010</v>
      </c>
      <c r="D278" s="14">
        <v>2023</v>
      </c>
      <c r="E278" s="14" t="s">
        <v>187</v>
      </c>
      <c r="F278" s="14" t="s">
        <v>684</v>
      </c>
      <c r="G278" s="14" t="s">
        <v>64</v>
      </c>
      <c r="H278" s="14">
        <v>2</v>
      </c>
      <c r="I278" s="14">
        <v>176320</v>
      </c>
      <c r="J278" s="14">
        <v>10</v>
      </c>
      <c r="K278" s="14">
        <v>317376</v>
      </c>
      <c r="L278" s="14" t="s">
        <v>3979</v>
      </c>
      <c r="M278" s="14" t="s">
        <v>3980</v>
      </c>
      <c r="N278" s="14" t="s">
        <v>3983</v>
      </c>
      <c r="O278" s="14" t="str">
        <f>IFERROR(INDEX(Cleaned_Products!$C$2:$C$61,MATCH(F278,Cleaned_Products!$A$2:$A$61,0)),"Unknown")</f>
        <v>Nose Pins</v>
      </c>
      <c r="P278" s="14" t="str">
        <f>IFERROR(INDEX(Cleaned_Products!$D$2:$D$61,MATCH(F278,Cleaned_Products!$A$2:$A$61,0)),"Unknown")</f>
        <v>Silver</v>
      </c>
    </row>
    <row r="279" spans="1:16" x14ac:dyDescent="0.35">
      <c r="A279" s="14" t="s">
        <v>1394</v>
      </c>
      <c r="B279" s="21">
        <v>45286</v>
      </c>
      <c r="C279" s="14" t="s">
        <v>4008</v>
      </c>
      <c r="D279" s="14">
        <v>2023</v>
      </c>
      <c r="E279" s="14" t="s">
        <v>898</v>
      </c>
      <c r="F279" s="14" t="s">
        <v>192</v>
      </c>
      <c r="G279" s="14" t="s">
        <v>108</v>
      </c>
      <c r="H279" s="14">
        <v>1</v>
      </c>
      <c r="I279" s="14">
        <v>239990</v>
      </c>
      <c r="J279" s="14">
        <v>0</v>
      </c>
      <c r="K279" s="14">
        <v>239990</v>
      </c>
      <c r="L279" s="14" t="s">
        <v>121</v>
      </c>
      <c r="M279" s="14" t="s">
        <v>3975</v>
      </c>
      <c r="N279" s="14" t="s">
        <v>1397</v>
      </c>
      <c r="O279" s="14" t="str">
        <f>IFERROR(INDEX(Cleaned_Products!$C$2:$C$61,MATCH(F279,Cleaned_Products!$A$2:$A$61,0)),"Unknown")</f>
        <v>Bangles</v>
      </c>
      <c r="P279" s="14" t="str">
        <f>IFERROR(INDEX(Cleaned_Products!$D$2:$D$61,MATCH(F279,Cleaned_Products!$A$2:$A$61,0)),"Unknown")</f>
        <v>Silver</v>
      </c>
    </row>
    <row r="280" spans="1:16" x14ac:dyDescent="0.35">
      <c r="A280" s="14" t="s">
        <v>1401</v>
      </c>
      <c r="B280" s="21">
        <v>45093</v>
      </c>
      <c r="C280" s="14" t="s">
        <v>3994</v>
      </c>
      <c r="D280" s="14">
        <v>2023</v>
      </c>
      <c r="E280" s="14" t="s">
        <v>1336</v>
      </c>
      <c r="F280" s="14" t="s">
        <v>167</v>
      </c>
      <c r="G280" s="14" t="s">
        <v>126</v>
      </c>
      <c r="H280" s="14">
        <v>1</v>
      </c>
      <c r="I280" s="14">
        <v>227300</v>
      </c>
      <c r="J280" s="14">
        <v>15</v>
      </c>
      <c r="K280" s="14">
        <v>193205</v>
      </c>
      <c r="L280" s="14" t="s">
        <v>3979</v>
      </c>
      <c r="M280" s="14" t="s">
        <v>3975</v>
      </c>
      <c r="N280" s="14" t="s">
        <v>1404</v>
      </c>
      <c r="O280" s="14" t="str">
        <f>IFERROR(INDEX(Cleaned_Products!$C$2:$C$61,MATCH(F280,Cleaned_Products!$A$2:$A$61,0)),"Unknown")</f>
        <v>Nose Pins</v>
      </c>
      <c r="P280" s="14" t="str">
        <f>IFERROR(INDEX(Cleaned_Products!$D$2:$D$61,MATCH(F280,Cleaned_Products!$A$2:$A$61,0)),"Unknown")</f>
        <v>Rose Gold</v>
      </c>
    </row>
    <row r="281" spans="1:16" x14ac:dyDescent="0.35">
      <c r="A281" s="14" t="s">
        <v>1405</v>
      </c>
      <c r="B281" s="21">
        <v>45326</v>
      </c>
      <c r="C281" s="14" t="s">
        <v>3999</v>
      </c>
      <c r="D281" s="14">
        <v>2024</v>
      </c>
      <c r="E281" s="14" t="s">
        <v>87</v>
      </c>
      <c r="F281" s="14" t="s">
        <v>435</v>
      </c>
      <c r="G281" s="14" t="s">
        <v>101</v>
      </c>
      <c r="H281" s="14">
        <v>2</v>
      </c>
      <c r="I281" s="14">
        <v>164550</v>
      </c>
      <c r="J281" s="14">
        <v>15</v>
      </c>
      <c r="K281" s="14">
        <v>279735</v>
      </c>
      <c r="L281" s="14" t="s">
        <v>3979</v>
      </c>
      <c r="M281" s="14" t="s">
        <v>3980</v>
      </c>
      <c r="N281" s="14" t="s">
        <v>3983</v>
      </c>
      <c r="O281" s="14" t="str">
        <f>IFERROR(INDEX(Cleaned_Products!$C$2:$C$61,MATCH(F281,Cleaned_Products!$A$2:$A$61,0)),"Unknown")</f>
        <v>Bangles</v>
      </c>
      <c r="P281" s="14" t="str">
        <f>IFERROR(INDEX(Cleaned_Products!$D$2:$D$61,MATCH(F281,Cleaned_Products!$A$2:$A$61,0)),"Unknown")</f>
        <v>Platinum</v>
      </c>
    </row>
    <row r="282" spans="1:16" x14ac:dyDescent="0.35">
      <c r="A282" s="14" t="s">
        <v>1411</v>
      </c>
      <c r="B282" s="21">
        <v>45702</v>
      </c>
      <c r="C282" s="14" t="s">
        <v>3989</v>
      </c>
      <c r="D282" s="14">
        <v>2025</v>
      </c>
      <c r="E282" s="14" t="s">
        <v>220</v>
      </c>
      <c r="F282" s="14" t="s">
        <v>445</v>
      </c>
      <c r="G282" s="14" t="s">
        <v>64</v>
      </c>
      <c r="H282" s="14">
        <v>3</v>
      </c>
      <c r="I282" s="14">
        <v>197690</v>
      </c>
      <c r="J282" s="14">
        <v>15</v>
      </c>
      <c r="K282" s="14">
        <v>504109.5</v>
      </c>
      <c r="L282" s="14" t="s">
        <v>95</v>
      </c>
      <c r="M282" s="14" t="s">
        <v>3980</v>
      </c>
      <c r="N282" s="14" t="s">
        <v>1413</v>
      </c>
      <c r="O282" s="14" t="str">
        <f>IFERROR(INDEX(Cleaned_Products!$C$2:$C$61,MATCH(F282,Cleaned_Products!$A$2:$A$61,0)),"Unknown")</f>
        <v>Bangles</v>
      </c>
      <c r="P282" s="14" t="str">
        <f>IFERROR(INDEX(Cleaned_Products!$D$2:$D$61,MATCH(F282,Cleaned_Products!$A$2:$A$61,0)),"Unknown")</f>
        <v>Diamond</v>
      </c>
    </row>
    <row r="283" spans="1:16" x14ac:dyDescent="0.35">
      <c r="A283" s="14" t="s">
        <v>1414</v>
      </c>
      <c r="B283" s="21">
        <v>45742</v>
      </c>
      <c r="C283" s="14" t="s">
        <v>4002</v>
      </c>
      <c r="D283" s="14">
        <v>2025</v>
      </c>
      <c r="E283" s="14" t="s">
        <v>1301</v>
      </c>
      <c r="F283" s="14" t="s">
        <v>342</v>
      </c>
      <c r="G283" s="14" t="s">
        <v>80</v>
      </c>
      <c r="H283" s="14">
        <v>2</v>
      </c>
      <c r="I283" s="14">
        <v>135060</v>
      </c>
      <c r="J283" s="14">
        <v>0</v>
      </c>
      <c r="K283" s="14">
        <v>270120</v>
      </c>
      <c r="L283" s="14" t="s">
        <v>121</v>
      </c>
      <c r="M283" s="14" t="s">
        <v>3980</v>
      </c>
      <c r="N283" s="14" t="s">
        <v>3983</v>
      </c>
      <c r="O283" s="14" t="str">
        <f>IFERROR(INDEX(Cleaned_Products!$C$2:$C$61,MATCH(F283,Cleaned_Products!$A$2:$A$61,0)),"Unknown")</f>
        <v>Necklaces</v>
      </c>
      <c r="P283" s="14" t="str">
        <f>IFERROR(INDEX(Cleaned_Products!$D$2:$D$61,MATCH(F283,Cleaned_Products!$A$2:$A$61,0)),"Unknown")</f>
        <v>Diamond</v>
      </c>
    </row>
    <row r="284" spans="1:16" x14ac:dyDescent="0.35">
      <c r="A284" s="14" t="s">
        <v>1425</v>
      </c>
      <c r="B284" s="21">
        <v>45711</v>
      </c>
      <c r="C284" s="14" t="s">
        <v>3989</v>
      </c>
      <c r="D284" s="14">
        <v>2025</v>
      </c>
      <c r="E284" s="14" t="s">
        <v>491</v>
      </c>
      <c r="F284" s="14" t="s">
        <v>445</v>
      </c>
      <c r="G284" s="14" t="s">
        <v>72</v>
      </c>
      <c r="H284" s="14">
        <v>2</v>
      </c>
      <c r="I284" s="14">
        <v>50500</v>
      </c>
      <c r="J284" s="14">
        <v>0</v>
      </c>
      <c r="K284" s="14">
        <v>101000</v>
      </c>
      <c r="L284" s="14" t="s">
        <v>95</v>
      </c>
      <c r="M284" s="14" t="s">
        <v>3980</v>
      </c>
      <c r="N284" s="14" t="s">
        <v>1427</v>
      </c>
      <c r="O284" s="14" t="str">
        <f>IFERROR(INDEX(Cleaned_Products!$C$2:$C$61,MATCH(F284,Cleaned_Products!$A$2:$A$61,0)),"Unknown")</f>
        <v>Bangles</v>
      </c>
      <c r="P284" s="14" t="str">
        <f>IFERROR(INDEX(Cleaned_Products!$D$2:$D$61,MATCH(F284,Cleaned_Products!$A$2:$A$61,0)),"Unknown")</f>
        <v>Diamond</v>
      </c>
    </row>
    <row r="285" spans="1:16" x14ac:dyDescent="0.35">
      <c r="A285" s="14" t="s">
        <v>1428</v>
      </c>
      <c r="B285" s="21">
        <v>45865</v>
      </c>
      <c r="C285" s="14" t="s">
        <v>3991</v>
      </c>
      <c r="D285" s="14">
        <v>2025</v>
      </c>
      <c r="E285" s="14" t="s">
        <v>854</v>
      </c>
      <c r="F285" s="14" t="s">
        <v>278</v>
      </c>
      <c r="G285" s="14" t="s">
        <v>101</v>
      </c>
      <c r="H285" s="14">
        <v>1</v>
      </c>
      <c r="I285" s="14">
        <v>121960</v>
      </c>
      <c r="J285" s="14">
        <v>10</v>
      </c>
      <c r="K285" s="14">
        <v>109764</v>
      </c>
      <c r="L285" s="14" t="s">
        <v>121</v>
      </c>
      <c r="M285" s="14" t="s">
        <v>3975</v>
      </c>
      <c r="N285" s="14" t="s">
        <v>1431</v>
      </c>
      <c r="O285" s="14" t="str">
        <f>IFERROR(INDEX(Cleaned_Products!$C$2:$C$61,MATCH(F285,Cleaned_Products!$A$2:$A$61,0)),"Unknown")</f>
        <v>Earrings</v>
      </c>
      <c r="P285" s="14" t="str">
        <f>IFERROR(INDEX(Cleaned_Products!$D$2:$D$61,MATCH(F285,Cleaned_Products!$A$2:$A$61,0)),"Unknown")</f>
        <v>Diamond</v>
      </c>
    </row>
    <row r="286" spans="1:16" x14ac:dyDescent="0.35">
      <c r="A286" s="14" t="s">
        <v>1432</v>
      </c>
      <c r="B286" s="21">
        <v>45676</v>
      </c>
      <c r="C286" s="14" t="s">
        <v>4005</v>
      </c>
      <c r="D286" s="14">
        <v>2025</v>
      </c>
      <c r="E286" s="14" t="s">
        <v>689</v>
      </c>
      <c r="F286" s="14" t="s">
        <v>576</v>
      </c>
      <c r="G286" s="14" t="s">
        <v>101</v>
      </c>
      <c r="H286" s="14">
        <v>1</v>
      </c>
      <c r="I286" s="14">
        <v>134660</v>
      </c>
      <c r="J286" s="14">
        <v>15</v>
      </c>
      <c r="K286" s="14">
        <v>114461</v>
      </c>
      <c r="L286" s="14" t="s">
        <v>95</v>
      </c>
      <c r="M286" s="14" t="s">
        <v>3975</v>
      </c>
      <c r="N286" s="14" t="s">
        <v>1434</v>
      </c>
      <c r="O286" s="14" t="str">
        <f>IFERROR(INDEX(Cleaned_Products!$C$2:$C$61,MATCH(F286,Cleaned_Products!$A$2:$A$61,0)),"Unknown")</f>
        <v>Bangles</v>
      </c>
      <c r="P286" s="14" t="str">
        <f>IFERROR(INDEX(Cleaned_Products!$D$2:$D$61,MATCH(F286,Cleaned_Products!$A$2:$A$61,0)),"Unknown")</f>
        <v>Diamond</v>
      </c>
    </row>
    <row r="287" spans="1:16" x14ac:dyDescent="0.35">
      <c r="A287" s="14" t="s">
        <v>1435</v>
      </c>
      <c r="B287" s="21">
        <v>45694</v>
      </c>
      <c r="C287" s="14" t="s">
        <v>3989</v>
      </c>
      <c r="D287" s="14">
        <v>2025</v>
      </c>
      <c r="E287" s="14" t="s">
        <v>1301</v>
      </c>
      <c r="F287" s="14" t="s">
        <v>638</v>
      </c>
      <c r="G287" s="14" t="s">
        <v>72</v>
      </c>
      <c r="H287" s="14">
        <v>1</v>
      </c>
      <c r="I287" s="14">
        <v>218990</v>
      </c>
      <c r="J287" s="14">
        <v>10</v>
      </c>
      <c r="K287" s="14">
        <v>197091</v>
      </c>
      <c r="L287" s="14" t="s">
        <v>95</v>
      </c>
      <c r="M287" s="14" t="s">
        <v>3975</v>
      </c>
      <c r="N287" s="14" t="s">
        <v>1437</v>
      </c>
      <c r="O287" s="14" t="str">
        <f>IFERROR(INDEX(Cleaned_Products!$C$2:$C$61,MATCH(F287,Cleaned_Products!$A$2:$A$61,0)),"Unknown")</f>
        <v>Nose Pins</v>
      </c>
      <c r="P287" s="14" t="str">
        <f>IFERROR(INDEX(Cleaned_Products!$D$2:$D$61,MATCH(F287,Cleaned_Products!$A$2:$A$61,0)),"Unknown")</f>
        <v>Diamond</v>
      </c>
    </row>
    <row r="288" spans="1:16" x14ac:dyDescent="0.35">
      <c r="A288" s="14" t="s">
        <v>1438</v>
      </c>
      <c r="B288" s="21">
        <v>45272</v>
      </c>
      <c r="C288" s="14" t="s">
        <v>4008</v>
      </c>
      <c r="D288" s="14">
        <v>2023</v>
      </c>
      <c r="E288" s="14" t="s">
        <v>211</v>
      </c>
      <c r="F288" s="14" t="s">
        <v>329</v>
      </c>
      <c r="G288" s="14" t="s">
        <v>72</v>
      </c>
      <c r="H288" s="14">
        <v>1</v>
      </c>
      <c r="I288" s="14">
        <v>49250</v>
      </c>
      <c r="J288" s="14">
        <v>0</v>
      </c>
      <c r="K288" s="14">
        <v>49250</v>
      </c>
      <c r="L288" s="14" t="s">
        <v>3974</v>
      </c>
      <c r="M288" s="14" t="s">
        <v>3980</v>
      </c>
      <c r="N288" s="14" t="s">
        <v>1440</v>
      </c>
      <c r="O288" s="14" t="str">
        <f>IFERROR(INDEX(Cleaned_Products!$C$2:$C$61,MATCH(F288,Cleaned_Products!$A$2:$A$61,0)),"Unknown")</f>
        <v>Nose Pins</v>
      </c>
      <c r="P288" s="14" t="str">
        <f>IFERROR(INDEX(Cleaned_Products!$D$2:$D$61,MATCH(F288,Cleaned_Products!$A$2:$A$61,0)),"Unknown")</f>
        <v>Gold</v>
      </c>
    </row>
    <row r="289" spans="1:16" x14ac:dyDescent="0.35">
      <c r="A289" s="14" t="s">
        <v>1441</v>
      </c>
      <c r="B289" s="21">
        <v>45259</v>
      </c>
      <c r="C289" s="14" t="s">
        <v>3978</v>
      </c>
      <c r="D289" s="14">
        <v>2023</v>
      </c>
      <c r="E289" s="14" t="s">
        <v>119</v>
      </c>
      <c r="F289" s="14" t="s">
        <v>55</v>
      </c>
      <c r="G289" s="14" t="s">
        <v>64</v>
      </c>
      <c r="H289" s="14">
        <v>1</v>
      </c>
      <c r="I289" s="14">
        <v>97740</v>
      </c>
      <c r="J289" s="14">
        <v>5</v>
      </c>
      <c r="K289" s="14">
        <v>92853</v>
      </c>
      <c r="L289" s="14" t="s">
        <v>121</v>
      </c>
      <c r="M289" s="14" t="s">
        <v>3975</v>
      </c>
      <c r="N289" s="14" t="s">
        <v>1444</v>
      </c>
      <c r="O289" s="14" t="str">
        <f>IFERROR(INDEX(Cleaned_Products!$C$2:$C$61,MATCH(F289,Cleaned_Products!$A$2:$A$61,0)),"Unknown")</f>
        <v>Anklets</v>
      </c>
      <c r="P289" s="14" t="str">
        <f>IFERROR(INDEX(Cleaned_Products!$D$2:$D$61,MATCH(F289,Cleaned_Products!$A$2:$A$61,0)),"Unknown")</f>
        <v>Gold</v>
      </c>
    </row>
    <row r="290" spans="1:16" x14ac:dyDescent="0.35">
      <c r="A290" s="14" t="s">
        <v>1445</v>
      </c>
      <c r="B290" s="21">
        <v>45547</v>
      </c>
      <c r="C290" s="14" t="s">
        <v>4003</v>
      </c>
      <c r="D290" s="14">
        <v>2024</v>
      </c>
      <c r="E290" s="14" t="s">
        <v>285</v>
      </c>
      <c r="F290" s="14" t="s">
        <v>390</v>
      </c>
      <c r="G290" s="14" t="s">
        <v>56</v>
      </c>
      <c r="H290" s="14">
        <v>1</v>
      </c>
      <c r="I290" s="14">
        <v>175650</v>
      </c>
      <c r="J290" s="14">
        <v>10</v>
      </c>
      <c r="K290" s="14">
        <v>158085</v>
      </c>
      <c r="L290" s="14" t="s">
        <v>95</v>
      </c>
      <c r="M290" s="14" t="s">
        <v>3980</v>
      </c>
      <c r="N290" s="14" t="s">
        <v>3983</v>
      </c>
      <c r="O290" s="14" t="str">
        <f>IFERROR(INDEX(Cleaned_Products!$C$2:$C$61,MATCH(F290,Cleaned_Products!$A$2:$A$61,0)),"Unknown")</f>
        <v>Bracelets</v>
      </c>
      <c r="P290" s="14" t="str">
        <f>IFERROR(INDEX(Cleaned_Products!$D$2:$D$61,MATCH(F290,Cleaned_Products!$A$2:$A$61,0)),"Unknown")</f>
        <v>Platinum</v>
      </c>
    </row>
    <row r="291" spans="1:16" x14ac:dyDescent="0.35">
      <c r="A291" s="14" t="s">
        <v>1447</v>
      </c>
      <c r="B291" s="21">
        <v>45714</v>
      </c>
      <c r="C291" s="14" t="s">
        <v>3989</v>
      </c>
      <c r="D291" s="14">
        <v>2025</v>
      </c>
      <c r="E291" s="14" t="s">
        <v>396</v>
      </c>
      <c r="F291" s="14" t="s">
        <v>458</v>
      </c>
      <c r="G291" s="14" t="s">
        <v>64</v>
      </c>
      <c r="H291" s="14">
        <v>3</v>
      </c>
      <c r="I291" s="14">
        <v>74540</v>
      </c>
      <c r="J291" s="14">
        <v>15</v>
      </c>
      <c r="K291" s="14">
        <v>190077</v>
      </c>
      <c r="L291" s="14" t="s">
        <v>3977</v>
      </c>
      <c r="M291" s="14" t="s">
        <v>3975</v>
      </c>
      <c r="N291" s="14" t="s">
        <v>1450</v>
      </c>
      <c r="O291" s="14" t="str">
        <f>IFERROR(INDEX(Cleaned_Products!$C$2:$C$61,MATCH(F291,Cleaned_Products!$A$2:$A$61,0)),"Unknown")</f>
        <v>Bangles</v>
      </c>
      <c r="P291" s="14" t="str">
        <f>IFERROR(INDEX(Cleaned_Products!$D$2:$D$61,MATCH(F291,Cleaned_Products!$A$2:$A$61,0)),"Unknown")</f>
        <v>Silver</v>
      </c>
    </row>
    <row r="292" spans="1:16" x14ac:dyDescent="0.35">
      <c r="A292" s="14" t="s">
        <v>1454</v>
      </c>
      <c r="B292" s="21">
        <v>45181</v>
      </c>
      <c r="C292" s="14" t="s">
        <v>3996</v>
      </c>
      <c r="D292" s="14">
        <v>2023</v>
      </c>
      <c r="E292" s="14" t="s">
        <v>740</v>
      </c>
      <c r="F292" s="14" t="s">
        <v>736</v>
      </c>
      <c r="G292" s="14" t="s">
        <v>101</v>
      </c>
      <c r="H292" s="14">
        <v>1</v>
      </c>
      <c r="I292" s="14">
        <v>98350</v>
      </c>
      <c r="J292" s="14">
        <v>5</v>
      </c>
      <c r="K292" s="14">
        <v>93432.5</v>
      </c>
      <c r="L292" s="14" t="s">
        <v>3979</v>
      </c>
      <c r="M292" s="14" t="s">
        <v>3975</v>
      </c>
      <c r="N292" s="14" t="s">
        <v>1456</v>
      </c>
      <c r="O292" s="14" t="str">
        <f>IFERROR(INDEX(Cleaned_Products!$C$2:$C$61,MATCH(F292,Cleaned_Products!$A$2:$A$61,0)),"Unknown")</f>
        <v>Rings</v>
      </c>
      <c r="P292" s="14" t="str">
        <f>IFERROR(INDEX(Cleaned_Products!$D$2:$D$61,MATCH(F292,Cleaned_Products!$A$2:$A$61,0)),"Unknown")</f>
        <v>Silver</v>
      </c>
    </row>
    <row r="293" spans="1:16" x14ac:dyDescent="0.35">
      <c r="A293" s="14" t="s">
        <v>1457</v>
      </c>
      <c r="B293" s="21">
        <v>45113</v>
      </c>
      <c r="C293" s="14" t="s">
        <v>3988</v>
      </c>
      <c r="D293" s="14">
        <v>2023</v>
      </c>
      <c r="E293" s="14" t="s">
        <v>234</v>
      </c>
      <c r="F293" s="14" t="s">
        <v>154</v>
      </c>
      <c r="G293" s="14" t="s">
        <v>113</v>
      </c>
      <c r="H293" s="14">
        <v>1</v>
      </c>
      <c r="I293" s="14">
        <v>163500</v>
      </c>
      <c r="J293" s="14">
        <v>0</v>
      </c>
      <c r="K293" s="14">
        <v>163500</v>
      </c>
      <c r="L293" s="14" t="s">
        <v>73</v>
      </c>
      <c r="M293" s="14" t="s">
        <v>3980</v>
      </c>
      <c r="N293" s="14" t="s">
        <v>3983</v>
      </c>
      <c r="O293" s="14" t="str">
        <f>IFERROR(INDEX(Cleaned_Products!$C$2:$C$61,MATCH(F293,Cleaned_Products!$A$2:$A$61,0)),"Unknown")</f>
        <v>Rings</v>
      </c>
      <c r="P293" s="14" t="str">
        <f>IFERROR(INDEX(Cleaned_Products!$D$2:$D$61,MATCH(F293,Cleaned_Products!$A$2:$A$61,0)),"Unknown")</f>
        <v>Silver</v>
      </c>
    </row>
    <row r="294" spans="1:16" x14ac:dyDescent="0.35">
      <c r="A294" s="14" t="s">
        <v>1460</v>
      </c>
      <c r="B294" s="21">
        <v>45755</v>
      </c>
      <c r="C294" s="14" t="s">
        <v>4006</v>
      </c>
      <c r="D294" s="14">
        <v>2025</v>
      </c>
      <c r="E294" s="14" t="s">
        <v>674</v>
      </c>
      <c r="F294" s="14" t="s">
        <v>125</v>
      </c>
      <c r="G294" s="14" t="s">
        <v>113</v>
      </c>
      <c r="H294" s="14">
        <v>1</v>
      </c>
      <c r="I294" s="14">
        <v>54070</v>
      </c>
      <c r="J294" s="14">
        <v>0</v>
      </c>
      <c r="K294" s="14">
        <v>54070</v>
      </c>
      <c r="L294" s="14" t="s">
        <v>3977</v>
      </c>
      <c r="M294" s="14" t="s">
        <v>3980</v>
      </c>
      <c r="N294" s="14" t="s">
        <v>3983</v>
      </c>
      <c r="O294" s="14" t="str">
        <f>IFERROR(INDEX(Cleaned_Products!$C$2:$C$61,MATCH(F294,Cleaned_Products!$A$2:$A$61,0)),"Unknown")</f>
        <v>Bracelets</v>
      </c>
      <c r="P294" s="14" t="str">
        <f>IFERROR(INDEX(Cleaned_Products!$D$2:$D$61,MATCH(F294,Cleaned_Products!$A$2:$A$61,0)),"Unknown")</f>
        <v>Rose Gold</v>
      </c>
    </row>
    <row r="295" spans="1:16" x14ac:dyDescent="0.35">
      <c r="A295" s="14" t="s">
        <v>1462</v>
      </c>
      <c r="B295" s="21">
        <v>45123</v>
      </c>
      <c r="C295" s="14" t="s">
        <v>3988</v>
      </c>
      <c r="D295" s="14">
        <v>2023</v>
      </c>
      <c r="E295" s="14" t="s">
        <v>1378</v>
      </c>
      <c r="F295" s="14" t="s">
        <v>550</v>
      </c>
      <c r="G295" s="14" t="s">
        <v>101</v>
      </c>
      <c r="H295" s="14">
        <v>1</v>
      </c>
      <c r="I295" s="14">
        <v>84120</v>
      </c>
      <c r="J295" s="14">
        <v>0</v>
      </c>
      <c r="K295" s="14">
        <v>84120</v>
      </c>
      <c r="L295" s="14" t="s">
        <v>73</v>
      </c>
      <c r="M295" s="14" t="s">
        <v>3975</v>
      </c>
      <c r="N295" s="14" t="s">
        <v>1464</v>
      </c>
      <c r="O295" s="14" t="str">
        <f>IFERROR(INDEX(Cleaned_Products!$C$2:$C$61,MATCH(F295,Cleaned_Products!$A$2:$A$61,0)),"Unknown")</f>
        <v>Bracelets</v>
      </c>
      <c r="P295" s="14" t="str">
        <f>IFERROR(INDEX(Cleaned_Products!$D$2:$D$61,MATCH(F295,Cleaned_Products!$A$2:$A$61,0)),"Unknown")</f>
        <v>Silver</v>
      </c>
    </row>
    <row r="296" spans="1:16" x14ac:dyDescent="0.35">
      <c r="A296" s="14" t="s">
        <v>1468</v>
      </c>
      <c r="B296" s="21">
        <v>45375</v>
      </c>
      <c r="C296" s="14" t="s">
        <v>3985</v>
      </c>
      <c r="D296" s="14">
        <v>2024</v>
      </c>
      <c r="E296" s="14" t="s">
        <v>1470</v>
      </c>
      <c r="F296" s="14" t="s">
        <v>529</v>
      </c>
      <c r="G296" s="14" t="s">
        <v>113</v>
      </c>
      <c r="H296" s="14">
        <v>2</v>
      </c>
      <c r="I296" s="14">
        <v>193060</v>
      </c>
      <c r="J296" s="14">
        <v>0</v>
      </c>
      <c r="K296" s="14">
        <v>386120</v>
      </c>
      <c r="L296" s="14" t="s">
        <v>95</v>
      </c>
      <c r="M296" s="14" t="s">
        <v>3980</v>
      </c>
      <c r="N296" s="14" t="s">
        <v>1471</v>
      </c>
      <c r="O296" s="14" t="str">
        <f>IFERROR(INDEX(Cleaned_Products!$C$2:$C$61,MATCH(F296,Cleaned_Products!$A$2:$A$61,0)),"Unknown")</f>
        <v>Bangles</v>
      </c>
      <c r="P296" s="14" t="str">
        <f>IFERROR(INDEX(Cleaned_Products!$D$2:$D$61,MATCH(F296,Cleaned_Products!$A$2:$A$61,0)),"Unknown")</f>
        <v>Silver</v>
      </c>
    </row>
    <row r="297" spans="1:16" x14ac:dyDescent="0.35">
      <c r="A297" s="14" t="s">
        <v>1472</v>
      </c>
      <c r="B297" s="21">
        <v>44933</v>
      </c>
      <c r="C297" s="14" t="s">
        <v>3987</v>
      </c>
      <c r="D297" s="14">
        <v>2023</v>
      </c>
      <c r="E297" s="14" t="s">
        <v>153</v>
      </c>
      <c r="F297" s="14" t="s">
        <v>989</v>
      </c>
      <c r="G297" s="14" t="s">
        <v>101</v>
      </c>
      <c r="H297" s="14">
        <v>1</v>
      </c>
      <c r="I297" s="14">
        <v>194490</v>
      </c>
      <c r="J297" s="14">
        <v>10</v>
      </c>
      <c r="K297" s="14">
        <v>175041</v>
      </c>
      <c r="L297" s="14" t="s">
        <v>3979</v>
      </c>
      <c r="M297" s="14" t="s">
        <v>3975</v>
      </c>
      <c r="N297" s="14" t="s">
        <v>1474</v>
      </c>
      <c r="O297" s="14" t="str">
        <f>IFERROR(INDEX(Cleaned_Products!$C$2:$C$61,MATCH(F297,Cleaned_Products!$A$2:$A$61,0)),"Unknown")</f>
        <v>Anklets</v>
      </c>
      <c r="P297" s="14" t="str">
        <f>IFERROR(INDEX(Cleaned_Products!$D$2:$D$61,MATCH(F297,Cleaned_Products!$A$2:$A$61,0)),"Unknown")</f>
        <v>Rose Gold</v>
      </c>
    </row>
    <row r="298" spans="1:16" x14ac:dyDescent="0.35">
      <c r="A298" s="14" t="s">
        <v>1478</v>
      </c>
      <c r="B298" s="21">
        <v>45205</v>
      </c>
      <c r="C298" s="14" t="s">
        <v>3990</v>
      </c>
      <c r="D298" s="14">
        <v>2023</v>
      </c>
      <c r="E298" s="14" t="s">
        <v>859</v>
      </c>
      <c r="F298" s="14" t="s">
        <v>163</v>
      </c>
      <c r="G298" s="14" t="s">
        <v>126</v>
      </c>
      <c r="H298" s="14">
        <v>1</v>
      </c>
      <c r="I298" s="14">
        <v>195860</v>
      </c>
      <c r="J298" s="14">
        <v>5</v>
      </c>
      <c r="K298" s="14">
        <v>186067</v>
      </c>
      <c r="L298" s="14" t="s">
        <v>3979</v>
      </c>
      <c r="M298" s="14" t="s">
        <v>3975</v>
      </c>
      <c r="N298" s="14" t="s">
        <v>1480</v>
      </c>
      <c r="O298" s="14" t="str">
        <f>IFERROR(INDEX(Cleaned_Products!$C$2:$C$61,MATCH(F298,Cleaned_Products!$A$2:$A$61,0)),"Unknown")</f>
        <v>Earrings</v>
      </c>
      <c r="P298" s="14" t="str">
        <f>IFERROR(INDEX(Cleaned_Products!$D$2:$D$61,MATCH(F298,Cleaned_Products!$A$2:$A$61,0)),"Unknown")</f>
        <v>Diamond</v>
      </c>
    </row>
    <row r="299" spans="1:16" x14ac:dyDescent="0.35">
      <c r="A299" s="14" t="s">
        <v>1481</v>
      </c>
      <c r="B299" s="21">
        <v>45061</v>
      </c>
      <c r="C299" s="14" t="s">
        <v>3973</v>
      </c>
      <c r="D299" s="14">
        <v>2023</v>
      </c>
      <c r="E299" s="14" t="s">
        <v>674</v>
      </c>
      <c r="F299" s="14" t="s">
        <v>163</v>
      </c>
      <c r="G299" s="14" t="s">
        <v>126</v>
      </c>
      <c r="H299" s="14">
        <v>1</v>
      </c>
      <c r="I299" s="14">
        <v>110840</v>
      </c>
      <c r="J299" s="14">
        <v>10</v>
      </c>
      <c r="K299" s="14">
        <v>99756</v>
      </c>
      <c r="L299" s="14" t="s">
        <v>73</v>
      </c>
      <c r="M299" s="14" t="s">
        <v>3980</v>
      </c>
      <c r="N299" s="14" t="s">
        <v>1483</v>
      </c>
      <c r="O299" s="14" t="str">
        <f>IFERROR(INDEX(Cleaned_Products!$C$2:$C$61,MATCH(F299,Cleaned_Products!$A$2:$A$61,0)),"Unknown")</f>
        <v>Earrings</v>
      </c>
      <c r="P299" s="14" t="str">
        <f>IFERROR(INDEX(Cleaned_Products!$D$2:$D$61,MATCH(F299,Cleaned_Products!$A$2:$A$61,0)),"Unknown")</f>
        <v>Diamond</v>
      </c>
    </row>
    <row r="300" spans="1:16" x14ac:dyDescent="0.35">
      <c r="A300" s="14" t="s">
        <v>1489</v>
      </c>
      <c r="B300" s="21">
        <v>45471</v>
      </c>
      <c r="C300" s="14" t="s">
        <v>3984</v>
      </c>
      <c r="D300" s="14">
        <v>2024</v>
      </c>
      <c r="E300" s="14" t="s">
        <v>781</v>
      </c>
      <c r="F300" s="14" t="s">
        <v>63</v>
      </c>
      <c r="G300" s="14" t="s">
        <v>80</v>
      </c>
      <c r="H300" s="14">
        <v>3</v>
      </c>
      <c r="I300" s="14">
        <v>161480</v>
      </c>
      <c r="J300" s="14">
        <v>10</v>
      </c>
      <c r="K300" s="14">
        <v>435996</v>
      </c>
      <c r="L300" s="14" t="s">
        <v>3977</v>
      </c>
      <c r="M300" s="14" t="s">
        <v>3980</v>
      </c>
      <c r="N300" s="14" t="s">
        <v>3983</v>
      </c>
      <c r="O300" s="14" t="str">
        <f>IFERROR(INDEX(Cleaned_Products!$C$2:$C$61,MATCH(F300,Cleaned_Products!$A$2:$A$61,0)),"Unknown")</f>
        <v>Anklets</v>
      </c>
      <c r="P300" s="14" t="str">
        <f>IFERROR(INDEX(Cleaned_Products!$D$2:$D$61,MATCH(F300,Cleaned_Products!$A$2:$A$61,0)),"Unknown")</f>
        <v>Diamond</v>
      </c>
    </row>
    <row r="301" spans="1:16" x14ac:dyDescent="0.35">
      <c r="A301" s="14" t="s">
        <v>1491</v>
      </c>
      <c r="B301" s="21">
        <v>44998</v>
      </c>
      <c r="C301" s="14" t="s">
        <v>3982</v>
      </c>
      <c r="D301" s="14">
        <v>2023</v>
      </c>
      <c r="E301" s="14" t="s">
        <v>206</v>
      </c>
      <c r="F301" s="14" t="s">
        <v>463</v>
      </c>
      <c r="G301" s="14" t="s">
        <v>113</v>
      </c>
      <c r="H301" s="14">
        <v>1</v>
      </c>
      <c r="I301" s="14">
        <v>84390</v>
      </c>
      <c r="J301" s="14">
        <v>0</v>
      </c>
      <c r="K301" s="14">
        <v>84390</v>
      </c>
      <c r="L301" s="14" t="s">
        <v>121</v>
      </c>
      <c r="M301" s="14" t="s">
        <v>3980</v>
      </c>
      <c r="N301" s="14" t="s">
        <v>3983</v>
      </c>
      <c r="O301" s="14" t="str">
        <f>IFERROR(INDEX(Cleaned_Products!$C$2:$C$61,MATCH(F301,Cleaned_Products!$A$2:$A$61,0)),"Unknown")</f>
        <v>Bracelets</v>
      </c>
      <c r="P301" s="14" t="str">
        <f>IFERROR(INDEX(Cleaned_Products!$D$2:$D$61,MATCH(F301,Cleaned_Products!$A$2:$A$61,0)),"Unknown")</f>
        <v>Gold</v>
      </c>
    </row>
    <row r="302" spans="1:16" x14ac:dyDescent="0.35">
      <c r="A302" s="14" t="s">
        <v>1493</v>
      </c>
      <c r="B302" s="21">
        <v>45424</v>
      </c>
      <c r="C302" s="14" t="s">
        <v>4007</v>
      </c>
      <c r="D302" s="14">
        <v>2024</v>
      </c>
      <c r="E302" s="14" t="s">
        <v>758</v>
      </c>
      <c r="F302" s="14" t="s">
        <v>463</v>
      </c>
      <c r="G302" s="14" t="s">
        <v>80</v>
      </c>
      <c r="H302" s="14">
        <v>1</v>
      </c>
      <c r="I302" s="14">
        <v>108810</v>
      </c>
      <c r="J302" s="14">
        <v>15</v>
      </c>
      <c r="K302" s="14">
        <v>92488.5</v>
      </c>
      <c r="L302" s="14" t="s">
        <v>95</v>
      </c>
      <c r="M302" s="14" t="s">
        <v>3975</v>
      </c>
      <c r="N302" s="14" t="s">
        <v>1494</v>
      </c>
      <c r="O302" s="14" t="str">
        <f>IFERROR(INDEX(Cleaned_Products!$C$2:$C$61,MATCH(F302,Cleaned_Products!$A$2:$A$61,0)),"Unknown")</f>
        <v>Bracelets</v>
      </c>
      <c r="P302" s="14" t="str">
        <f>IFERROR(INDEX(Cleaned_Products!$D$2:$D$61,MATCH(F302,Cleaned_Products!$A$2:$A$61,0)),"Unknown")</f>
        <v>Gold</v>
      </c>
    </row>
    <row r="303" spans="1:16" x14ac:dyDescent="0.35">
      <c r="A303" s="14" t="s">
        <v>1495</v>
      </c>
      <c r="B303" s="21">
        <v>45583</v>
      </c>
      <c r="C303" s="14" t="s">
        <v>3981</v>
      </c>
      <c r="D303" s="14">
        <v>2024</v>
      </c>
      <c r="E303" s="14" t="s">
        <v>689</v>
      </c>
      <c r="F303" s="14" t="s">
        <v>458</v>
      </c>
      <c r="G303" s="14" t="s">
        <v>108</v>
      </c>
      <c r="H303" s="14">
        <v>1</v>
      </c>
      <c r="I303" s="14">
        <v>171180</v>
      </c>
      <c r="J303" s="14">
        <v>0</v>
      </c>
      <c r="K303" s="14">
        <v>171180</v>
      </c>
      <c r="L303" s="14" t="s">
        <v>3974</v>
      </c>
      <c r="M303" s="14" t="s">
        <v>3975</v>
      </c>
      <c r="N303" s="14" t="s">
        <v>1498</v>
      </c>
      <c r="O303" s="14" t="str">
        <f>IFERROR(INDEX(Cleaned_Products!$C$2:$C$61,MATCH(F303,Cleaned_Products!$A$2:$A$61,0)),"Unknown")</f>
        <v>Bangles</v>
      </c>
      <c r="P303" s="14" t="str">
        <f>IFERROR(INDEX(Cleaned_Products!$D$2:$D$61,MATCH(F303,Cleaned_Products!$A$2:$A$61,0)),"Unknown")</f>
        <v>Silver</v>
      </c>
    </row>
    <row r="304" spans="1:16" x14ac:dyDescent="0.35">
      <c r="A304" s="14" t="s">
        <v>1501</v>
      </c>
      <c r="B304" s="21">
        <v>45109</v>
      </c>
      <c r="C304" s="14" t="s">
        <v>3988</v>
      </c>
      <c r="D304" s="14">
        <v>2023</v>
      </c>
      <c r="E304" s="14" t="s">
        <v>1502</v>
      </c>
      <c r="F304" s="14" t="s">
        <v>231</v>
      </c>
      <c r="G304" s="14" t="s">
        <v>72</v>
      </c>
      <c r="H304" s="14">
        <v>1</v>
      </c>
      <c r="I304" s="14">
        <v>69960</v>
      </c>
      <c r="J304" s="14">
        <v>0</v>
      </c>
      <c r="K304" s="14">
        <v>69960</v>
      </c>
      <c r="L304" s="14" t="s">
        <v>95</v>
      </c>
      <c r="M304" s="14" t="s">
        <v>3975</v>
      </c>
      <c r="N304" s="14" t="s">
        <v>1504</v>
      </c>
      <c r="O304" s="14" t="str">
        <f>IFERROR(INDEX(Cleaned_Products!$C$2:$C$61,MATCH(F304,Cleaned_Products!$A$2:$A$61,0)),"Unknown")</f>
        <v>Nose Pins</v>
      </c>
      <c r="P304" s="14" t="str">
        <f>IFERROR(INDEX(Cleaned_Products!$D$2:$D$61,MATCH(F304,Cleaned_Products!$A$2:$A$61,0)),"Unknown")</f>
        <v>Platinum</v>
      </c>
    </row>
    <row r="305" spans="1:16" x14ac:dyDescent="0.35">
      <c r="A305" s="14" t="s">
        <v>1505</v>
      </c>
      <c r="B305" s="21">
        <v>45527</v>
      </c>
      <c r="C305" s="14" t="s">
        <v>3992</v>
      </c>
      <c r="D305" s="14">
        <v>2024</v>
      </c>
      <c r="E305" s="14" t="s">
        <v>411</v>
      </c>
      <c r="F305" s="14" t="s">
        <v>71</v>
      </c>
      <c r="G305" s="14" t="s">
        <v>80</v>
      </c>
      <c r="H305" s="14">
        <v>1</v>
      </c>
      <c r="I305" s="14">
        <v>160500</v>
      </c>
      <c r="J305" s="14">
        <v>10</v>
      </c>
      <c r="K305" s="14">
        <v>144450</v>
      </c>
      <c r="L305" s="14" t="s">
        <v>121</v>
      </c>
      <c r="M305" s="14" t="s">
        <v>3980</v>
      </c>
      <c r="N305" s="14" t="s">
        <v>1507</v>
      </c>
      <c r="O305" s="14" t="str">
        <f>IFERROR(INDEX(Cleaned_Products!$C$2:$C$61,MATCH(F305,Cleaned_Products!$A$2:$A$61,0)),"Unknown")</f>
        <v>Bracelets</v>
      </c>
      <c r="P305" s="14" t="str">
        <f>IFERROR(INDEX(Cleaned_Products!$D$2:$D$61,MATCH(F305,Cleaned_Products!$A$2:$A$61,0)),"Unknown")</f>
        <v>Rose Gold</v>
      </c>
    </row>
    <row r="306" spans="1:16" x14ac:dyDescent="0.35">
      <c r="A306" s="14" t="s">
        <v>1508</v>
      </c>
      <c r="B306" s="21">
        <v>45547</v>
      </c>
      <c r="C306" s="14" t="s">
        <v>4003</v>
      </c>
      <c r="D306" s="14">
        <v>2024</v>
      </c>
      <c r="E306" s="14" t="s">
        <v>325</v>
      </c>
      <c r="F306" s="14" t="s">
        <v>916</v>
      </c>
      <c r="G306" s="14" t="s">
        <v>113</v>
      </c>
      <c r="H306" s="14">
        <v>1</v>
      </c>
      <c r="I306" s="14">
        <v>26920</v>
      </c>
      <c r="J306" s="14">
        <v>0</v>
      </c>
      <c r="K306" s="14">
        <v>26920</v>
      </c>
      <c r="L306" s="14" t="s">
        <v>73</v>
      </c>
      <c r="M306" s="14" t="s">
        <v>3975</v>
      </c>
      <c r="N306" s="14" t="s">
        <v>1510</v>
      </c>
      <c r="O306" s="14" t="str">
        <f>IFERROR(INDEX(Cleaned_Products!$C$2:$C$61,MATCH(F306,Cleaned_Products!$A$2:$A$61,0)),"Unknown")</f>
        <v>Bracelets</v>
      </c>
      <c r="P306" s="14" t="str">
        <f>IFERROR(INDEX(Cleaned_Products!$D$2:$D$61,MATCH(F306,Cleaned_Products!$A$2:$A$61,0)),"Unknown")</f>
        <v>Rose Gold</v>
      </c>
    </row>
    <row r="307" spans="1:16" x14ac:dyDescent="0.35">
      <c r="A307" s="14" t="s">
        <v>1511</v>
      </c>
      <c r="B307" s="21">
        <v>45657</v>
      </c>
      <c r="C307" s="14" t="s">
        <v>3986</v>
      </c>
      <c r="D307" s="14">
        <v>2024</v>
      </c>
      <c r="E307" s="14" t="s">
        <v>854</v>
      </c>
      <c r="F307" s="14" t="s">
        <v>348</v>
      </c>
      <c r="G307" s="14" t="s">
        <v>56</v>
      </c>
      <c r="H307" s="14">
        <v>1</v>
      </c>
      <c r="I307" s="14">
        <v>173010</v>
      </c>
      <c r="J307" s="14">
        <v>0</v>
      </c>
      <c r="K307" s="14">
        <v>173010</v>
      </c>
      <c r="L307" s="14" t="s">
        <v>3977</v>
      </c>
      <c r="M307" s="14" t="s">
        <v>3980</v>
      </c>
      <c r="N307" s="14" t="s">
        <v>1513</v>
      </c>
      <c r="O307" s="14" t="str">
        <f>IFERROR(INDEX(Cleaned_Products!$C$2:$C$61,MATCH(F307,Cleaned_Products!$A$2:$A$61,0)),"Unknown")</f>
        <v>Rings</v>
      </c>
      <c r="P307" s="14" t="str">
        <f>IFERROR(INDEX(Cleaned_Products!$D$2:$D$61,MATCH(F307,Cleaned_Products!$A$2:$A$61,0)),"Unknown")</f>
        <v>Gold</v>
      </c>
    </row>
    <row r="308" spans="1:16" x14ac:dyDescent="0.35">
      <c r="A308" s="14" t="s">
        <v>1519</v>
      </c>
      <c r="B308" s="21">
        <v>45573</v>
      </c>
      <c r="C308" s="14" t="s">
        <v>3981</v>
      </c>
      <c r="D308" s="14">
        <v>2024</v>
      </c>
      <c r="E308" s="14" t="s">
        <v>267</v>
      </c>
      <c r="F308" s="14" t="s">
        <v>458</v>
      </c>
      <c r="G308" s="14" t="s">
        <v>56</v>
      </c>
      <c r="H308" s="14">
        <v>1</v>
      </c>
      <c r="I308" s="14">
        <v>237380</v>
      </c>
      <c r="J308" s="14">
        <v>0</v>
      </c>
      <c r="K308" s="14">
        <v>237380</v>
      </c>
      <c r="L308" s="14" t="s">
        <v>3979</v>
      </c>
      <c r="M308" s="14" t="s">
        <v>3980</v>
      </c>
      <c r="N308" s="14" t="s">
        <v>3983</v>
      </c>
      <c r="O308" s="14" t="str">
        <f>IFERROR(INDEX(Cleaned_Products!$C$2:$C$61,MATCH(F308,Cleaned_Products!$A$2:$A$61,0)),"Unknown")</f>
        <v>Bangles</v>
      </c>
      <c r="P308" s="14" t="str">
        <f>IFERROR(INDEX(Cleaned_Products!$D$2:$D$61,MATCH(F308,Cleaned_Products!$A$2:$A$61,0)),"Unknown")</f>
        <v>Silver</v>
      </c>
    </row>
    <row r="309" spans="1:16" x14ac:dyDescent="0.35">
      <c r="A309" s="14" t="s">
        <v>1522</v>
      </c>
      <c r="B309" s="21">
        <v>45209</v>
      </c>
      <c r="C309" s="14" t="s">
        <v>3990</v>
      </c>
      <c r="D309" s="14">
        <v>2023</v>
      </c>
      <c r="E309" s="14" t="s">
        <v>263</v>
      </c>
      <c r="F309" s="14" t="s">
        <v>240</v>
      </c>
      <c r="G309" s="14" t="s">
        <v>72</v>
      </c>
      <c r="H309" s="14">
        <v>1</v>
      </c>
      <c r="I309" s="14">
        <v>160280</v>
      </c>
      <c r="J309" s="14">
        <v>0</v>
      </c>
      <c r="K309" s="14">
        <v>160280</v>
      </c>
      <c r="L309" s="14" t="s">
        <v>3977</v>
      </c>
      <c r="M309" s="14" t="s">
        <v>3975</v>
      </c>
      <c r="N309" s="14" t="s">
        <v>1524</v>
      </c>
      <c r="O309" s="14" t="str">
        <f>IFERROR(INDEX(Cleaned_Products!$C$2:$C$61,MATCH(F309,Cleaned_Products!$A$2:$A$61,0)),"Unknown")</f>
        <v>Bangles</v>
      </c>
      <c r="P309" s="14" t="str">
        <f>IFERROR(INDEX(Cleaned_Products!$D$2:$D$61,MATCH(F309,Cleaned_Products!$A$2:$A$61,0)),"Unknown")</f>
        <v>Platinum</v>
      </c>
    </row>
    <row r="310" spans="1:16" x14ac:dyDescent="0.35">
      <c r="A310" s="14" t="s">
        <v>1525</v>
      </c>
      <c r="B310" s="21">
        <v>45014</v>
      </c>
      <c r="C310" s="14" t="s">
        <v>3982</v>
      </c>
      <c r="D310" s="14">
        <v>2023</v>
      </c>
      <c r="E310" s="14" t="s">
        <v>1502</v>
      </c>
      <c r="F310" s="14" t="s">
        <v>435</v>
      </c>
      <c r="G310" s="14" t="s">
        <v>64</v>
      </c>
      <c r="H310" s="14">
        <v>1</v>
      </c>
      <c r="I310" s="14">
        <v>15820</v>
      </c>
      <c r="J310" s="14">
        <v>15</v>
      </c>
      <c r="K310" s="14">
        <v>13447</v>
      </c>
      <c r="L310" s="14" t="s">
        <v>3979</v>
      </c>
      <c r="M310" s="14" t="s">
        <v>3975</v>
      </c>
      <c r="N310" s="14" t="s">
        <v>1528</v>
      </c>
      <c r="O310" s="14" t="str">
        <f>IFERROR(INDEX(Cleaned_Products!$C$2:$C$61,MATCH(F310,Cleaned_Products!$A$2:$A$61,0)),"Unknown")</f>
        <v>Bangles</v>
      </c>
      <c r="P310" s="14" t="str">
        <f>IFERROR(INDEX(Cleaned_Products!$D$2:$D$61,MATCH(F310,Cleaned_Products!$A$2:$A$61,0)),"Unknown")</f>
        <v>Platinum</v>
      </c>
    </row>
    <row r="311" spans="1:16" x14ac:dyDescent="0.35">
      <c r="A311" s="14" t="s">
        <v>1529</v>
      </c>
      <c r="B311" s="21">
        <v>45602</v>
      </c>
      <c r="C311" s="14" t="s">
        <v>3976</v>
      </c>
      <c r="D311" s="14">
        <v>2024</v>
      </c>
      <c r="E311" s="14" t="s">
        <v>689</v>
      </c>
      <c r="F311" s="14" t="s">
        <v>135</v>
      </c>
      <c r="G311" s="14" t="s">
        <v>126</v>
      </c>
      <c r="H311" s="14">
        <v>1</v>
      </c>
      <c r="I311" s="14">
        <v>199970</v>
      </c>
      <c r="J311" s="14">
        <v>0</v>
      </c>
      <c r="K311" s="14">
        <v>199970</v>
      </c>
      <c r="L311" s="14" t="s">
        <v>3974</v>
      </c>
      <c r="M311" s="14" t="s">
        <v>3980</v>
      </c>
      <c r="N311" s="14" t="s">
        <v>3983</v>
      </c>
      <c r="O311" s="14" t="str">
        <f>IFERROR(INDEX(Cleaned_Products!$C$2:$C$61,MATCH(F311,Cleaned_Products!$A$2:$A$61,0)),"Unknown")</f>
        <v>Necklaces</v>
      </c>
      <c r="P311" s="14" t="str">
        <f>IFERROR(INDEX(Cleaned_Products!$D$2:$D$61,MATCH(F311,Cleaned_Products!$A$2:$A$61,0)),"Unknown")</f>
        <v>Silver</v>
      </c>
    </row>
    <row r="312" spans="1:16" x14ac:dyDescent="0.35">
      <c r="A312" s="14" t="s">
        <v>1531</v>
      </c>
      <c r="B312" s="21">
        <v>45784</v>
      </c>
      <c r="C312" s="14" t="s">
        <v>4004</v>
      </c>
      <c r="D312" s="14">
        <v>2025</v>
      </c>
      <c r="E312" s="14" t="s">
        <v>831</v>
      </c>
      <c r="F312" s="14" t="s">
        <v>231</v>
      </c>
      <c r="G312" s="14" t="s">
        <v>72</v>
      </c>
      <c r="H312" s="14">
        <v>1</v>
      </c>
      <c r="I312" s="14">
        <v>152010</v>
      </c>
      <c r="J312" s="14">
        <v>0</v>
      </c>
      <c r="K312" s="14">
        <v>152010</v>
      </c>
      <c r="L312" s="14" t="s">
        <v>95</v>
      </c>
      <c r="M312" s="14" t="s">
        <v>3980</v>
      </c>
      <c r="N312" s="14" t="s">
        <v>3983</v>
      </c>
      <c r="O312" s="14" t="str">
        <f>IFERROR(INDEX(Cleaned_Products!$C$2:$C$61,MATCH(F312,Cleaned_Products!$A$2:$A$61,0)),"Unknown")</f>
        <v>Nose Pins</v>
      </c>
      <c r="P312" s="14" t="str">
        <f>IFERROR(INDEX(Cleaned_Products!$D$2:$D$61,MATCH(F312,Cleaned_Products!$A$2:$A$61,0)),"Unknown")</f>
        <v>Platinum</v>
      </c>
    </row>
    <row r="313" spans="1:16" x14ac:dyDescent="0.35">
      <c r="A313" s="14" t="s">
        <v>1533</v>
      </c>
      <c r="B313" s="21">
        <v>45792</v>
      </c>
      <c r="C313" s="14" t="s">
        <v>4004</v>
      </c>
      <c r="D313" s="14">
        <v>2025</v>
      </c>
      <c r="E313" s="14" t="s">
        <v>637</v>
      </c>
      <c r="F313" s="14" t="s">
        <v>107</v>
      </c>
      <c r="G313" s="14" t="s">
        <v>56</v>
      </c>
      <c r="H313" s="14">
        <v>1</v>
      </c>
      <c r="I313" s="14">
        <v>248860</v>
      </c>
      <c r="J313" s="14">
        <v>0</v>
      </c>
      <c r="K313" s="14">
        <v>248860</v>
      </c>
      <c r="L313" s="14" t="s">
        <v>3979</v>
      </c>
      <c r="M313" s="14" t="s">
        <v>3975</v>
      </c>
      <c r="N313" s="14" t="s">
        <v>1535</v>
      </c>
      <c r="O313" s="14" t="str">
        <f>IFERROR(INDEX(Cleaned_Products!$C$2:$C$61,MATCH(F313,Cleaned_Products!$A$2:$A$61,0)),"Unknown")</f>
        <v>Earrings</v>
      </c>
      <c r="P313" s="14" t="str">
        <f>IFERROR(INDEX(Cleaned_Products!$D$2:$D$61,MATCH(F313,Cleaned_Products!$A$2:$A$61,0)),"Unknown")</f>
        <v>Platinum</v>
      </c>
    </row>
    <row r="314" spans="1:16" x14ac:dyDescent="0.35">
      <c r="A314" s="14" t="s">
        <v>1538</v>
      </c>
      <c r="B314" s="21">
        <v>45027</v>
      </c>
      <c r="C314" s="14" t="s">
        <v>4010</v>
      </c>
      <c r="D314" s="14">
        <v>2023</v>
      </c>
      <c r="E314" s="14" t="s">
        <v>106</v>
      </c>
      <c r="F314" s="14" t="s">
        <v>472</v>
      </c>
      <c r="G314" s="14" t="s">
        <v>64</v>
      </c>
      <c r="H314" s="14">
        <v>3</v>
      </c>
      <c r="I314" s="14">
        <v>57980</v>
      </c>
      <c r="J314" s="14">
        <v>10</v>
      </c>
      <c r="K314" s="14">
        <v>156546</v>
      </c>
      <c r="L314" s="14" t="s">
        <v>3979</v>
      </c>
      <c r="M314" s="14" t="s">
        <v>3980</v>
      </c>
      <c r="N314" s="14" t="s">
        <v>1541</v>
      </c>
      <c r="O314" s="14" t="str">
        <f>IFERROR(INDEX(Cleaned_Products!$C$2:$C$61,MATCH(F314,Cleaned_Products!$A$2:$A$61,0)),"Unknown")</f>
        <v>Nose Pins</v>
      </c>
      <c r="P314" s="14" t="str">
        <f>IFERROR(INDEX(Cleaned_Products!$D$2:$D$61,MATCH(F314,Cleaned_Products!$A$2:$A$61,0)),"Unknown")</f>
        <v>Platinum</v>
      </c>
    </row>
    <row r="315" spans="1:16" x14ac:dyDescent="0.35">
      <c r="A315" s="14" t="s">
        <v>1542</v>
      </c>
      <c r="B315" s="21">
        <v>45867</v>
      </c>
      <c r="C315" s="14" t="s">
        <v>3991</v>
      </c>
      <c r="D315" s="14">
        <v>2025</v>
      </c>
      <c r="E315" s="14" t="s">
        <v>1305</v>
      </c>
      <c r="F315" s="14" t="s">
        <v>1544</v>
      </c>
      <c r="G315" s="14" t="s">
        <v>80</v>
      </c>
      <c r="H315" s="14">
        <v>1</v>
      </c>
      <c r="I315" s="14">
        <v>59870</v>
      </c>
      <c r="J315" s="14">
        <v>0</v>
      </c>
      <c r="K315" s="14">
        <v>59870</v>
      </c>
      <c r="L315" s="14" t="s">
        <v>3979</v>
      </c>
      <c r="M315" s="14" t="s">
        <v>3980</v>
      </c>
      <c r="N315" s="14" t="s">
        <v>3983</v>
      </c>
      <c r="O315" s="14" t="str">
        <f>IFERROR(INDEX(Cleaned_Products!$C$2:$C$61,MATCH(F315,Cleaned_Products!$A$2:$A$61,0)),"Unknown")</f>
        <v>Bracelets</v>
      </c>
      <c r="P315" s="14" t="str">
        <f>IFERROR(INDEX(Cleaned_Products!$D$2:$D$61,MATCH(F315,Cleaned_Products!$A$2:$A$61,0)),"Unknown")</f>
        <v>Platinum</v>
      </c>
    </row>
    <row r="316" spans="1:16" x14ac:dyDescent="0.35">
      <c r="A316" s="14" t="s">
        <v>1545</v>
      </c>
      <c r="B316" s="21">
        <v>45489</v>
      </c>
      <c r="C316" s="14" t="s">
        <v>4009</v>
      </c>
      <c r="D316" s="14">
        <v>2024</v>
      </c>
      <c r="E316" s="14" t="s">
        <v>645</v>
      </c>
      <c r="F316" s="14" t="s">
        <v>315</v>
      </c>
      <c r="G316" s="14" t="s">
        <v>64</v>
      </c>
      <c r="H316" s="14">
        <v>2</v>
      </c>
      <c r="I316" s="14">
        <v>98620</v>
      </c>
      <c r="J316" s="14">
        <v>0</v>
      </c>
      <c r="K316" s="14">
        <v>197240</v>
      </c>
      <c r="L316" s="14" t="s">
        <v>95</v>
      </c>
      <c r="M316" s="14" t="s">
        <v>3980</v>
      </c>
      <c r="N316" s="14" t="s">
        <v>3983</v>
      </c>
      <c r="O316" s="14" t="str">
        <f>IFERROR(INDEX(Cleaned_Products!$C$2:$C$61,MATCH(F316,Cleaned_Products!$A$2:$A$61,0)),"Unknown")</f>
        <v>Bracelets</v>
      </c>
      <c r="P316" s="14" t="str">
        <f>IFERROR(INDEX(Cleaned_Products!$D$2:$D$61,MATCH(F316,Cleaned_Products!$A$2:$A$61,0)),"Unknown")</f>
        <v>Rose Gold</v>
      </c>
    </row>
    <row r="317" spans="1:16" x14ac:dyDescent="0.35">
      <c r="A317" s="14" t="s">
        <v>1547</v>
      </c>
      <c r="B317" s="21">
        <v>45409</v>
      </c>
      <c r="C317" s="14" t="s">
        <v>4000</v>
      </c>
      <c r="D317" s="14">
        <v>2024</v>
      </c>
      <c r="E317" s="14" t="s">
        <v>3995</v>
      </c>
      <c r="F317" s="14" t="s">
        <v>79</v>
      </c>
      <c r="G317" s="14" t="s">
        <v>113</v>
      </c>
      <c r="H317" s="14">
        <v>1</v>
      </c>
      <c r="I317" s="14">
        <v>66400</v>
      </c>
      <c r="J317" s="14">
        <v>15</v>
      </c>
      <c r="K317" s="14">
        <v>56440</v>
      </c>
      <c r="L317" s="14" t="s">
        <v>3974</v>
      </c>
      <c r="M317" s="14" t="s">
        <v>3975</v>
      </c>
      <c r="N317" s="14" t="s">
        <v>1549</v>
      </c>
      <c r="O317" s="14" t="str">
        <f>IFERROR(INDEX(Cleaned_Products!$C$2:$C$61,MATCH(F317,Cleaned_Products!$A$2:$A$61,0)),"Unknown")</f>
        <v>Rings</v>
      </c>
      <c r="P317" s="14" t="str">
        <f>IFERROR(INDEX(Cleaned_Products!$D$2:$D$61,MATCH(F317,Cleaned_Products!$A$2:$A$61,0)),"Unknown")</f>
        <v>Rose Gold</v>
      </c>
    </row>
    <row r="318" spans="1:16" x14ac:dyDescent="0.35">
      <c r="A318" s="14" t="s">
        <v>1550</v>
      </c>
      <c r="B318" s="21">
        <v>45717</v>
      </c>
      <c r="C318" s="14" t="s">
        <v>4002</v>
      </c>
      <c r="D318" s="14">
        <v>2025</v>
      </c>
      <c r="E318" s="14" t="s">
        <v>689</v>
      </c>
      <c r="F318" s="14" t="s">
        <v>249</v>
      </c>
      <c r="G318" s="14" t="s">
        <v>101</v>
      </c>
      <c r="H318" s="14">
        <v>1</v>
      </c>
      <c r="I318" s="14">
        <v>13280</v>
      </c>
      <c r="J318" s="14">
        <v>5</v>
      </c>
      <c r="K318" s="14">
        <v>12616</v>
      </c>
      <c r="L318" s="14" t="s">
        <v>3977</v>
      </c>
      <c r="M318" s="14" t="s">
        <v>3980</v>
      </c>
      <c r="N318" s="14" t="s">
        <v>3983</v>
      </c>
      <c r="O318" s="14" t="str">
        <f>IFERROR(INDEX(Cleaned_Products!$C$2:$C$61,MATCH(F318,Cleaned_Products!$A$2:$A$61,0)),"Unknown")</f>
        <v>Pendants</v>
      </c>
      <c r="P318" s="14" t="str">
        <f>IFERROR(INDEX(Cleaned_Products!$D$2:$D$61,MATCH(F318,Cleaned_Products!$A$2:$A$61,0)),"Unknown")</f>
        <v>Rose Gold</v>
      </c>
    </row>
    <row r="319" spans="1:16" x14ac:dyDescent="0.35">
      <c r="A319" s="14" t="s">
        <v>1552</v>
      </c>
      <c r="B319" s="21">
        <v>45334</v>
      </c>
      <c r="C319" s="14" t="s">
        <v>3999</v>
      </c>
      <c r="D319" s="14">
        <v>2024</v>
      </c>
      <c r="E319" s="14" t="s">
        <v>859</v>
      </c>
      <c r="F319" s="14" t="s">
        <v>520</v>
      </c>
      <c r="G319" s="14" t="s">
        <v>80</v>
      </c>
      <c r="H319" s="14">
        <v>1</v>
      </c>
      <c r="I319" s="14">
        <v>179070</v>
      </c>
      <c r="J319" s="14">
        <v>0</v>
      </c>
      <c r="K319" s="14">
        <v>179070</v>
      </c>
      <c r="L319" s="14" t="s">
        <v>3977</v>
      </c>
      <c r="M319" s="14" t="s">
        <v>3975</v>
      </c>
      <c r="N319" s="14" t="s">
        <v>1554</v>
      </c>
      <c r="O319" s="14" t="str">
        <f>IFERROR(INDEX(Cleaned_Products!$C$2:$C$61,MATCH(F319,Cleaned_Products!$A$2:$A$61,0)),"Unknown")</f>
        <v>Earrings</v>
      </c>
      <c r="P319" s="14">
        <f>IFERROR(INDEX(Cleaned_Products!$D$2:$D$61,MATCH(F319,Cleaned_Products!$A$2:$A$61,0)),"Unknown")</f>
        <v>0</v>
      </c>
    </row>
    <row r="320" spans="1:16" x14ac:dyDescent="0.35">
      <c r="A320" s="14" t="s">
        <v>1560</v>
      </c>
      <c r="B320" s="21">
        <v>45503</v>
      </c>
      <c r="C320" s="14" t="s">
        <v>4009</v>
      </c>
      <c r="D320" s="14">
        <v>2024</v>
      </c>
      <c r="E320" s="14" t="s">
        <v>1486</v>
      </c>
      <c r="F320" s="14" t="s">
        <v>163</v>
      </c>
      <c r="G320" s="14" t="s">
        <v>72</v>
      </c>
      <c r="H320" s="14">
        <v>3</v>
      </c>
      <c r="I320" s="14">
        <v>155010</v>
      </c>
      <c r="J320" s="14">
        <v>0</v>
      </c>
      <c r="K320" s="14">
        <v>465030</v>
      </c>
      <c r="L320" s="14" t="s">
        <v>3979</v>
      </c>
      <c r="M320" s="14" t="s">
        <v>3975</v>
      </c>
      <c r="N320" s="14" t="s">
        <v>1561</v>
      </c>
      <c r="O320" s="14" t="str">
        <f>IFERROR(INDEX(Cleaned_Products!$C$2:$C$61,MATCH(F320,Cleaned_Products!$A$2:$A$61,0)),"Unknown")</f>
        <v>Earrings</v>
      </c>
      <c r="P320" s="14" t="str">
        <f>IFERROR(INDEX(Cleaned_Products!$D$2:$D$61,MATCH(F320,Cleaned_Products!$A$2:$A$61,0)),"Unknown")</f>
        <v>Diamond</v>
      </c>
    </row>
    <row r="321" spans="1:16" x14ac:dyDescent="0.35">
      <c r="A321" s="14" t="s">
        <v>1565</v>
      </c>
      <c r="B321" s="21">
        <v>45771</v>
      </c>
      <c r="C321" s="14" t="s">
        <v>4006</v>
      </c>
      <c r="D321" s="14">
        <v>2025</v>
      </c>
      <c r="E321" s="14" t="s">
        <v>1240</v>
      </c>
      <c r="F321" s="14" t="s">
        <v>342</v>
      </c>
      <c r="G321" s="14" t="s">
        <v>101</v>
      </c>
      <c r="H321" s="14">
        <v>2</v>
      </c>
      <c r="I321" s="14">
        <v>239340</v>
      </c>
      <c r="J321" s="14">
        <v>10</v>
      </c>
      <c r="K321" s="14">
        <v>430812</v>
      </c>
      <c r="L321" s="14" t="s">
        <v>95</v>
      </c>
      <c r="M321" s="14" t="s">
        <v>3980</v>
      </c>
      <c r="N321" s="14" t="s">
        <v>3983</v>
      </c>
      <c r="O321" s="14" t="str">
        <f>IFERROR(INDEX(Cleaned_Products!$C$2:$C$61,MATCH(F321,Cleaned_Products!$A$2:$A$61,0)),"Unknown")</f>
        <v>Necklaces</v>
      </c>
      <c r="P321" s="14" t="str">
        <f>IFERROR(INDEX(Cleaned_Products!$D$2:$D$61,MATCH(F321,Cleaned_Products!$A$2:$A$61,0)),"Unknown")</f>
        <v>Diamond</v>
      </c>
    </row>
    <row r="322" spans="1:16" x14ac:dyDescent="0.35">
      <c r="A322" s="14" t="s">
        <v>1567</v>
      </c>
      <c r="B322" s="21">
        <v>45742</v>
      </c>
      <c r="C322" s="14" t="s">
        <v>4002</v>
      </c>
      <c r="D322" s="14">
        <v>2025</v>
      </c>
      <c r="E322" s="14" t="s">
        <v>277</v>
      </c>
      <c r="F322" s="14" t="s">
        <v>125</v>
      </c>
      <c r="G322" s="14" t="s">
        <v>113</v>
      </c>
      <c r="H322" s="14">
        <v>2</v>
      </c>
      <c r="I322" s="14">
        <v>43660</v>
      </c>
      <c r="J322" s="14">
        <v>0</v>
      </c>
      <c r="K322" s="14">
        <v>87320</v>
      </c>
      <c r="L322" s="14" t="s">
        <v>73</v>
      </c>
      <c r="M322" s="14" t="s">
        <v>3980</v>
      </c>
      <c r="N322" s="14" t="s">
        <v>1569</v>
      </c>
      <c r="O322" s="14" t="str">
        <f>IFERROR(INDEX(Cleaned_Products!$C$2:$C$61,MATCH(F322,Cleaned_Products!$A$2:$A$61,0)),"Unknown")</f>
        <v>Bracelets</v>
      </c>
      <c r="P322" s="14" t="str">
        <f>IFERROR(INDEX(Cleaned_Products!$D$2:$D$61,MATCH(F322,Cleaned_Products!$A$2:$A$61,0)),"Unknown")</f>
        <v>Rose Gold</v>
      </c>
    </row>
    <row r="323" spans="1:16" x14ac:dyDescent="0.35">
      <c r="A323" s="14" t="s">
        <v>1570</v>
      </c>
      <c r="B323" s="21">
        <v>45568</v>
      </c>
      <c r="C323" s="14" t="s">
        <v>3981</v>
      </c>
      <c r="D323" s="14">
        <v>2024</v>
      </c>
      <c r="E323" s="14" t="s">
        <v>171</v>
      </c>
      <c r="F323" s="14" t="s">
        <v>196</v>
      </c>
      <c r="G323" s="14" t="s">
        <v>126</v>
      </c>
      <c r="H323" s="14">
        <v>3</v>
      </c>
      <c r="I323" s="14">
        <v>10710</v>
      </c>
      <c r="J323" s="14">
        <v>0</v>
      </c>
      <c r="K323" s="14">
        <v>32130</v>
      </c>
      <c r="L323" s="14" t="s">
        <v>3979</v>
      </c>
      <c r="M323" s="14" t="s">
        <v>3980</v>
      </c>
      <c r="N323" s="14" t="s">
        <v>1572</v>
      </c>
      <c r="O323" s="14" t="str">
        <f>IFERROR(INDEX(Cleaned_Products!$C$2:$C$61,MATCH(F323,Cleaned_Products!$A$2:$A$61,0)),"Unknown")</f>
        <v>Pendants</v>
      </c>
      <c r="P323" s="14" t="str">
        <f>IFERROR(INDEX(Cleaned_Products!$D$2:$D$61,MATCH(F323,Cleaned_Products!$A$2:$A$61,0)),"Unknown")</f>
        <v>Diamond</v>
      </c>
    </row>
    <row r="324" spans="1:16" x14ac:dyDescent="0.35">
      <c r="A324" s="14" t="s">
        <v>1573</v>
      </c>
      <c r="B324" s="21">
        <v>45378</v>
      </c>
      <c r="C324" s="14" t="s">
        <v>3985</v>
      </c>
      <c r="D324" s="14">
        <v>2024</v>
      </c>
      <c r="E324" s="14" t="s">
        <v>799</v>
      </c>
      <c r="F324" s="14" t="s">
        <v>550</v>
      </c>
      <c r="G324" s="14" t="s">
        <v>108</v>
      </c>
      <c r="H324" s="14">
        <v>3</v>
      </c>
      <c r="I324" s="14">
        <v>24540</v>
      </c>
      <c r="J324" s="14">
        <v>0</v>
      </c>
      <c r="K324" s="14">
        <v>73620</v>
      </c>
      <c r="L324" s="14" t="s">
        <v>3977</v>
      </c>
      <c r="M324" s="14" t="s">
        <v>3980</v>
      </c>
      <c r="N324" s="14" t="s">
        <v>1575</v>
      </c>
      <c r="O324" s="14" t="str">
        <f>IFERROR(INDEX(Cleaned_Products!$C$2:$C$61,MATCH(F324,Cleaned_Products!$A$2:$A$61,0)),"Unknown")</f>
        <v>Bracelets</v>
      </c>
      <c r="P324" s="14" t="str">
        <f>IFERROR(INDEX(Cleaned_Products!$D$2:$D$61,MATCH(F324,Cleaned_Products!$A$2:$A$61,0)),"Unknown")</f>
        <v>Silver</v>
      </c>
    </row>
    <row r="325" spans="1:16" x14ac:dyDescent="0.35">
      <c r="A325" s="14" t="s">
        <v>1576</v>
      </c>
      <c r="B325" s="21">
        <v>45603</v>
      </c>
      <c r="C325" s="14" t="s">
        <v>3976</v>
      </c>
      <c r="D325" s="14">
        <v>2024</v>
      </c>
      <c r="E325" s="14" t="s">
        <v>1578</v>
      </c>
      <c r="F325" s="14" t="s">
        <v>107</v>
      </c>
      <c r="G325" s="14" t="s">
        <v>108</v>
      </c>
      <c r="H325" s="14">
        <v>1</v>
      </c>
      <c r="I325" s="14">
        <v>159910</v>
      </c>
      <c r="J325" s="14">
        <v>10</v>
      </c>
      <c r="K325" s="14">
        <v>143919</v>
      </c>
      <c r="L325" s="14" t="s">
        <v>73</v>
      </c>
      <c r="M325" s="14" t="s">
        <v>3980</v>
      </c>
      <c r="N325" s="14" t="s">
        <v>3983</v>
      </c>
      <c r="O325" s="14" t="str">
        <f>IFERROR(INDEX(Cleaned_Products!$C$2:$C$61,MATCH(F325,Cleaned_Products!$A$2:$A$61,0)),"Unknown")</f>
        <v>Earrings</v>
      </c>
      <c r="P325" s="14" t="str">
        <f>IFERROR(INDEX(Cleaned_Products!$D$2:$D$61,MATCH(F325,Cleaned_Products!$A$2:$A$61,0)),"Unknown")</f>
        <v>Platinum</v>
      </c>
    </row>
    <row r="326" spans="1:16" x14ac:dyDescent="0.35">
      <c r="A326" s="14" t="s">
        <v>1579</v>
      </c>
      <c r="B326" s="21">
        <v>45575</v>
      </c>
      <c r="C326" s="14" t="s">
        <v>3981</v>
      </c>
      <c r="D326" s="14">
        <v>2024</v>
      </c>
      <c r="E326" s="14" t="s">
        <v>285</v>
      </c>
      <c r="F326" s="14" t="s">
        <v>112</v>
      </c>
      <c r="G326" s="14" t="s">
        <v>64</v>
      </c>
      <c r="H326" s="14">
        <v>3</v>
      </c>
      <c r="I326" s="14">
        <v>64430</v>
      </c>
      <c r="J326" s="14">
        <v>15</v>
      </c>
      <c r="K326" s="14">
        <v>164296.5</v>
      </c>
      <c r="L326" s="14" t="s">
        <v>95</v>
      </c>
      <c r="M326" s="14" t="s">
        <v>3975</v>
      </c>
      <c r="N326" s="14" t="s">
        <v>1581</v>
      </c>
      <c r="O326" s="14" t="str">
        <f>IFERROR(INDEX(Cleaned_Products!$C$2:$C$61,MATCH(F326,Cleaned_Products!$A$2:$A$61,0)),"Unknown")</f>
        <v>Bangles</v>
      </c>
      <c r="P326" s="14" t="str">
        <f>IFERROR(INDEX(Cleaned_Products!$D$2:$D$61,MATCH(F326,Cleaned_Products!$A$2:$A$61,0)),"Unknown")</f>
        <v>Rose Gold</v>
      </c>
    </row>
    <row r="327" spans="1:16" x14ac:dyDescent="0.35">
      <c r="A327" s="14" t="s">
        <v>1582</v>
      </c>
      <c r="B327" s="21">
        <v>45545</v>
      </c>
      <c r="C327" s="14" t="s">
        <v>4003</v>
      </c>
      <c r="D327" s="14">
        <v>2024</v>
      </c>
      <c r="E327" s="14" t="s">
        <v>1584</v>
      </c>
      <c r="F327" s="14" t="s">
        <v>196</v>
      </c>
      <c r="G327" s="14" t="s">
        <v>108</v>
      </c>
      <c r="H327" s="14">
        <v>2</v>
      </c>
      <c r="I327" s="14">
        <v>41320</v>
      </c>
      <c r="J327" s="14">
        <v>10</v>
      </c>
      <c r="K327" s="14">
        <v>74376</v>
      </c>
      <c r="L327" s="14" t="s">
        <v>121</v>
      </c>
      <c r="M327" s="14" t="s">
        <v>3975</v>
      </c>
      <c r="N327" s="14" t="s">
        <v>1585</v>
      </c>
      <c r="O327" s="14" t="str">
        <f>IFERROR(INDEX(Cleaned_Products!$C$2:$C$61,MATCH(F327,Cleaned_Products!$A$2:$A$61,0)),"Unknown")</f>
        <v>Pendants</v>
      </c>
      <c r="P327" s="14" t="str">
        <f>IFERROR(INDEX(Cleaned_Products!$D$2:$D$61,MATCH(F327,Cleaned_Products!$A$2:$A$61,0)),"Unknown")</f>
        <v>Diamond</v>
      </c>
    </row>
    <row r="328" spans="1:16" x14ac:dyDescent="0.35">
      <c r="A328" s="14" t="s">
        <v>1590</v>
      </c>
      <c r="B328" s="21">
        <v>45012</v>
      </c>
      <c r="C328" s="14" t="s">
        <v>3982</v>
      </c>
      <c r="D328" s="14">
        <v>2023</v>
      </c>
      <c r="E328" s="14" t="s">
        <v>225</v>
      </c>
      <c r="F328" s="14" t="s">
        <v>684</v>
      </c>
      <c r="G328" s="14" t="s">
        <v>64</v>
      </c>
      <c r="H328" s="14">
        <v>2</v>
      </c>
      <c r="I328" s="14">
        <v>18500</v>
      </c>
      <c r="J328" s="14">
        <v>0</v>
      </c>
      <c r="K328" s="14">
        <v>37000</v>
      </c>
      <c r="L328" s="14" t="s">
        <v>3977</v>
      </c>
      <c r="M328" s="14" t="s">
        <v>3975</v>
      </c>
      <c r="N328" s="14" t="s">
        <v>1592</v>
      </c>
      <c r="O328" s="14" t="str">
        <f>IFERROR(INDEX(Cleaned_Products!$C$2:$C$61,MATCH(F328,Cleaned_Products!$A$2:$A$61,0)),"Unknown")</f>
        <v>Nose Pins</v>
      </c>
      <c r="P328" s="14" t="str">
        <f>IFERROR(INDEX(Cleaned_Products!$D$2:$D$61,MATCH(F328,Cleaned_Products!$A$2:$A$61,0)),"Unknown")</f>
        <v>Silver</v>
      </c>
    </row>
    <row r="329" spans="1:16" x14ac:dyDescent="0.35">
      <c r="A329" s="14" t="s">
        <v>1595</v>
      </c>
      <c r="B329" s="21">
        <v>45440</v>
      </c>
      <c r="C329" s="14" t="s">
        <v>4007</v>
      </c>
      <c r="D329" s="14">
        <v>2024</v>
      </c>
      <c r="E329" s="14" t="s">
        <v>385</v>
      </c>
      <c r="F329" s="14" t="s">
        <v>259</v>
      </c>
      <c r="G329" s="14" t="s">
        <v>80</v>
      </c>
      <c r="H329" s="14">
        <v>1</v>
      </c>
      <c r="I329" s="14">
        <v>66660</v>
      </c>
      <c r="J329" s="14">
        <v>5</v>
      </c>
      <c r="K329" s="14">
        <v>63327</v>
      </c>
      <c r="L329" s="14" t="s">
        <v>73</v>
      </c>
      <c r="M329" s="14" t="s">
        <v>3975</v>
      </c>
      <c r="N329" s="14" t="s">
        <v>1597</v>
      </c>
      <c r="O329" s="14" t="str">
        <f>IFERROR(INDEX(Cleaned_Products!$C$2:$C$61,MATCH(F329,Cleaned_Products!$A$2:$A$61,0)),"Unknown")</f>
        <v>Pendants</v>
      </c>
      <c r="P329" s="14" t="str">
        <f>IFERROR(INDEX(Cleaned_Products!$D$2:$D$61,MATCH(F329,Cleaned_Products!$A$2:$A$61,0)),"Unknown")</f>
        <v>Platinum</v>
      </c>
    </row>
    <row r="330" spans="1:16" x14ac:dyDescent="0.35">
      <c r="A330" s="14" t="s">
        <v>1598</v>
      </c>
      <c r="B330" s="21">
        <v>45553</v>
      </c>
      <c r="C330" s="14" t="s">
        <v>4003</v>
      </c>
      <c r="D330" s="14">
        <v>2024</v>
      </c>
      <c r="E330" s="14" t="s">
        <v>1502</v>
      </c>
      <c r="F330" s="14" t="s">
        <v>207</v>
      </c>
      <c r="G330" s="14" t="s">
        <v>64</v>
      </c>
      <c r="H330" s="14">
        <v>1</v>
      </c>
      <c r="I330" s="14">
        <v>85470</v>
      </c>
      <c r="J330" s="14">
        <v>10</v>
      </c>
      <c r="K330" s="14">
        <v>76923</v>
      </c>
      <c r="L330" s="14" t="s">
        <v>3977</v>
      </c>
      <c r="M330" s="14" t="s">
        <v>3980</v>
      </c>
      <c r="N330" s="14" t="s">
        <v>3983</v>
      </c>
      <c r="O330" s="14" t="str">
        <f>IFERROR(INDEX(Cleaned_Products!$C$2:$C$61,MATCH(F330,Cleaned_Products!$A$2:$A$61,0)),"Unknown")</f>
        <v>Anklets</v>
      </c>
      <c r="P330" s="14" t="str">
        <f>IFERROR(INDEX(Cleaned_Products!$D$2:$D$61,MATCH(F330,Cleaned_Products!$A$2:$A$61,0)),"Unknown")</f>
        <v>Silver</v>
      </c>
    </row>
    <row r="331" spans="1:16" x14ac:dyDescent="0.35">
      <c r="A331" s="14" t="s">
        <v>1601</v>
      </c>
      <c r="B331" s="21">
        <v>45293</v>
      </c>
      <c r="C331" s="14" t="s">
        <v>3993</v>
      </c>
      <c r="D331" s="14">
        <v>2024</v>
      </c>
      <c r="E331" s="14" t="s">
        <v>758</v>
      </c>
      <c r="F331" s="14" t="s">
        <v>445</v>
      </c>
      <c r="G331" s="14" t="s">
        <v>101</v>
      </c>
      <c r="H331" s="14">
        <v>1</v>
      </c>
      <c r="I331" s="14">
        <v>138840</v>
      </c>
      <c r="J331" s="14">
        <v>0</v>
      </c>
      <c r="K331" s="14">
        <v>138840</v>
      </c>
      <c r="L331" s="14" t="s">
        <v>3977</v>
      </c>
      <c r="M331" s="14" t="s">
        <v>3980</v>
      </c>
      <c r="N331" s="14" t="s">
        <v>1603</v>
      </c>
      <c r="O331" s="14" t="str">
        <f>IFERROR(INDEX(Cleaned_Products!$C$2:$C$61,MATCH(F331,Cleaned_Products!$A$2:$A$61,0)),"Unknown")</f>
        <v>Bangles</v>
      </c>
      <c r="P331" s="14" t="str">
        <f>IFERROR(INDEX(Cleaned_Products!$D$2:$D$61,MATCH(F331,Cleaned_Products!$A$2:$A$61,0)),"Unknown")</f>
        <v>Diamond</v>
      </c>
    </row>
    <row r="332" spans="1:16" x14ac:dyDescent="0.35">
      <c r="A332" s="14" t="s">
        <v>1607</v>
      </c>
      <c r="B332" s="21">
        <v>44989</v>
      </c>
      <c r="C332" s="14" t="s">
        <v>3982</v>
      </c>
      <c r="D332" s="14">
        <v>2023</v>
      </c>
      <c r="E332" s="14" t="s">
        <v>3995</v>
      </c>
      <c r="F332" s="14" t="s">
        <v>435</v>
      </c>
      <c r="G332" s="14" t="s">
        <v>101</v>
      </c>
      <c r="H332" s="14">
        <v>3</v>
      </c>
      <c r="I332" s="14">
        <v>89820</v>
      </c>
      <c r="J332" s="14">
        <v>0</v>
      </c>
      <c r="K332" s="14">
        <v>269460</v>
      </c>
      <c r="L332" s="14" t="s">
        <v>73</v>
      </c>
      <c r="M332" s="14" t="s">
        <v>3975</v>
      </c>
      <c r="N332" s="14" t="s">
        <v>1609</v>
      </c>
      <c r="O332" s="14" t="str">
        <f>IFERROR(INDEX(Cleaned_Products!$C$2:$C$61,MATCH(F332,Cleaned_Products!$A$2:$A$61,0)),"Unknown")</f>
        <v>Bangles</v>
      </c>
      <c r="P332" s="14" t="str">
        <f>IFERROR(INDEX(Cleaned_Products!$D$2:$D$61,MATCH(F332,Cleaned_Products!$A$2:$A$61,0)),"Unknown")</f>
        <v>Platinum</v>
      </c>
    </row>
    <row r="333" spans="1:16" x14ac:dyDescent="0.35">
      <c r="A333" s="14" t="s">
        <v>1610</v>
      </c>
      <c r="B333" s="21">
        <v>45415</v>
      </c>
      <c r="C333" s="14" t="s">
        <v>4007</v>
      </c>
      <c r="D333" s="14">
        <v>2024</v>
      </c>
      <c r="E333" s="14" t="s">
        <v>558</v>
      </c>
      <c r="F333" s="14" t="s">
        <v>432</v>
      </c>
      <c r="G333" s="14" t="s">
        <v>56</v>
      </c>
      <c r="H333" s="14">
        <v>3</v>
      </c>
      <c r="I333" s="14">
        <v>39370</v>
      </c>
      <c r="J333" s="14">
        <v>0</v>
      </c>
      <c r="K333" s="14">
        <v>118110</v>
      </c>
      <c r="L333" s="14" t="s">
        <v>3979</v>
      </c>
      <c r="M333" s="14" t="s">
        <v>3980</v>
      </c>
      <c r="N333" s="14" t="s">
        <v>1612</v>
      </c>
      <c r="O333" s="14" t="str">
        <f>IFERROR(INDEX(Cleaned_Products!$C$2:$C$61,MATCH(F333,Cleaned_Products!$A$2:$A$61,0)),"Unknown")</f>
        <v>Earrings</v>
      </c>
      <c r="P333" s="14" t="str">
        <f>IFERROR(INDEX(Cleaned_Products!$D$2:$D$61,MATCH(F333,Cleaned_Products!$A$2:$A$61,0)),"Unknown")</f>
        <v>Gold</v>
      </c>
    </row>
    <row r="334" spans="1:16" x14ac:dyDescent="0.35">
      <c r="A334" s="14" t="s">
        <v>1613</v>
      </c>
      <c r="B334" s="21">
        <v>45793</v>
      </c>
      <c r="C334" s="14" t="s">
        <v>4004</v>
      </c>
      <c r="D334" s="14">
        <v>2025</v>
      </c>
      <c r="E334" s="14" t="s">
        <v>457</v>
      </c>
      <c r="F334" s="14" t="s">
        <v>989</v>
      </c>
      <c r="G334" s="14" t="s">
        <v>108</v>
      </c>
      <c r="H334" s="14">
        <v>2</v>
      </c>
      <c r="I334" s="14">
        <v>238110</v>
      </c>
      <c r="J334" s="14">
        <v>5</v>
      </c>
      <c r="K334" s="14">
        <v>452409</v>
      </c>
      <c r="L334" s="14" t="s">
        <v>3974</v>
      </c>
      <c r="M334" s="14" t="s">
        <v>3980</v>
      </c>
      <c r="N334" s="14" t="s">
        <v>3983</v>
      </c>
      <c r="O334" s="14" t="str">
        <f>IFERROR(INDEX(Cleaned_Products!$C$2:$C$61,MATCH(F334,Cleaned_Products!$A$2:$A$61,0)),"Unknown")</f>
        <v>Anklets</v>
      </c>
      <c r="P334" s="14" t="str">
        <f>IFERROR(INDEX(Cleaned_Products!$D$2:$D$61,MATCH(F334,Cleaned_Products!$A$2:$A$61,0)),"Unknown")</f>
        <v>Rose Gold</v>
      </c>
    </row>
    <row r="335" spans="1:16" x14ac:dyDescent="0.35">
      <c r="A335" s="14" t="s">
        <v>1616</v>
      </c>
      <c r="B335" s="21">
        <v>44939</v>
      </c>
      <c r="C335" s="14" t="s">
        <v>3987</v>
      </c>
      <c r="D335" s="14">
        <v>2023</v>
      </c>
      <c r="E335" s="14" t="s">
        <v>758</v>
      </c>
      <c r="F335" s="14" t="s">
        <v>163</v>
      </c>
      <c r="G335" s="14" t="s">
        <v>126</v>
      </c>
      <c r="H335" s="14">
        <v>1</v>
      </c>
      <c r="I335" s="14">
        <v>92170</v>
      </c>
      <c r="J335" s="14">
        <v>0</v>
      </c>
      <c r="K335" s="14">
        <v>92170</v>
      </c>
      <c r="L335" s="14" t="s">
        <v>3979</v>
      </c>
      <c r="M335" s="14" t="s">
        <v>3975</v>
      </c>
      <c r="N335" s="14" t="s">
        <v>1619</v>
      </c>
      <c r="O335" s="14" t="str">
        <f>IFERROR(INDEX(Cleaned_Products!$C$2:$C$61,MATCH(F335,Cleaned_Products!$A$2:$A$61,0)),"Unknown")</f>
        <v>Earrings</v>
      </c>
      <c r="P335" s="14" t="str">
        <f>IFERROR(INDEX(Cleaned_Products!$D$2:$D$61,MATCH(F335,Cleaned_Products!$A$2:$A$61,0)),"Unknown")</f>
        <v>Diamond</v>
      </c>
    </row>
    <row r="336" spans="1:16" x14ac:dyDescent="0.35">
      <c r="A336" s="14" t="s">
        <v>1620</v>
      </c>
      <c r="B336" s="21">
        <v>45856</v>
      </c>
      <c r="C336" s="14" t="s">
        <v>3991</v>
      </c>
      <c r="D336" s="14">
        <v>2025</v>
      </c>
      <c r="E336" s="14" t="s">
        <v>277</v>
      </c>
      <c r="F336" s="14" t="s">
        <v>167</v>
      </c>
      <c r="G336" s="14" t="s">
        <v>56</v>
      </c>
      <c r="H336" s="14">
        <v>2</v>
      </c>
      <c r="I336" s="14">
        <v>45880</v>
      </c>
      <c r="J336" s="14">
        <v>5</v>
      </c>
      <c r="K336" s="14">
        <v>87172</v>
      </c>
      <c r="L336" s="14" t="s">
        <v>121</v>
      </c>
      <c r="M336" s="14" t="s">
        <v>3975</v>
      </c>
      <c r="N336" s="14" t="s">
        <v>1622</v>
      </c>
      <c r="O336" s="14" t="str">
        <f>IFERROR(INDEX(Cleaned_Products!$C$2:$C$61,MATCH(F336,Cleaned_Products!$A$2:$A$61,0)),"Unknown")</f>
        <v>Nose Pins</v>
      </c>
      <c r="P336" s="14" t="str">
        <f>IFERROR(INDEX(Cleaned_Products!$D$2:$D$61,MATCH(F336,Cleaned_Products!$A$2:$A$61,0)),"Unknown")</f>
        <v>Rose Gold</v>
      </c>
    </row>
    <row r="337" spans="1:16" x14ac:dyDescent="0.35">
      <c r="A337" s="14" t="s">
        <v>1623</v>
      </c>
      <c r="B337" s="21">
        <v>45334</v>
      </c>
      <c r="C337" s="14" t="s">
        <v>3999</v>
      </c>
      <c r="D337" s="14">
        <v>2024</v>
      </c>
      <c r="E337" s="14" t="s">
        <v>1332</v>
      </c>
      <c r="F337" s="14" t="s">
        <v>576</v>
      </c>
      <c r="G337" s="14" t="s">
        <v>80</v>
      </c>
      <c r="H337" s="14">
        <v>1</v>
      </c>
      <c r="I337" s="14">
        <v>111690</v>
      </c>
      <c r="J337" s="14">
        <v>0</v>
      </c>
      <c r="K337" s="14">
        <v>111690</v>
      </c>
      <c r="L337" s="14" t="s">
        <v>3974</v>
      </c>
      <c r="M337" s="14" t="s">
        <v>3975</v>
      </c>
      <c r="N337" s="14" t="s">
        <v>1625</v>
      </c>
      <c r="O337" s="14" t="str">
        <f>IFERROR(INDEX(Cleaned_Products!$C$2:$C$61,MATCH(F337,Cleaned_Products!$A$2:$A$61,0)),"Unknown")</f>
        <v>Bangles</v>
      </c>
      <c r="P337" s="14" t="str">
        <f>IFERROR(INDEX(Cleaned_Products!$D$2:$D$61,MATCH(F337,Cleaned_Products!$A$2:$A$61,0)),"Unknown")</f>
        <v>Diamond</v>
      </c>
    </row>
    <row r="338" spans="1:16" x14ac:dyDescent="0.35">
      <c r="A338" s="14" t="s">
        <v>1626</v>
      </c>
      <c r="B338" s="21">
        <v>45692</v>
      </c>
      <c r="C338" s="14" t="s">
        <v>3989</v>
      </c>
      <c r="D338" s="14">
        <v>2025</v>
      </c>
      <c r="E338" s="14" t="s">
        <v>1289</v>
      </c>
      <c r="F338" s="14" t="s">
        <v>216</v>
      </c>
      <c r="G338" s="14" t="s">
        <v>64</v>
      </c>
      <c r="H338" s="14">
        <v>2</v>
      </c>
      <c r="I338" s="14">
        <v>117360</v>
      </c>
      <c r="J338" s="14">
        <v>15</v>
      </c>
      <c r="K338" s="14">
        <v>199512</v>
      </c>
      <c r="L338" s="14" t="s">
        <v>3977</v>
      </c>
      <c r="M338" s="14" t="s">
        <v>3980</v>
      </c>
      <c r="N338" s="14" t="s">
        <v>3983</v>
      </c>
      <c r="O338" s="14" t="str">
        <f>IFERROR(INDEX(Cleaned_Products!$C$2:$C$61,MATCH(F338,Cleaned_Products!$A$2:$A$61,0)),"Unknown")</f>
        <v>Bracelets</v>
      </c>
      <c r="P338" s="14" t="str">
        <f>IFERROR(INDEX(Cleaned_Products!$D$2:$D$61,MATCH(F338,Cleaned_Products!$A$2:$A$61,0)),"Unknown")</f>
        <v>Silver</v>
      </c>
    </row>
    <row r="339" spans="1:16" x14ac:dyDescent="0.35">
      <c r="A339" s="14" t="s">
        <v>1629</v>
      </c>
      <c r="B339" s="21">
        <v>45291</v>
      </c>
      <c r="C339" s="14" t="s">
        <v>4008</v>
      </c>
      <c r="D339" s="14">
        <v>2023</v>
      </c>
      <c r="E339" s="14" t="s">
        <v>791</v>
      </c>
      <c r="F339" s="14" t="s">
        <v>360</v>
      </c>
      <c r="G339" s="14" t="s">
        <v>56</v>
      </c>
      <c r="H339" s="14">
        <v>3</v>
      </c>
      <c r="I339" s="14">
        <v>30360</v>
      </c>
      <c r="J339" s="14">
        <v>5</v>
      </c>
      <c r="K339" s="14">
        <v>86526</v>
      </c>
      <c r="L339" s="14" t="s">
        <v>3974</v>
      </c>
      <c r="M339" s="14" t="s">
        <v>3980</v>
      </c>
      <c r="N339" s="14" t="s">
        <v>3983</v>
      </c>
      <c r="O339" s="14" t="str">
        <f>IFERROR(INDEX(Cleaned_Products!$C$2:$C$61,MATCH(F339,Cleaned_Products!$A$2:$A$61,0)),"Unknown")</f>
        <v>Pendants</v>
      </c>
      <c r="P339" s="14" t="str">
        <f>IFERROR(INDEX(Cleaned_Products!$D$2:$D$61,MATCH(F339,Cleaned_Products!$A$2:$A$61,0)),"Unknown")</f>
        <v>Diamond</v>
      </c>
    </row>
    <row r="340" spans="1:16" x14ac:dyDescent="0.35">
      <c r="A340" s="14" t="s">
        <v>1636</v>
      </c>
      <c r="B340" s="21">
        <v>45435</v>
      </c>
      <c r="C340" s="14" t="s">
        <v>4007</v>
      </c>
      <c r="D340" s="14">
        <v>2024</v>
      </c>
      <c r="E340" s="14" t="s">
        <v>1085</v>
      </c>
      <c r="F340" s="14" t="s">
        <v>207</v>
      </c>
      <c r="G340" s="14" t="s">
        <v>64</v>
      </c>
      <c r="H340" s="14">
        <v>1</v>
      </c>
      <c r="I340" s="14">
        <v>168260</v>
      </c>
      <c r="J340" s="14">
        <v>10</v>
      </c>
      <c r="K340" s="14">
        <v>151434</v>
      </c>
      <c r="L340" s="14" t="s">
        <v>121</v>
      </c>
      <c r="M340" s="14" t="s">
        <v>3975</v>
      </c>
      <c r="N340" s="14" t="s">
        <v>1638</v>
      </c>
      <c r="O340" s="14" t="str">
        <f>IFERROR(INDEX(Cleaned_Products!$C$2:$C$61,MATCH(F340,Cleaned_Products!$A$2:$A$61,0)),"Unknown")</f>
        <v>Anklets</v>
      </c>
      <c r="P340" s="14" t="str">
        <f>IFERROR(INDEX(Cleaned_Products!$D$2:$D$61,MATCH(F340,Cleaned_Products!$A$2:$A$61,0)),"Unknown")</f>
        <v>Silver</v>
      </c>
    </row>
    <row r="341" spans="1:16" x14ac:dyDescent="0.35">
      <c r="A341" s="14" t="s">
        <v>1639</v>
      </c>
      <c r="B341" s="21">
        <v>45060</v>
      </c>
      <c r="C341" s="14" t="s">
        <v>3973</v>
      </c>
      <c r="D341" s="14">
        <v>2023</v>
      </c>
      <c r="E341" s="14" t="s">
        <v>368</v>
      </c>
      <c r="F341" s="14" t="s">
        <v>315</v>
      </c>
      <c r="G341" s="14" t="s">
        <v>72</v>
      </c>
      <c r="H341" s="14">
        <v>3</v>
      </c>
      <c r="I341" s="14">
        <v>82220</v>
      </c>
      <c r="J341" s="14">
        <v>10</v>
      </c>
      <c r="K341" s="14">
        <v>221994</v>
      </c>
      <c r="L341" s="14" t="s">
        <v>3979</v>
      </c>
      <c r="M341" s="14" t="s">
        <v>3975</v>
      </c>
      <c r="N341" s="14" t="s">
        <v>1641</v>
      </c>
      <c r="O341" s="14" t="str">
        <f>IFERROR(INDEX(Cleaned_Products!$C$2:$C$61,MATCH(F341,Cleaned_Products!$A$2:$A$61,0)),"Unknown")</f>
        <v>Bracelets</v>
      </c>
      <c r="P341" s="14" t="str">
        <f>IFERROR(INDEX(Cleaned_Products!$D$2:$D$61,MATCH(F341,Cleaned_Products!$A$2:$A$61,0)),"Unknown")</f>
        <v>Rose Gold</v>
      </c>
    </row>
    <row r="342" spans="1:16" x14ac:dyDescent="0.35">
      <c r="A342" s="14" t="s">
        <v>1644</v>
      </c>
      <c r="B342" s="21">
        <v>45390</v>
      </c>
      <c r="C342" s="14" t="s">
        <v>4000</v>
      </c>
      <c r="D342" s="14">
        <v>2024</v>
      </c>
      <c r="E342" s="14" t="s">
        <v>621</v>
      </c>
      <c r="F342" s="14" t="s">
        <v>63</v>
      </c>
      <c r="G342" s="14" t="s">
        <v>56</v>
      </c>
      <c r="H342" s="14">
        <v>3</v>
      </c>
      <c r="I342" s="14">
        <v>179120</v>
      </c>
      <c r="J342" s="14">
        <v>10</v>
      </c>
      <c r="K342" s="14">
        <v>483624</v>
      </c>
      <c r="L342" s="14" t="s">
        <v>121</v>
      </c>
      <c r="M342" s="14" t="s">
        <v>3975</v>
      </c>
      <c r="N342" s="14" t="s">
        <v>1646</v>
      </c>
      <c r="O342" s="14" t="str">
        <f>IFERROR(INDEX(Cleaned_Products!$C$2:$C$61,MATCH(F342,Cleaned_Products!$A$2:$A$61,0)),"Unknown")</f>
        <v>Anklets</v>
      </c>
      <c r="P342" s="14" t="str">
        <f>IFERROR(INDEX(Cleaned_Products!$D$2:$D$61,MATCH(F342,Cleaned_Products!$A$2:$A$61,0)),"Unknown")</f>
        <v>Diamond</v>
      </c>
    </row>
    <row r="343" spans="1:16" x14ac:dyDescent="0.35">
      <c r="A343" s="14" t="s">
        <v>1651</v>
      </c>
      <c r="B343" s="21">
        <v>45718</v>
      </c>
      <c r="C343" s="14" t="s">
        <v>4002</v>
      </c>
      <c r="D343" s="14">
        <v>2025</v>
      </c>
      <c r="E343" s="14" t="s">
        <v>1332</v>
      </c>
      <c r="F343" s="14" t="s">
        <v>348</v>
      </c>
      <c r="G343" s="14" t="s">
        <v>80</v>
      </c>
      <c r="H343" s="14">
        <v>2</v>
      </c>
      <c r="I343" s="14">
        <v>168900</v>
      </c>
      <c r="J343" s="14">
        <v>0</v>
      </c>
      <c r="K343" s="14">
        <v>337800</v>
      </c>
      <c r="L343" s="14" t="s">
        <v>3979</v>
      </c>
      <c r="M343" s="14" t="s">
        <v>3975</v>
      </c>
      <c r="N343" s="14" t="s">
        <v>1653</v>
      </c>
      <c r="O343" s="14" t="str">
        <f>IFERROR(INDEX(Cleaned_Products!$C$2:$C$61,MATCH(F343,Cleaned_Products!$A$2:$A$61,0)),"Unknown")</f>
        <v>Rings</v>
      </c>
      <c r="P343" s="14" t="str">
        <f>IFERROR(INDEX(Cleaned_Products!$D$2:$D$61,MATCH(F343,Cleaned_Products!$A$2:$A$61,0)),"Unknown")</f>
        <v>Gold</v>
      </c>
    </row>
    <row r="344" spans="1:16" x14ac:dyDescent="0.35">
      <c r="A344" s="14" t="s">
        <v>1654</v>
      </c>
      <c r="B344" s="21">
        <v>45273</v>
      </c>
      <c r="C344" s="14" t="s">
        <v>4008</v>
      </c>
      <c r="D344" s="14">
        <v>2023</v>
      </c>
      <c r="E344" s="14" t="s">
        <v>890</v>
      </c>
      <c r="F344" s="14" t="s">
        <v>94</v>
      </c>
      <c r="G344" s="14" t="s">
        <v>126</v>
      </c>
      <c r="H344" s="14">
        <v>3</v>
      </c>
      <c r="I344" s="14">
        <v>203130</v>
      </c>
      <c r="J344" s="14">
        <v>0</v>
      </c>
      <c r="K344" s="14">
        <v>609390</v>
      </c>
      <c r="L344" s="14" t="s">
        <v>73</v>
      </c>
      <c r="M344" s="14" t="s">
        <v>3980</v>
      </c>
      <c r="N344" s="14" t="s">
        <v>1656</v>
      </c>
      <c r="O344" s="14" t="str">
        <f>IFERROR(INDEX(Cleaned_Products!$C$2:$C$61,MATCH(F344,Cleaned_Products!$A$2:$A$61,0)),"Unknown")</f>
        <v>Nose Pins</v>
      </c>
      <c r="P344" s="14" t="str">
        <f>IFERROR(INDEX(Cleaned_Products!$D$2:$D$61,MATCH(F344,Cleaned_Products!$A$2:$A$61,0)),"Unknown")</f>
        <v>Rose Gold</v>
      </c>
    </row>
    <row r="345" spans="1:16" x14ac:dyDescent="0.35">
      <c r="A345" s="14" t="s">
        <v>1661</v>
      </c>
      <c r="B345" s="21">
        <v>45365</v>
      </c>
      <c r="C345" s="14" t="s">
        <v>3985</v>
      </c>
      <c r="D345" s="14">
        <v>2024</v>
      </c>
      <c r="E345" s="14" t="s">
        <v>414</v>
      </c>
      <c r="F345" s="14" t="s">
        <v>63</v>
      </c>
      <c r="G345" s="14" t="s">
        <v>108</v>
      </c>
      <c r="H345" s="14">
        <v>1</v>
      </c>
      <c r="I345" s="14">
        <v>166670</v>
      </c>
      <c r="J345" s="14">
        <v>15</v>
      </c>
      <c r="K345" s="14">
        <v>141669.5</v>
      </c>
      <c r="L345" s="14" t="s">
        <v>95</v>
      </c>
      <c r="M345" s="14" t="s">
        <v>3980</v>
      </c>
      <c r="N345" s="14" t="s">
        <v>3983</v>
      </c>
      <c r="O345" s="14" t="str">
        <f>IFERROR(INDEX(Cleaned_Products!$C$2:$C$61,MATCH(F345,Cleaned_Products!$A$2:$A$61,0)),"Unknown")</f>
        <v>Anklets</v>
      </c>
      <c r="P345" s="14" t="str">
        <f>IFERROR(INDEX(Cleaned_Products!$D$2:$D$61,MATCH(F345,Cleaned_Products!$A$2:$A$61,0)),"Unknown")</f>
        <v>Diamond</v>
      </c>
    </row>
    <row r="346" spans="1:16" x14ac:dyDescent="0.35">
      <c r="A346" s="14" t="s">
        <v>1666</v>
      </c>
      <c r="B346" s="21">
        <v>44953</v>
      </c>
      <c r="C346" s="14" t="s">
        <v>3987</v>
      </c>
      <c r="D346" s="14">
        <v>2023</v>
      </c>
      <c r="E346" s="14" t="s">
        <v>400</v>
      </c>
      <c r="F346" s="14" t="s">
        <v>390</v>
      </c>
      <c r="G346" s="14" t="s">
        <v>108</v>
      </c>
      <c r="H346" s="14">
        <v>2</v>
      </c>
      <c r="I346" s="14">
        <v>79440</v>
      </c>
      <c r="J346" s="14">
        <v>15</v>
      </c>
      <c r="K346" s="14">
        <v>135048</v>
      </c>
      <c r="L346" s="14" t="s">
        <v>3974</v>
      </c>
      <c r="M346" s="14" t="s">
        <v>3975</v>
      </c>
      <c r="N346" s="14" t="s">
        <v>1668</v>
      </c>
      <c r="O346" s="14" t="str">
        <f>IFERROR(INDEX(Cleaned_Products!$C$2:$C$61,MATCH(F346,Cleaned_Products!$A$2:$A$61,0)),"Unknown")</f>
        <v>Bracelets</v>
      </c>
      <c r="P346" s="14" t="str">
        <f>IFERROR(INDEX(Cleaned_Products!$D$2:$D$61,MATCH(F346,Cleaned_Products!$A$2:$A$61,0)),"Unknown")</f>
        <v>Platinum</v>
      </c>
    </row>
    <row r="347" spans="1:16" x14ac:dyDescent="0.35">
      <c r="A347" s="14" t="s">
        <v>1673</v>
      </c>
      <c r="B347" s="21">
        <v>45248</v>
      </c>
      <c r="C347" s="14" t="s">
        <v>3978</v>
      </c>
      <c r="D347" s="14">
        <v>2023</v>
      </c>
      <c r="E347" s="14" t="s">
        <v>157</v>
      </c>
      <c r="F347" s="14" t="s">
        <v>315</v>
      </c>
      <c r="G347" s="14" t="s">
        <v>108</v>
      </c>
      <c r="H347" s="14">
        <v>2</v>
      </c>
      <c r="I347" s="14">
        <v>115170</v>
      </c>
      <c r="J347" s="14">
        <v>0</v>
      </c>
      <c r="K347" s="14">
        <v>230340</v>
      </c>
      <c r="L347" s="14" t="s">
        <v>3979</v>
      </c>
      <c r="M347" s="14" t="s">
        <v>3975</v>
      </c>
      <c r="N347" s="14" t="s">
        <v>1675</v>
      </c>
      <c r="O347" s="14" t="str">
        <f>IFERROR(INDEX(Cleaned_Products!$C$2:$C$61,MATCH(F347,Cleaned_Products!$A$2:$A$61,0)),"Unknown")</f>
        <v>Bracelets</v>
      </c>
      <c r="P347" s="14" t="str">
        <f>IFERROR(INDEX(Cleaned_Products!$D$2:$D$61,MATCH(F347,Cleaned_Products!$A$2:$A$61,0)),"Unknown")</f>
        <v>Rose Gold</v>
      </c>
    </row>
    <row r="348" spans="1:16" x14ac:dyDescent="0.35">
      <c r="A348" s="14" t="s">
        <v>1676</v>
      </c>
      <c r="B348" s="21">
        <v>45861</v>
      </c>
      <c r="C348" s="14" t="s">
        <v>3991</v>
      </c>
      <c r="D348" s="14">
        <v>2025</v>
      </c>
      <c r="E348" s="14" t="s">
        <v>1224</v>
      </c>
      <c r="F348" s="14" t="s">
        <v>520</v>
      </c>
      <c r="G348" s="14" t="s">
        <v>64</v>
      </c>
      <c r="H348" s="14">
        <v>1</v>
      </c>
      <c r="I348" s="14">
        <v>22420</v>
      </c>
      <c r="J348" s="14">
        <v>10</v>
      </c>
      <c r="K348" s="14">
        <v>20178</v>
      </c>
      <c r="L348" s="14" t="s">
        <v>3977</v>
      </c>
      <c r="M348" s="14" t="s">
        <v>3975</v>
      </c>
      <c r="N348" s="14" t="s">
        <v>1678</v>
      </c>
      <c r="O348" s="14" t="str">
        <f>IFERROR(INDEX(Cleaned_Products!$C$2:$C$61,MATCH(F348,Cleaned_Products!$A$2:$A$61,0)),"Unknown")</f>
        <v>Earrings</v>
      </c>
      <c r="P348" s="14">
        <f>IFERROR(INDEX(Cleaned_Products!$D$2:$D$61,MATCH(F348,Cleaned_Products!$A$2:$A$61,0)),"Unknown")</f>
        <v>0</v>
      </c>
    </row>
    <row r="349" spans="1:16" x14ac:dyDescent="0.35">
      <c r="A349" s="14" t="s">
        <v>1679</v>
      </c>
      <c r="B349" s="21">
        <v>45268</v>
      </c>
      <c r="C349" s="14" t="s">
        <v>4008</v>
      </c>
      <c r="D349" s="14">
        <v>2023</v>
      </c>
      <c r="E349" s="14" t="s">
        <v>1009</v>
      </c>
      <c r="F349" s="14" t="s">
        <v>576</v>
      </c>
      <c r="G349" s="14" t="s">
        <v>101</v>
      </c>
      <c r="H349" s="14">
        <v>3</v>
      </c>
      <c r="I349" s="14">
        <v>145200</v>
      </c>
      <c r="J349" s="14">
        <v>5</v>
      </c>
      <c r="K349" s="14">
        <v>413820</v>
      </c>
      <c r="L349" s="14" t="s">
        <v>95</v>
      </c>
      <c r="M349" s="14" t="s">
        <v>3975</v>
      </c>
      <c r="N349" s="14" t="s">
        <v>1681</v>
      </c>
      <c r="O349" s="14" t="str">
        <f>IFERROR(INDEX(Cleaned_Products!$C$2:$C$61,MATCH(F349,Cleaned_Products!$A$2:$A$61,0)),"Unknown")</f>
        <v>Bangles</v>
      </c>
      <c r="P349" s="14" t="str">
        <f>IFERROR(INDEX(Cleaned_Products!$D$2:$D$61,MATCH(F349,Cleaned_Products!$A$2:$A$61,0)),"Unknown")</f>
        <v>Diamond</v>
      </c>
    </row>
    <row r="350" spans="1:16" x14ac:dyDescent="0.35">
      <c r="A350" s="14" t="s">
        <v>1685</v>
      </c>
      <c r="B350" s="21">
        <v>45799</v>
      </c>
      <c r="C350" s="14" t="s">
        <v>4004</v>
      </c>
      <c r="D350" s="14">
        <v>2025</v>
      </c>
      <c r="E350" s="14" t="s">
        <v>1418</v>
      </c>
      <c r="F350" s="14" t="s">
        <v>94</v>
      </c>
      <c r="G350" s="14" t="s">
        <v>126</v>
      </c>
      <c r="H350" s="14">
        <v>3</v>
      </c>
      <c r="I350" s="14">
        <v>30510</v>
      </c>
      <c r="J350" s="14">
        <v>0</v>
      </c>
      <c r="K350" s="14">
        <v>91530</v>
      </c>
      <c r="L350" s="14" t="s">
        <v>3974</v>
      </c>
      <c r="M350" s="14" t="s">
        <v>3980</v>
      </c>
      <c r="N350" s="14" t="s">
        <v>3983</v>
      </c>
      <c r="O350" s="14" t="str">
        <f>IFERROR(INDEX(Cleaned_Products!$C$2:$C$61,MATCH(F350,Cleaned_Products!$A$2:$A$61,0)),"Unknown")</f>
        <v>Nose Pins</v>
      </c>
      <c r="P350" s="14" t="str">
        <f>IFERROR(INDEX(Cleaned_Products!$D$2:$D$61,MATCH(F350,Cleaned_Products!$A$2:$A$61,0)),"Unknown")</f>
        <v>Rose Gold</v>
      </c>
    </row>
    <row r="351" spans="1:16" x14ac:dyDescent="0.35">
      <c r="A351" s="14" t="s">
        <v>1687</v>
      </c>
      <c r="B351" s="21">
        <v>45701</v>
      </c>
      <c r="C351" s="14" t="s">
        <v>3989</v>
      </c>
      <c r="D351" s="14">
        <v>2025</v>
      </c>
      <c r="E351" s="14" t="s">
        <v>385</v>
      </c>
      <c r="F351" s="14" t="s">
        <v>112</v>
      </c>
      <c r="G351" s="14" t="s">
        <v>113</v>
      </c>
      <c r="H351" s="14">
        <v>1</v>
      </c>
      <c r="I351" s="14">
        <v>126180</v>
      </c>
      <c r="J351" s="14">
        <v>5</v>
      </c>
      <c r="K351" s="14">
        <v>119871</v>
      </c>
      <c r="L351" s="14" t="s">
        <v>121</v>
      </c>
      <c r="M351" s="14" t="s">
        <v>3980</v>
      </c>
      <c r="N351" s="14" t="s">
        <v>3983</v>
      </c>
      <c r="O351" s="14" t="str">
        <f>IFERROR(INDEX(Cleaned_Products!$C$2:$C$61,MATCH(F351,Cleaned_Products!$A$2:$A$61,0)),"Unknown")</f>
        <v>Bangles</v>
      </c>
      <c r="P351" s="14" t="str">
        <f>IFERROR(INDEX(Cleaned_Products!$D$2:$D$61,MATCH(F351,Cleaned_Products!$A$2:$A$61,0)),"Unknown")</f>
        <v>Rose Gold</v>
      </c>
    </row>
    <row r="352" spans="1:16" x14ac:dyDescent="0.35">
      <c r="A352" s="14" t="s">
        <v>1690</v>
      </c>
      <c r="B352" s="21">
        <v>45516</v>
      </c>
      <c r="C352" s="14" t="s">
        <v>3992</v>
      </c>
      <c r="D352" s="14">
        <v>2024</v>
      </c>
      <c r="E352" s="14" t="s">
        <v>319</v>
      </c>
      <c r="F352" s="14" t="s">
        <v>172</v>
      </c>
      <c r="G352" s="14" t="s">
        <v>113</v>
      </c>
      <c r="H352" s="14">
        <v>1</v>
      </c>
      <c r="I352" s="14">
        <v>82640</v>
      </c>
      <c r="J352" s="14">
        <v>5</v>
      </c>
      <c r="K352" s="14">
        <v>78508</v>
      </c>
      <c r="L352" s="14" t="s">
        <v>3977</v>
      </c>
      <c r="M352" s="14" t="s">
        <v>3980</v>
      </c>
      <c r="N352" s="14" t="s">
        <v>3983</v>
      </c>
      <c r="O352" s="14" t="str">
        <f>IFERROR(INDEX(Cleaned_Products!$C$2:$C$61,MATCH(F352,Cleaned_Products!$A$2:$A$61,0)),"Unknown")</f>
        <v>Bracelets</v>
      </c>
      <c r="P352" s="14" t="str">
        <f>IFERROR(INDEX(Cleaned_Products!$D$2:$D$61,MATCH(F352,Cleaned_Products!$A$2:$A$61,0)),"Unknown")</f>
        <v>Gold</v>
      </c>
    </row>
    <row r="353" spans="1:16" x14ac:dyDescent="0.35">
      <c r="A353" s="14" t="s">
        <v>1697</v>
      </c>
      <c r="B353" s="21">
        <v>45348</v>
      </c>
      <c r="C353" s="14" t="s">
        <v>3999</v>
      </c>
      <c r="D353" s="14">
        <v>2024</v>
      </c>
      <c r="E353" s="14" t="s">
        <v>573</v>
      </c>
      <c r="F353" s="14" t="s">
        <v>329</v>
      </c>
      <c r="G353" s="14" t="s">
        <v>72</v>
      </c>
      <c r="H353" s="14">
        <v>2</v>
      </c>
      <c r="I353" s="14">
        <v>228440</v>
      </c>
      <c r="J353" s="14">
        <v>10</v>
      </c>
      <c r="K353" s="14">
        <v>411192</v>
      </c>
      <c r="L353" s="14" t="s">
        <v>3977</v>
      </c>
      <c r="M353" s="14" t="s">
        <v>3980</v>
      </c>
      <c r="N353" s="14" t="s">
        <v>3983</v>
      </c>
      <c r="O353" s="14" t="str">
        <f>IFERROR(INDEX(Cleaned_Products!$C$2:$C$61,MATCH(F353,Cleaned_Products!$A$2:$A$61,0)),"Unknown")</f>
        <v>Nose Pins</v>
      </c>
      <c r="P353" s="14" t="str">
        <f>IFERROR(INDEX(Cleaned_Products!$D$2:$D$61,MATCH(F353,Cleaned_Products!$A$2:$A$61,0)),"Unknown")</f>
        <v>Gold</v>
      </c>
    </row>
    <row r="354" spans="1:16" x14ac:dyDescent="0.35">
      <c r="A354" s="14" t="s">
        <v>1704</v>
      </c>
      <c r="B354" s="21">
        <v>45248</v>
      </c>
      <c r="C354" s="14" t="s">
        <v>3978</v>
      </c>
      <c r="D354" s="14">
        <v>2023</v>
      </c>
      <c r="E354" s="14" t="s">
        <v>1085</v>
      </c>
      <c r="F354" s="14" t="s">
        <v>1309</v>
      </c>
      <c r="G354" s="14" t="s">
        <v>126</v>
      </c>
      <c r="H354" s="14">
        <v>1</v>
      </c>
      <c r="I354" s="14">
        <v>85840</v>
      </c>
      <c r="J354" s="14">
        <v>10</v>
      </c>
      <c r="K354" s="14">
        <v>77256</v>
      </c>
      <c r="L354" s="14" t="s">
        <v>73</v>
      </c>
      <c r="M354" s="14" t="s">
        <v>3975</v>
      </c>
      <c r="N354" s="14" t="s">
        <v>1706</v>
      </c>
      <c r="O354" s="14" t="str">
        <f>IFERROR(INDEX(Cleaned_Products!$C$2:$C$61,MATCH(F354,Cleaned_Products!$A$2:$A$61,0)),"Unknown")</f>
        <v>Rings</v>
      </c>
      <c r="P354" s="14" t="str">
        <f>IFERROR(INDEX(Cleaned_Products!$D$2:$D$61,MATCH(F354,Cleaned_Products!$A$2:$A$61,0)),"Unknown")</f>
        <v>Platinum</v>
      </c>
    </row>
    <row r="355" spans="1:16" x14ac:dyDescent="0.35">
      <c r="A355" s="14" t="s">
        <v>1707</v>
      </c>
      <c r="B355" s="21">
        <v>45680</v>
      </c>
      <c r="C355" s="14" t="s">
        <v>4005</v>
      </c>
      <c r="D355" s="14">
        <v>2025</v>
      </c>
      <c r="E355" s="14" t="s">
        <v>3995</v>
      </c>
      <c r="F355" s="14" t="s">
        <v>154</v>
      </c>
      <c r="G355" s="14" t="s">
        <v>108</v>
      </c>
      <c r="H355" s="14">
        <v>1</v>
      </c>
      <c r="I355" s="14">
        <v>208690</v>
      </c>
      <c r="J355" s="14">
        <v>0</v>
      </c>
      <c r="K355" s="14">
        <v>208690</v>
      </c>
      <c r="L355" s="14" t="s">
        <v>3974</v>
      </c>
      <c r="M355" s="14" t="s">
        <v>3975</v>
      </c>
      <c r="N355" s="14" t="s">
        <v>1709</v>
      </c>
      <c r="O355" s="14" t="str">
        <f>IFERROR(INDEX(Cleaned_Products!$C$2:$C$61,MATCH(F355,Cleaned_Products!$A$2:$A$61,0)),"Unknown")</f>
        <v>Rings</v>
      </c>
      <c r="P355" s="14" t="str">
        <f>IFERROR(INDEX(Cleaned_Products!$D$2:$D$61,MATCH(F355,Cleaned_Products!$A$2:$A$61,0)),"Unknown")</f>
        <v>Silver</v>
      </c>
    </row>
    <row r="356" spans="1:16" x14ac:dyDescent="0.35">
      <c r="A356" s="14" t="s">
        <v>1710</v>
      </c>
      <c r="B356" s="21">
        <v>45218</v>
      </c>
      <c r="C356" s="14" t="s">
        <v>3990</v>
      </c>
      <c r="D356" s="14">
        <v>2023</v>
      </c>
      <c r="E356" s="14" t="s">
        <v>87</v>
      </c>
      <c r="F356" s="14" t="s">
        <v>295</v>
      </c>
      <c r="G356" s="14" t="s">
        <v>108</v>
      </c>
      <c r="H356" s="14">
        <v>1</v>
      </c>
      <c r="I356" s="14">
        <v>209900</v>
      </c>
      <c r="J356" s="14">
        <v>0</v>
      </c>
      <c r="K356" s="14">
        <v>209900</v>
      </c>
      <c r="L356" s="14" t="s">
        <v>3974</v>
      </c>
      <c r="M356" s="14" t="s">
        <v>3975</v>
      </c>
      <c r="N356" s="14" t="s">
        <v>1713</v>
      </c>
      <c r="O356" s="14" t="str">
        <f>IFERROR(INDEX(Cleaned_Products!$C$2:$C$61,MATCH(F356,Cleaned_Products!$A$2:$A$61,0)),"Unknown")</f>
        <v>Necklaces</v>
      </c>
      <c r="P356" s="14" t="str">
        <f>IFERROR(INDEX(Cleaned_Products!$D$2:$D$61,MATCH(F356,Cleaned_Products!$A$2:$A$61,0)),"Unknown")</f>
        <v>Silver</v>
      </c>
    </row>
    <row r="357" spans="1:16" x14ac:dyDescent="0.35">
      <c r="A357" s="14" t="s">
        <v>1714</v>
      </c>
      <c r="B357" s="21">
        <v>45329</v>
      </c>
      <c r="C357" s="14" t="s">
        <v>3999</v>
      </c>
      <c r="D357" s="14">
        <v>2024</v>
      </c>
      <c r="E357" s="14" t="s">
        <v>621</v>
      </c>
      <c r="F357" s="14" t="s">
        <v>163</v>
      </c>
      <c r="G357" s="14" t="s">
        <v>72</v>
      </c>
      <c r="H357" s="14">
        <v>2</v>
      </c>
      <c r="I357" s="14">
        <v>106660</v>
      </c>
      <c r="J357" s="14">
        <v>0</v>
      </c>
      <c r="K357" s="14">
        <v>213320</v>
      </c>
      <c r="L357" s="14" t="s">
        <v>3977</v>
      </c>
      <c r="M357" s="14" t="s">
        <v>3975</v>
      </c>
      <c r="N357" s="14" t="s">
        <v>1716</v>
      </c>
      <c r="O357" s="14" t="str">
        <f>IFERROR(INDEX(Cleaned_Products!$C$2:$C$61,MATCH(F357,Cleaned_Products!$A$2:$A$61,0)),"Unknown")</f>
        <v>Earrings</v>
      </c>
      <c r="P357" s="14" t="str">
        <f>IFERROR(INDEX(Cleaned_Products!$D$2:$D$61,MATCH(F357,Cleaned_Products!$A$2:$A$61,0)),"Unknown")</f>
        <v>Diamond</v>
      </c>
    </row>
    <row r="358" spans="1:16" x14ac:dyDescent="0.35">
      <c r="A358" s="14" t="s">
        <v>1717</v>
      </c>
      <c r="B358" s="21">
        <v>45141</v>
      </c>
      <c r="C358" s="14" t="s">
        <v>3998</v>
      </c>
      <c r="D358" s="14">
        <v>2023</v>
      </c>
      <c r="E358" s="14" t="s">
        <v>230</v>
      </c>
      <c r="F358" s="14" t="s">
        <v>550</v>
      </c>
      <c r="G358" s="14" t="s">
        <v>113</v>
      </c>
      <c r="H358" s="14">
        <v>3</v>
      </c>
      <c r="I358" s="14">
        <v>38180</v>
      </c>
      <c r="J358" s="14">
        <v>15</v>
      </c>
      <c r="K358" s="14">
        <v>97359</v>
      </c>
      <c r="L358" s="14" t="s">
        <v>73</v>
      </c>
      <c r="M358" s="14" t="s">
        <v>3975</v>
      </c>
      <c r="N358" s="14" t="s">
        <v>1719</v>
      </c>
      <c r="O358" s="14" t="str">
        <f>IFERROR(INDEX(Cleaned_Products!$C$2:$C$61,MATCH(F358,Cleaned_Products!$A$2:$A$61,0)),"Unknown")</f>
        <v>Bracelets</v>
      </c>
      <c r="P358" s="14" t="str">
        <f>IFERROR(INDEX(Cleaned_Products!$D$2:$D$61,MATCH(F358,Cleaned_Products!$A$2:$A$61,0)),"Unknown")</f>
        <v>Silver</v>
      </c>
    </row>
    <row r="359" spans="1:16" x14ac:dyDescent="0.35">
      <c r="A359" s="14" t="s">
        <v>1720</v>
      </c>
      <c r="B359" s="21">
        <v>45344</v>
      </c>
      <c r="C359" s="14" t="s">
        <v>3999</v>
      </c>
      <c r="D359" s="14">
        <v>2024</v>
      </c>
      <c r="E359" s="14" t="s">
        <v>341</v>
      </c>
      <c r="F359" s="14" t="s">
        <v>916</v>
      </c>
      <c r="G359" s="14" t="s">
        <v>56</v>
      </c>
      <c r="H359" s="14">
        <v>1</v>
      </c>
      <c r="I359" s="14">
        <v>43440</v>
      </c>
      <c r="J359" s="14">
        <v>5</v>
      </c>
      <c r="K359" s="14">
        <v>41268</v>
      </c>
      <c r="L359" s="14" t="s">
        <v>95</v>
      </c>
      <c r="M359" s="14" t="s">
        <v>3980</v>
      </c>
      <c r="N359" s="14" t="s">
        <v>1723</v>
      </c>
      <c r="O359" s="14" t="str">
        <f>IFERROR(INDEX(Cleaned_Products!$C$2:$C$61,MATCH(F359,Cleaned_Products!$A$2:$A$61,0)),"Unknown")</f>
        <v>Bracelets</v>
      </c>
      <c r="P359" s="14" t="str">
        <f>IFERROR(INDEX(Cleaned_Products!$D$2:$D$61,MATCH(F359,Cleaned_Products!$A$2:$A$61,0)),"Unknown")</f>
        <v>Rose Gold</v>
      </c>
    </row>
    <row r="360" spans="1:16" x14ac:dyDescent="0.35">
      <c r="A360" s="14" t="s">
        <v>1724</v>
      </c>
      <c r="B360" s="21">
        <v>45610</v>
      </c>
      <c r="C360" s="14" t="s">
        <v>3976</v>
      </c>
      <c r="D360" s="14">
        <v>2024</v>
      </c>
      <c r="E360" s="14" t="s">
        <v>3995</v>
      </c>
      <c r="F360" s="14" t="s">
        <v>55</v>
      </c>
      <c r="G360" s="14" t="s">
        <v>108</v>
      </c>
      <c r="H360" s="14">
        <v>2</v>
      </c>
      <c r="I360" s="14">
        <v>100230</v>
      </c>
      <c r="J360" s="14">
        <v>0</v>
      </c>
      <c r="K360" s="14">
        <v>200460</v>
      </c>
      <c r="L360" s="14" t="s">
        <v>3974</v>
      </c>
      <c r="M360" s="14" t="s">
        <v>3975</v>
      </c>
      <c r="N360" s="14" t="s">
        <v>1726</v>
      </c>
      <c r="O360" s="14" t="str">
        <f>IFERROR(INDEX(Cleaned_Products!$C$2:$C$61,MATCH(F360,Cleaned_Products!$A$2:$A$61,0)),"Unknown")</f>
        <v>Anklets</v>
      </c>
      <c r="P360" s="14" t="str">
        <f>IFERROR(INDEX(Cleaned_Products!$D$2:$D$61,MATCH(F360,Cleaned_Products!$A$2:$A$61,0)),"Unknown")</f>
        <v>Gold</v>
      </c>
    </row>
    <row r="361" spans="1:16" x14ac:dyDescent="0.35">
      <c r="A361" s="14" t="s">
        <v>1727</v>
      </c>
      <c r="B361" s="21">
        <v>44940</v>
      </c>
      <c r="C361" s="14" t="s">
        <v>3987</v>
      </c>
      <c r="D361" s="14">
        <v>2023</v>
      </c>
      <c r="E361" s="14" t="s">
        <v>365</v>
      </c>
      <c r="F361" s="14" t="s">
        <v>418</v>
      </c>
      <c r="G361" s="14" t="s">
        <v>80</v>
      </c>
      <c r="H361" s="14">
        <v>2</v>
      </c>
      <c r="I361" s="14">
        <v>178640</v>
      </c>
      <c r="J361" s="14">
        <v>10</v>
      </c>
      <c r="K361" s="14">
        <v>321552</v>
      </c>
      <c r="L361" s="14" t="s">
        <v>3977</v>
      </c>
      <c r="M361" s="14" t="s">
        <v>3975</v>
      </c>
      <c r="N361" s="14" t="s">
        <v>1729</v>
      </c>
      <c r="O361" s="14" t="str">
        <f>IFERROR(INDEX(Cleaned_Products!$C$2:$C$61,MATCH(F361,Cleaned_Products!$A$2:$A$61,0)),"Unknown")</f>
        <v>Rings</v>
      </c>
      <c r="P361" s="14" t="str">
        <f>IFERROR(INDEX(Cleaned_Products!$D$2:$D$61,MATCH(F361,Cleaned_Products!$A$2:$A$61,0)),"Unknown")</f>
        <v>Rose Gold</v>
      </c>
    </row>
    <row r="362" spans="1:16" x14ac:dyDescent="0.35">
      <c r="A362" s="14" t="s">
        <v>1730</v>
      </c>
      <c r="B362" s="21">
        <v>45786</v>
      </c>
      <c r="C362" s="14" t="s">
        <v>4004</v>
      </c>
      <c r="D362" s="14">
        <v>2025</v>
      </c>
      <c r="E362" s="14" t="s">
        <v>457</v>
      </c>
      <c r="F362" s="14" t="s">
        <v>100</v>
      </c>
      <c r="G362" s="14" t="s">
        <v>113</v>
      </c>
      <c r="H362" s="14">
        <v>3</v>
      </c>
      <c r="I362" s="14">
        <v>204250</v>
      </c>
      <c r="J362" s="14">
        <v>10</v>
      </c>
      <c r="K362" s="14">
        <v>551475</v>
      </c>
      <c r="L362" s="14" t="s">
        <v>73</v>
      </c>
      <c r="M362" s="14" t="s">
        <v>3980</v>
      </c>
      <c r="N362" s="14" t="s">
        <v>1733</v>
      </c>
      <c r="O362" s="14" t="str">
        <f>IFERROR(INDEX(Cleaned_Products!$C$2:$C$61,MATCH(F362,Cleaned_Products!$A$2:$A$61,0)),"Unknown")</f>
        <v>Nose Pins</v>
      </c>
      <c r="P362" s="14" t="str">
        <f>IFERROR(INDEX(Cleaned_Products!$D$2:$D$61,MATCH(F362,Cleaned_Products!$A$2:$A$61,0)),"Unknown")</f>
        <v>Diamond</v>
      </c>
    </row>
    <row r="363" spans="1:16" x14ac:dyDescent="0.35">
      <c r="A363" s="14" t="s">
        <v>1734</v>
      </c>
      <c r="B363" s="21">
        <v>45356</v>
      </c>
      <c r="C363" s="14" t="s">
        <v>3985</v>
      </c>
      <c r="D363" s="14">
        <v>2024</v>
      </c>
      <c r="E363" s="14" t="s">
        <v>99</v>
      </c>
      <c r="F363" s="14" t="s">
        <v>212</v>
      </c>
      <c r="G363" s="14" t="s">
        <v>113</v>
      </c>
      <c r="H363" s="14">
        <v>1</v>
      </c>
      <c r="I363" s="14">
        <v>151390</v>
      </c>
      <c r="J363" s="14">
        <v>5</v>
      </c>
      <c r="K363" s="14">
        <v>143820.5</v>
      </c>
      <c r="L363" s="14" t="s">
        <v>3977</v>
      </c>
      <c r="M363" s="14" t="s">
        <v>3980</v>
      </c>
      <c r="N363" s="14" t="s">
        <v>1736</v>
      </c>
      <c r="O363" s="14" t="str">
        <f>IFERROR(INDEX(Cleaned_Products!$C$2:$C$61,MATCH(F363,Cleaned_Products!$A$2:$A$61,0)),"Unknown")</f>
        <v>Nose Pins</v>
      </c>
      <c r="P363" s="14" t="str">
        <f>IFERROR(INDEX(Cleaned_Products!$D$2:$D$61,MATCH(F363,Cleaned_Products!$A$2:$A$61,0)),"Unknown")</f>
        <v>Platinum</v>
      </c>
    </row>
    <row r="364" spans="1:16" x14ac:dyDescent="0.35">
      <c r="A364" s="14" t="s">
        <v>1740</v>
      </c>
      <c r="B364" s="21">
        <v>45861</v>
      </c>
      <c r="C364" s="14" t="s">
        <v>3991</v>
      </c>
      <c r="D364" s="14">
        <v>2025</v>
      </c>
      <c r="E364" s="14" t="s">
        <v>99</v>
      </c>
      <c r="F364" s="14" t="s">
        <v>216</v>
      </c>
      <c r="G364" s="14" t="s">
        <v>72</v>
      </c>
      <c r="H364" s="14">
        <v>2</v>
      </c>
      <c r="I364" s="14">
        <v>48230</v>
      </c>
      <c r="J364" s="14">
        <v>10</v>
      </c>
      <c r="K364" s="14">
        <v>86814</v>
      </c>
      <c r="L364" s="14" t="s">
        <v>3979</v>
      </c>
      <c r="M364" s="14" t="s">
        <v>3980</v>
      </c>
      <c r="N364" s="14" t="s">
        <v>1743</v>
      </c>
      <c r="O364" s="14" t="str">
        <f>IFERROR(INDEX(Cleaned_Products!$C$2:$C$61,MATCH(F364,Cleaned_Products!$A$2:$A$61,0)),"Unknown")</f>
        <v>Bracelets</v>
      </c>
      <c r="P364" s="14" t="str">
        <f>IFERROR(INDEX(Cleaned_Products!$D$2:$D$61,MATCH(F364,Cleaned_Products!$A$2:$A$61,0)),"Unknown")</f>
        <v>Silver</v>
      </c>
    </row>
    <row r="365" spans="1:16" x14ac:dyDescent="0.35">
      <c r="A365" s="14" t="s">
        <v>1744</v>
      </c>
      <c r="B365" s="21">
        <v>45648</v>
      </c>
      <c r="C365" s="14" t="s">
        <v>3986</v>
      </c>
      <c r="D365" s="14">
        <v>2024</v>
      </c>
      <c r="E365" s="14" t="s">
        <v>1075</v>
      </c>
      <c r="F365" s="14" t="s">
        <v>638</v>
      </c>
      <c r="G365" s="14" t="s">
        <v>126</v>
      </c>
      <c r="H365" s="14">
        <v>3</v>
      </c>
      <c r="I365" s="14">
        <v>131700</v>
      </c>
      <c r="J365" s="14">
        <v>0</v>
      </c>
      <c r="K365" s="14">
        <v>395100</v>
      </c>
      <c r="L365" s="14" t="s">
        <v>3974</v>
      </c>
      <c r="M365" s="14" t="s">
        <v>3980</v>
      </c>
      <c r="N365" s="14" t="s">
        <v>3983</v>
      </c>
      <c r="O365" s="14" t="str">
        <f>IFERROR(INDEX(Cleaned_Products!$C$2:$C$61,MATCH(F365,Cleaned_Products!$A$2:$A$61,0)),"Unknown")</f>
        <v>Nose Pins</v>
      </c>
      <c r="P365" s="14" t="str">
        <f>IFERROR(INDEX(Cleaned_Products!$D$2:$D$61,MATCH(F365,Cleaned_Products!$A$2:$A$61,0)),"Unknown")</f>
        <v>Diamond</v>
      </c>
    </row>
    <row r="366" spans="1:16" x14ac:dyDescent="0.35">
      <c r="A366" s="14" t="s">
        <v>1746</v>
      </c>
      <c r="B366" s="21">
        <v>45661</v>
      </c>
      <c r="C366" s="14" t="s">
        <v>4005</v>
      </c>
      <c r="D366" s="14">
        <v>2025</v>
      </c>
      <c r="E366" s="14" t="s">
        <v>248</v>
      </c>
      <c r="F366" s="14" t="s">
        <v>278</v>
      </c>
      <c r="G366" s="14" t="s">
        <v>101</v>
      </c>
      <c r="H366" s="14">
        <v>2</v>
      </c>
      <c r="I366" s="14">
        <v>128560</v>
      </c>
      <c r="J366" s="14">
        <v>10</v>
      </c>
      <c r="K366" s="14">
        <v>231408</v>
      </c>
      <c r="L366" s="14" t="s">
        <v>3974</v>
      </c>
      <c r="M366" s="14" t="s">
        <v>3980</v>
      </c>
      <c r="N366" s="14" t="s">
        <v>1748</v>
      </c>
      <c r="O366" s="14" t="str">
        <f>IFERROR(INDEX(Cleaned_Products!$C$2:$C$61,MATCH(F366,Cleaned_Products!$A$2:$A$61,0)),"Unknown")</f>
        <v>Earrings</v>
      </c>
      <c r="P366" s="14" t="str">
        <f>IFERROR(INDEX(Cleaned_Products!$D$2:$D$61,MATCH(F366,Cleaned_Products!$A$2:$A$61,0)),"Unknown")</f>
        <v>Diamond</v>
      </c>
    </row>
    <row r="367" spans="1:16" x14ac:dyDescent="0.35">
      <c r="A367" s="14" t="s">
        <v>1753</v>
      </c>
      <c r="B367" s="21">
        <v>45213</v>
      </c>
      <c r="C367" s="14" t="s">
        <v>3990</v>
      </c>
      <c r="D367" s="14">
        <v>2023</v>
      </c>
      <c r="E367" s="14" t="s">
        <v>62</v>
      </c>
      <c r="F367" s="14" t="s">
        <v>249</v>
      </c>
      <c r="G367" s="14" t="s">
        <v>101</v>
      </c>
      <c r="H367" s="14">
        <v>2</v>
      </c>
      <c r="I367" s="14">
        <v>79020</v>
      </c>
      <c r="J367" s="14">
        <v>0</v>
      </c>
      <c r="K367" s="14">
        <v>158040</v>
      </c>
      <c r="L367" s="14" t="s">
        <v>3977</v>
      </c>
      <c r="M367" s="14" t="s">
        <v>3980</v>
      </c>
      <c r="N367" s="14" t="s">
        <v>1755</v>
      </c>
      <c r="O367" s="14" t="str">
        <f>IFERROR(INDEX(Cleaned_Products!$C$2:$C$61,MATCH(F367,Cleaned_Products!$A$2:$A$61,0)),"Unknown")</f>
        <v>Pendants</v>
      </c>
      <c r="P367" s="14" t="str">
        <f>IFERROR(INDEX(Cleaned_Products!$D$2:$D$61,MATCH(F367,Cleaned_Products!$A$2:$A$61,0)),"Unknown")</f>
        <v>Rose Gold</v>
      </c>
    </row>
    <row r="368" spans="1:16" x14ac:dyDescent="0.35">
      <c r="A368" s="14" t="s">
        <v>1756</v>
      </c>
      <c r="B368" s="21">
        <v>45250</v>
      </c>
      <c r="C368" s="14" t="s">
        <v>3978</v>
      </c>
      <c r="D368" s="14">
        <v>2023</v>
      </c>
      <c r="E368" s="14" t="s">
        <v>267</v>
      </c>
      <c r="F368" s="14" t="s">
        <v>520</v>
      </c>
      <c r="G368" s="14" t="s">
        <v>108</v>
      </c>
      <c r="H368" s="14">
        <v>1</v>
      </c>
      <c r="I368" s="14">
        <v>220500</v>
      </c>
      <c r="J368" s="14">
        <v>10</v>
      </c>
      <c r="K368" s="14">
        <v>198450</v>
      </c>
      <c r="L368" s="14" t="s">
        <v>73</v>
      </c>
      <c r="M368" s="14" t="s">
        <v>3980</v>
      </c>
      <c r="N368" s="14" t="s">
        <v>3983</v>
      </c>
      <c r="O368" s="14" t="str">
        <f>IFERROR(INDEX(Cleaned_Products!$C$2:$C$61,MATCH(F368,Cleaned_Products!$A$2:$A$61,0)),"Unknown")</f>
        <v>Earrings</v>
      </c>
      <c r="P368" s="14">
        <f>IFERROR(INDEX(Cleaned_Products!$D$2:$D$61,MATCH(F368,Cleaned_Products!$A$2:$A$61,0)),"Unknown")</f>
        <v>0</v>
      </c>
    </row>
    <row r="369" spans="1:16" x14ac:dyDescent="0.35">
      <c r="A369" s="14" t="s">
        <v>1758</v>
      </c>
      <c r="B369" s="21">
        <v>45689</v>
      </c>
      <c r="C369" s="14" t="s">
        <v>3989</v>
      </c>
      <c r="D369" s="14">
        <v>2025</v>
      </c>
      <c r="E369" s="14" t="s">
        <v>294</v>
      </c>
      <c r="F369" s="14" t="s">
        <v>463</v>
      </c>
      <c r="G369" s="14" t="s">
        <v>101</v>
      </c>
      <c r="H369" s="14">
        <v>3</v>
      </c>
      <c r="I369" s="14">
        <v>238700</v>
      </c>
      <c r="J369" s="14">
        <v>0</v>
      </c>
      <c r="K369" s="14">
        <v>716100</v>
      </c>
      <c r="L369" s="14" t="s">
        <v>3977</v>
      </c>
      <c r="M369" s="14" t="s">
        <v>3980</v>
      </c>
      <c r="N369" s="14" t="s">
        <v>1760</v>
      </c>
      <c r="O369" s="14" t="str">
        <f>IFERROR(INDEX(Cleaned_Products!$C$2:$C$61,MATCH(F369,Cleaned_Products!$A$2:$A$61,0)),"Unknown")</f>
        <v>Bracelets</v>
      </c>
      <c r="P369" s="14" t="str">
        <f>IFERROR(INDEX(Cleaned_Products!$D$2:$D$61,MATCH(F369,Cleaned_Products!$A$2:$A$61,0)),"Unknown")</f>
        <v>Gold</v>
      </c>
    </row>
    <row r="370" spans="1:16" x14ac:dyDescent="0.35">
      <c r="A370" s="14" t="s">
        <v>1761</v>
      </c>
      <c r="B370" s="21">
        <v>44977</v>
      </c>
      <c r="C370" s="14" t="s">
        <v>4001</v>
      </c>
      <c r="D370" s="14">
        <v>2023</v>
      </c>
      <c r="E370" s="14" t="s">
        <v>498</v>
      </c>
      <c r="F370" s="14" t="s">
        <v>249</v>
      </c>
      <c r="G370" s="14" t="s">
        <v>56</v>
      </c>
      <c r="H370" s="14">
        <v>3</v>
      </c>
      <c r="I370" s="14">
        <v>8980</v>
      </c>
      <c r="J370" s="14">
        <v>15</v>
      </c>
      <c r="K370" s="14">
        <v>22899</v>
      </c>
      <c r="L370" s="14" t="s">
        <v>3977</v>
      </c>
      <c r="M370" s="14" t="s">
        <v>3975</v>
      </c>
      <c r="N370" s="14" t="s">
        <v>1763</v>
      </c>
      <c r="O370" s="14" t="str">
        <f>IFERROR(INDEX(Cleaned_Products!$C$2:$C$61,MATCH(F370,Cleaned_Products!$A$2:$A$61,0)),"Unknown")</f>
        <v>Pendants</v>
      </c>
      <c r="P370" s="14" t="str">
        <f>IFERROR(INDEX(Cleaned_Products!$D$2:$D$61,MATCH(F370,Cleaned_Products!$A$2:$A$61,0)),"Unknown")</f>
        <v>Rose Gold</v>
      </c>
    </row>
    <row r="371" spans="1:16" x14ac:dyDescent="0.35">
      <c r="A371" s="14" t="s">
        <v>1764</v>
      </c>
      <c r="B371" s="21">
        <v>45642</v>
      </c>
      <c r="C371" s="14" t="s">
        <v>3986</v>
      </c>
      <c r="D371" s="14">
        <v>2024</v>
      </c>
      <c r="E371" s="14" t="s">
        <v>187</v>
      </c>
      <c r="F371" s="14" t="s">
        <v>163</v>
      </c>
      <c r="G371" s="14" t="s">
        <v>80</v>
      </c>
      <c r="H371" s="14">
        <v>1</v>
      </c>
      <c r="I371" s="14">
        <v>126730</v>
      </c>
      <c r="J371" s="14">
        <v>15</v>
      </c>
      <c r="K371" s="14">
        <v>107720.5</v>
      </c>
      <c r="L371" s="14" t="s">
        <v>95</v>
      </c>
      <c r="M371" s="14" t="s">
        <v>3975</v>
      </c>
      <c r="N371" s="14" t="s">
        <v>1766</v>
      </c>
      <c r="O371" s="14" t="str">
        <f>IFERROR(INDEX(Cleaned_Products!$C$2:$C$61,MATCH(F371,Cleaned_Products!$A$2:$A$61,0)),"Unknown")</f>
        <v>Earrings</v>
      </c>
      <c r="P371" s="14" t="str">
        <f>IFERROR(INDEX(Cleaned_Products!$D$2:$D$61,MATCH(F371,Cleaned_Products!$A$2:$A$61,0)),"Unknown")</f>
        <v>Diamond</v>
      </c>
    </row>
    <row r="372" spans="1:16" x14ac:dyDescent="0.35">
      <c r="A372" s="14" t="s">
        <v>1768</v>
      </c>
      <c r="B372" s="21">
        <v>44955</v>
      </c>
      <c r="C372" s="14" t="s">
        <v>3987</v>
      </c>
      <c r="D372" s="14">
        <v>2023</v>
      </c>
      <c r="E372" s="14" t="s">
        <v>791</v>
      </c>
      <c r="F372" s="14" t="s">
        <v>369</v>
      </c>
      <c r="G372" s="14" t="s">
        <v>72</v>
      </c>
      <c r="H372" s="14">
        <v>1</v>
      </c>
      <c r="I372" s="14">
        <v>146810</v>
      </c>
      <c r="J372" s="14">
        <v>0</v>
      </c>
      <c r="K372" s="14">
        <v>146810</v>
      </c>
      <c r="L372" s="14" t="s">
        <v>3979</v>
      </c>
      <c r="M372" s="14" t="s">
        <v>3980</v>
      </c>
      <c r="N372" s="14" t="s">
        <v>1771</v>
      </c>
      <c r="O372" s="14" t="str">
        <f>IFERROR(INDEX(Cleaned_Products!$C$2:$C$61,MATCH(F372,Cleaned_Products!$A$2:$A$61,0)),"Unknown")</f>
        <v>Earrings</v>
      </c>
      <c r="P372" s="14" t="str">
        <f>IFERROR(INDEX(Cleaned_Products!$D$2:$D$61,MATCH(F372,Cleaned_Products!$A$2:$A$61,0)),"Unknown")</f>
        <v>Platinum</v>
      </c>
    </row>
    <row r="373" spans="1:16" x14ac:dyDescent="0.35">
      <c r="A373" s="14" t="s">
        <v>1772</v>
      </c>
      <c r="B373" s="21">
        <v>45658</v>
      </c>
      <c r="C373" s="14" t="s">
        <v>4005</v>
      </c>
      <c r="D373" s="14">
        <v>2025</v>
      </c>
      <c r="E373" s="14" t="s">
        <v>1218</v>
      </c>
      <c r="F373" s="14" t="s">
        <v>989</v>
      </c>
      <c r="G373" s="14" t="s">
        <v>108</v>
      </c>
      <c r="H373" s="14">
        <v>1</v>
      </c>
      <c r="I373" s="14">
        <v>151740</v>
      </c>
      <c r="J373" s="14">
        <v>0</v>
      </c>
      <c r="K373" s="14">
        <v>151740</v>
      </c>
      <c r="L373" s="14" t="s">
        <v>95</v>
      </c>
      <c r="M373" s="14" t="s">
        <v>3980</v>
      </c>
      <c r="N373" s="14" t="s">
        <v>3983</v>
      </c>
      <c r="O373" s="14" t="str">
        <f>IFERROR(INDEX(Cleaned_Products!$C$2:$C$61,MATCH(F373,Cleaned_Products!$A$2:$A$61,0)),"Unknown")</f>
        <v>Anklets</v>
      </c>
      <c r="P373" s="14" t="str">
        <f>IFERROR(INDEX(Cleaned_Products!$D$2:$D$61,MATCH(F373,Cleaned_Products!$A$2:$A$61,0)),"Unknown")</f>
        <v>Rose Gold</v>
      </c>
    </row>
    <row r="374" spans="1:16" x14ac:dyDescent="0.35">
      <c r="A374" s="14" t="s">
        <v>1775</v>
      </c>
      <c r="B374" s="21">
        <v>45553</v>
      </c>
      <c r="C374" s="14" t="s">
        <v>4003</v>
      </c>
      <c r="D374" s="14">
        <v>2024</v>
      </c>
      <c r="E374" s="14" t="s">
        <v>298</v>
      </c>
      <c r="F374" s="14" t="s">
        <v>916</v>
      </c>
      <c r="G374" s="14" t="s">
        <v>64</v>
      </c>
      <c r="H374" s="14">
        <v>1</v>
      </c>
      <c r="I374" s="14">
        <v>222350</v>
      </c>
      <c r="J374" s="14">
        <v>0</v>
      </c>
      <c r="K374" s="14">
        <v>222350</v>
      </c>
      <c r="L374" s="14" t="s">
        <v>3977</v>
      </c>
      <c r="M374" s="14" t="s">
        <v>3975</v>
      </c>
      <c r="N374" s="14" t="s">
        <v>1777</v>
      </c>
      <c r="O374" s="14" t="str">
        <f>IFERROR(INDEX(Cleaned_Products!$C$2:$C$61,MATCH(F374,Cleaned_Products!$A$2:$A$61,0)),"Unknown")</f>
        <v>Bracelets</v>
      </c>
      <c r="P374" s="14" t="str">
        <f>IFERROR(INDEX(Cleaned_Products!$D$2:$D$61,MATCH(F374,Cleaned_Products!$A$2:$A$61,0)),"Unknown")</f>
        <v>Rose Gold</v>
      </c>
    </row>
    <row r="375" spans="1:16" x14ac:dyDescent="0.35">
      <c r="A375" s="14" t="s">
        <v>1780</v>
      </c>
      <c r="B375" s="21">
        <v>45012</v>
      </c>
      <c r="C375" s="14" t="s">
        <v>3982</v>
      </c>
      <c r="D375" s="14">
        <v>2023</v>
      </c>
      <c r="E375" s="14" t="s">
        <v>491</v>
      </c>
      <c r="F375" s="14" t="s">
        <v>948</v>
      </c>
      <c r="G375" s="14" t="s">
        <v>108</v>
      </c>
      <c r="H375" s="14">
        <v>1</v>
      </c>
      <c r="I375" s="14">
        <v>9660</v>
      </c>
      <c r="J375" s="14">
        <v>0</v>
      </c>
      <c r="K375" s="14">
        <v>9660</v>
      </c>
      <c r="L375" s="14" t="s">
        <v>121</v>
      </c>
      <c r="M375" s="14" t="s">
        <v>3980</v>
      </c>
      <c r="N375" s="14" t="s">
        <v>3983</v>
      </c>
      <c r="O375" s="14" t="str">
        <f>IFERROR(INDEX(Cleaned_Products!$C$2:$C$61,MATCH(F375,Cleaned_Products!$A$2:$A$61,0)),"Unknown")</f>
        <v>Anklets</v>
      </c>
      <c r="P375" s="14" t="str">
        <f>IFERROR(INDEX(Cleaned_Products!$D$2:$D$61,MATCH(F375,Cleaned_Products!$A$2:$A$61,0)),"Unknown")</f>
        <v>Diamond</v>
      </c>
    </row>
    <row r="376" spans="1:16" x14ac:dyDescent="0.35">
      <c r="A376" s="14" t="s">
        <v>1783</v>
      </c>
      <c r="B376" s="21">
        <v>45028</v>
      </c>
      <c r="C376" s="14" t="s">
        <v>4010</v>
      </c>
      <c r="D376" s="14">
        <v>2023</v>
      </c>
      <c r="E376" s="14" t="s">
        <v>203</v>
      </c>
      <c r="F376" s="14" t="s">
        <v>107</v>
      </c>
      <c r="G376" s="14" t="s">
        <v>80</v>
      </c>
      <c r="H376" s="14">
        <v>1</v>
      </c>
      <c r="I376" s="14">
        <v>122070</v>
      </c>
      <c r="J376" s="14">
        <v>10</v>
      </c>
      <c r="K376" s="14">
        <v>109863</v>
      </c>
      <c r="L376" s="14" t="s">
        <v>3977</v>
      </c>
      <c r="M376" s="14" t="s">
        <v>3980</v>
      </c>
      <c r="N376" s="14" t="s">
        <v>3983</v>
      </c>
      <c r="O376" s="14" t="str">
        <f>IFERROR(INDEX(Cleaned_Products!$C$2:$C$61,MATCH(F376,Cleaned_Products!$A$2:$A$61,0)),"Unknown")</f>
        <v>Earrings</v>
      </c>
      <c r="P376" s="14" t="str">
        <f>IFERROR(INDEX(Cleaned_Products!$D$2:$D$61,MATCH(F376,Cleaned_Products!$A$2:$A$61,0)),"Unknown")</f>
        <v>Platinum</v>
      </c>
    </row>
    <row r="377" spans="1:16" x14ac:dyDescent="0.35">
      <c r="A377" s="14" t="s">
        <v>1785</v>
      </c>
      <c r="B377" s="21">
        <v>45304</v>
      </c>
      <c r="C377" s="14" t="s">
        <v>3993</v>
      </c>
      <c r="D377" s="14">
        <v>2024</v>
      </c>
      <c r="E377" s="14" t="s">
        <v>1006</v>
      </c>
      <c r="F377" s="14" t="s">
        <v>458</v>
      </c>
      <c r="G377" s="14" t="s">
        <v>72</v>
      </c>
      <c r="H377" s="14">
        <v>1</v>
      </c>
      <c r="I377" s="14">
        <v>158710</v>
      </c>
      <c r="J377" s="14">
        <v>0</v>
      </c>
      <c r="K377" s="14">
        <v>158710</v>
      </c>
      <c r="L377" s="14" t="s">
        <v>121</v>
      </c>
      <c r="M377" s="14" t="s">
        <v>3980</v>
      </c>
      <c r="N377" s="14" t="s">
        <v>3983</v>
      </c>
      <c r="O377" s="14" t="str">
        <f>IFERROR(INDEX(Cleaned_Products!$C$2:$C$61,MATCH(F377,Cleaned_Products!$A$2:$A$61,0)),"Unknown")</f>
        <v>Bangles</v>
      </c>
      <c r="P377" s="14" t="str">
        <f>IFERROR(INDEX(Cleaned_Products!$D$2:$D$61,MATCH(F377,Cleaned_Products!$A$2:$A$61,0)),"Unknown")</f>
        <v>Silver</v>
      </c>
    </row>
    <row r="378" spans="1:16" x14ac:dyDescent="0.35">
      <c r="A378" s="14" t="s">
        <v>1793</v>
      </c>
      <c r="B378" s="21">
        <v>45824</v>
      </c>
      <c r="C378" s="14" t="s">
        <v>3997</v>
      </c>
      <c r="D378" s="14">
        <v>2025</v>
      </c>
      <c r="E378" s="14" t="s">
        <v>768</v>
      </c>
      <c r="F378" s="14" t="s">
        <v>120</v>
      </c>
      <c r="G378" s="14" t="s">
        <v>108</v>
      </c>
      <c r="H378" s="14">
        <v>3</v>
      </c>
      <c r="I378" s="14">
        <v>100190</v>
      </c>
      <c r="J378" s="14">
        <v>15</v>
      </c>
      <c r="K378" s="14">
        <v>255484.5</v>
      </c>
      <c r="L378" s="14" t="s">
        <v>3977</v>
      </c>
      <c r="M378" s="14" t="s">
        <v>3980</v>
      </c>
      <c r="N378" s="14" t="s">
        <v>1795</v>
      </c>
      <c r="O378" s="14" t="str">
        <f>IFERROR(INDEX(Cleaned_Products!$C$2:$C$61,MATCH(F378,Cleaned_Products!$A$2:$A$61,0)),"Unknown")</f>
        <v>Necklaces</v>
      </c>
      <c r="P378" s="14" t="str">
        <f>IFERROR(INDEX(Cleaned_Products!$D$2:$D$61,MATCH(F378,Cleaned_Products!$A$2:$A$61,0)),"Unknown")</f>
        <v>Platinum</v>
      </c>
    </row>
    <row r="379" spans="1:16" x14ac:dyDescent="0.35">
      <c r="A379" s="14" t="s">
        <v>1796</v>
      </c>
      <c r="B379" s="21">
        <v>44997</v>
      </c>
      <c r="C379" s="14" t="s">
        <v>3982</v>
      </c>
      <c r="D379" s="14">
        <v>2023</v>
      </c>
      <c r="E379" s="14" t="s">
        <v>62</v>
      </c>
      <c r="F379" s="14" t="s">
        <v>154</v>
      </c>
      <c r="G379" s="14" t="s">
        <v>126</v>
      </c>
      <c r="H379" s="14">
        <v>2</v>
      </c>
      <c r="I379" s="14">
        <v>110320</v>
      </c>
      <c r="J379" s="14">
        <v>0</v>
      </c>
      <c r="K379" s="14">
        <v>220640</v>
      </c>
      <c r="L379" s="14" t="s">
        <v>121</v>
      </c>
      <c r="M379" s="14" t="s">
        <v>3980</v>
      </c>
      <c r="N379" s="14" t="s">
        <v>3983</v>
      </c>
      <c r="O379" s="14" t="str">
        <f>IFERROR(INDEX(Cleaned_Products!$C$2:$C$61,MATCH(F379,Cleaned_Products!$A$2:$A$61,0)),"Unknown")</f>
        <v>Rings</v>
      </c>
      <c r="P379" s="14" t="str">
        <f>IFERROR(INDEX(Cleaned_Products!$D$2:$D$61,MATCH(F379,Cleaned_Products!$A$2:$A$61,0)),"Unknown")</f>
        <v>Silver</v>
      </c>
    </row>
    <row r="380" spans="1:16" x14ac:dyDescent="0.35">
      <c r="A380" s="14" t="s">
        <v>1798</v>
      </c>
      <c r="B380" s="21">
        <v>45709</v>
      </c>
      <c r="C380" s="14" t="s">
        <v>3989</v>
      </c>
      <c r="D380" s="14">
        <v>2025</v>
      </c>
      <c r="E380" s="14" t="s">
        <v>359</v>
      </c>
      <c r="F380" s="14" t="s">
        <v>163</v>
      </c>
      <c r="G380" s="14" t="s">
        <v>72</v>
      </c>
      <c r="H380" s="14">
        <v>2</v>
      </c>
      <c r="I380" s="14">
        <v>186620</v>
      </c>
      <c r="J380" s="14">
        <v>10</v>
      </c>
      <c r="K380" s="14">
        <v>335916</v>
      </c>
      <c r="L380" s="14" t="s">
        <v>3979</v>
      </c>
      <c r="M380" s="14" t="s">
        <v>3975</v>
      </c>
      <c r="N380" s="14" t="s">
        <v>1800</v>
      </c>
      <c r="O380" s="14" t="str">
        <f>IFERROR(INDEX(Cleaned_Products!$C$2:$C$61,MATCH(F380,Cleaned_Products!$A$2:$A$61,0)),"Unknown")</f>
        <v>Earrings</v>
      </c>
      <c r="P380" s="14" t="str">
        <f>IFERROR(INDEX(Cleaned_Products!$D$2:$D$61,MATCH(F380,Cleaned_Products!$A$2:$A$61,0)),"Unknown")</f>
        <v>Diamond</v>
      </c>
    </row>
    <row r="381" spans="1:16" x14ac:dyDescent="0.35">
      <c r="A381" s="14" t="s">
        <v>1801</v>
      </c>
      <c r="B381" s="21">
        <v>45296</v>
      </c>
      <c r="C381" s="14" t="s">
        <v>3993</v>
      </c>
      <c r="D381" s="14">
        <v>2024</v>
      </c>
      <c r="E381" s="14" t="s">
        <v>602</v>
      </c>
      <c r="F381" s="14" t="s">
        <v>342</v>
      </c>
      <c r="G381" s="14" t="s">
        <v>113</v>
      </c>
      <c r="H381" s="14">
        <v>1</v>
      </c>
      <c r="I381" s="14">
        <v>84720</v>
      </c>
      <c r="J381" s="14">
        <v>15</v>
      </c>
      <c r="K381" s="14">
        <v>72012</v>
      </c>
      <c r="L381" s="14" t="s">
        <v>3974</v>
      </c>
      <c r="M381" s="14" t="s">
        <v>3975</v>
      </c>
      <c r="N381" s="14" t="s">
        <v>1804</v>
      </c>
      <c r="O381" s="14" t="str">
        <f>IFERROR(INDEX(Cleaned_Products!$C$2:$C$61,MATCH(F381,Cleaned_Products!$A$2:$A$61,0)),"Unknown")</f>
        <v>Necklaces</v>
      </c>
      <c r="P381" s="14" t="str">
        <f>IFERROR(INDEX(Cleaned_Products!$D$2:$D$61,MATCH(F381,Cleaned_Products!$A$2:$A$61,0)),"Unknown")</f>
        <v>Diamond</v>
      </c>
    </row>
    <row r="382" spans="1:16" x14ac:dyDescent="0.35">
      <c r="A382" s="14" t="s">
        <v>1805</v>
      </c>
      <c r="B382" s="21">
        <v>45758</v>
      </c>
      <c r="C382" s="14" t="s">
        <v>4006</v>
      </c>
      <c r="D382" s="14">
        <v>2025</v>
      </c>
      <c r="E382" s="14" t="s">
        <v>645</v>
      </c>
      <c r="F382" s="14" t="s">
        <v>348</v>
      </c>
      <c r="G382" s="14" t="s">
        <v>113</v>
      </c>
      <c r="H382" s="14">
        <v>2</v>
      </c>
      <c r="I382" s="14">
        <v>221300</v>
      </c>
      <c r="J382" s="14">
        <v>0</v>
      </c>
      <c r="K382" s="14">
        <v>442600</v>
      </c>
      <c r="L382" s="14" t="s">
        <v>3977</v>
      </c>
      <c r="M382" s="14" t="s">
        <v>3975</v>
      </c>
      <c r="N382" s="14" t="s">
        <v>1808</v>
      </c>
      <c r="O382" s="14" t="str">
        <f>IFERROR(INDEX(Cleaned_Products!$C$2:$C$61,MATCH(F382,Cleaned_Products!$A$2:$A$61,0)),"Unknown")</f>
        <v>Rings</v>
      </c>
      <c r="P382" s="14" t="str">
        <f>IFERROR(INDEX(Cleaned_Products!$D$2:$D$61,MATCH(F382,Cleaned_Products!$A$2:$A$61,0)),"Unknown")</f>
        <v>Gold</v>
      </c>
    </row>
    <row r="383" spans="1:16" x14ac:dyDescent="0.35">
      <c r="A383" s="14" t="s">
        <v>1815</v>
      </c>
      <c r="B383" s="21">
        <v>45162</v>
      </c>
      <c r="C383" s="14" t="s">
        <v>3998</v>
      </c>
      <c r="D383" s="14">
        <v>2023</v>
      </c>
      <c r="E383" s="14" t="s">
        <v>683</v>
      </c>
      <c r="F383" s="14" t="s">
        <v>916</v>
      </c>
      <c r="G383" s="14" t="s">
        <v>56</v>
      </c>
      <c r="H383" s="14">
        <v>1</v>
      </c>
      <c r="I383" s="14">
        <v>177670</v>
      </c>
      <c r="J383" s="14">
        <v>0</v>
      </c>
      <c r="K383" s="14">
        <v>177670</v>
      </c>
      <c r="L383" s="14" t="s">
        <v>3979</v>
      </c>
      <c r="M383" s="14" t="s">
        <v>3975</v>
      </c>
      <c r="N383" s="14" t="s">
        <v>1817</v>
      </c>
      <c r="O383" s="14" t="str">
        <f>IFERROR(INDEX(Cleaned_Products!$C$2:$C$61,MATCH(F383,Cleaned_Products!$A$2:$A$61,0)),"Unknown")</f>
        <v>Bracelets</v>
      </c>
      <c r="P383" s="14" t="str">
        <f>IFERROR(INDEX(Cleaned_Products!$D$2:$D$61,MATCH(F383,Cleaned_Products!$A$2:$A$61,0)),"Unknown")</f>
        <v>Rose Gold</v>
      </c>
    </row>
    <row r="384" spans="1:16" x14ac:dyDescent="0.35">
      <c r="A384" s="14" t="s">
        <v>1818</v>
      </c>
      <c r="B384" s="21">
        <v>45768</v>
      </c>
      <c r="C384" s="14" t="s">
        <v>4006</v>
      </c>
      <c r="D384" s="14">
        <v>2025</v>
      </c>
      <c r="E384" s="14" t="s">
        <v>206</v>
      </c>
      <c r="F384" s="14" t="s">
        <v>278</v>
      </c>
      <c r="G384" s="14" t="s">
        <v>56</v>
      </c>
      <c r="H384" s="14">
        <v>1</v>
      </c>
      <c r="I384" s="14">
        <v>184640</v>
      </c>
      <c r="J384" s="14">
        <v>0</v>
      </c>
      <c r="K384" s="14">
        <v>184640</v>
      </c>
      <c r="L384" s="14" t="s">
        <v>121</v>
      </c>
      <c r="M384" s="14" t="s">
        <v>3980</v>
      </c>
      <c r="N384" s="14" t="s">
        <v>1820</v>
      </c>
      <c r="O384" s="14" t="str">
        <f>IFERROR(INDEX(Cleaned_Products!$C$2:$C$61,MATCH(F384,Cleaned_Products!$A$2:$A$61,0)),"Unknown")</f>
        <v>Earrings</v>
      </c>
      <c r="P384" s="14" t="str">
        <f>IFERROR(INDEX(Cleaned_Products!$D$2:$D$61,MATCH(F384,Cleaned_Products!$A$2:$A$61,0)),"Unknown")</f>
        <v>Diamond</v>
      </c>
    </row>
    <row r="385" spans="1:16" x14ac:dyDescent="0.35">
      <c r="A385" s="14" t="s">
        <v>1824</v>
      </c>
      <c r="B385" s="21">
        <v>45578</v>
      </c>
      <c r="C385" s="14" t="s">
        <v>3981</v>
      </c>
      <c r="D385" s="14">
        <v>2024</v>
      </c>
      <c r="E385" s="14" t="s">
        <v>750</v>
      </c>
      <c r="F385" s="14" t="s">
        <v>445</v>
      </c>
      <c r="G385" s="14" t="s">
        <v>56</v>
      </c>
      <c r="H385" s="14">
        <v>1</v>
      </c>
      <c r="I385" s="14">
        <v>130410</v>
      </c>
      <c r="J385" s="14">
        <v>5</v>
      </c>
      <c r="K385" s="14">
        <v>123889.5</v>
      </c>
      <c r="L385" s="14" t="s">
        <v>3979</v>
      </c>
      <c r="M385" s="14" t="s">
        <v>3975</v>
      </c>
      <c r="N385" s="14" t="s">
        <v>1826</v>
      </c>
      <c r="O385" s="14" t="str">
        <f>IFERROR(INDEX(Cleaned_Products!$C$2:$C$61,MATCH(F385,Cleaned_Products!$A$2:$A$61,0)),"Unknown")</f>
        <v>Bangles</v>
      </c>
      <c r="P385" s="14" t="str">
        <f>IFERROR(INDEX(Cleaned_Products!$D$2:$D$61,MATCH(F385,Cleaned_Products!$A$2:$A$61,0)),"Unknown")</f>
        <v>Diamond</v>
      </c>
    </row>
    <row r="386" spans="1:16" x14ac:dyDescent="0.35">
      <c r="A386" s="14" t="s">
        <v>1827</v>
      </c>
      <c r="B386" s="21">
        <v>45579</v>
      </c>
      <c r="C386" s="14" t="s">
        <v>3981</v>
      </c>
      <c r="D386" s="14">
        <v>2024</v>
      </c>
      <c r="E386" s="14" t="s">
        <v>1829</v>
      </c>
      <c r="F386" s="14" t="s">
        <v>684</v>
      </c>
      <c r="G386" s="14" t="s">
        <v>56</v>
      </c>
      <c r="H386" s="14">
        <v>3</v>
      </c>
      <c r="I386" s="14">
        <v>70500</v>
      </c>
      <c r="J386" s="14">
        <v>15</v>
      </c>
      <c r="K386" s="14">
        <v>179775</v>
      </c>
      <c r="L386" s="14" t="s">
        <v>73</v>
      </c>
      <c r="M386" s="14" t="s">
        <v>3975</v>
      </c>
      <c r="N386" s="14" t="s">
        <v>1830</v>
      </c>
      <c r="O386" s="14" t="str">
        <f>IFERROR(INDEX(Cleaned_Products!$C$2:$C$61,MATCH(F386,Cleaned_Products!$A$2:$A$61,0)),"Unknown")</f>
        <v>Nose Pins</v>
      </c>
      <c r="P386" s="14" t="str">
        <f>IFERROR(INDEX(Cleaned_Products!$D$2:$D$61,MATCH(F386,Cleaned_Products!$A$2:$A$61,0)),"Unknown")</f>
        <v>Silver</v>
      </c>
    </row>
    <row r="387" spans="1:16" x14ac:dyDescent="0.35">
      <c r="A387" s="14" t="s">
        <v>1834</v>
      </c>
      <c r="B387" s="21">
        <v>45537</v>
      </c>
      <c r="C387" s="14" t="s">
        <v>4003</v>
      </c>
      <c r="D387" s="14">
        <v>2024</v>
      </c>
      <c r="E387" s="14" t="s">
        <v>558</v>
      </c>
      <c r="F387" s="14" t="s">
        <v>255</v>
      </c>
      <c r="G387" s="14" t="s">
        <v>56</v>
      </c>
      <c r="H387" s="14">
        <v>2</v>
      </c>
      <c r="I387" s="14">
        <v>224070</v>
      </c>
      <c r="J387" s="14">
        <v>0</v>
      </c>
      <c r="K387" s="14">
        <v>448140</v>
      </c>
      <c r="L387" s="14" t="s">
        <v>3977</v>
      </c>
      <c r="M387" s="14" t="s">
        <v>3975</v>
      </c>
      <c r="N387" s="14" t="s">
        <v>1837</v>
      </c>
      <c r="O387" s="14" t="str">
        <f>IFERROR(INDEX(Cleaned_Products!$C$2:$C$61,MATCH(F387,Cleaned_Products!$A$2:$A$61,0)),"Unknown")</f>
        <v>Bracelets</v>
      </c>
      <c r="P387" s="14" t="str">
        <f>IFERROR(INDEX(Cleaned_Products!$D$2:$D$61,MATCH(F387,Cleaned_Products!$A$2:$A$61,0)),"Unknown")</f>
        <v>Rose Gold</v>
      </c>
    </row>
    <row r="388" spans="1:16" x14ac:dyDescent="0.35">
      <c r="A388" s="14" t="s">
        <v>1838</v>
      </c>
      <c r="B388" s="21">
        <v>45764</v>
      </c>
      <c r="C388" s="14" t="s">
        <v>4006</v>
      </c>
      <c r="D388" s="14">
        <v>2025</v>
      </c>
      <c r="E388" s="14" t="s">
        <v>1332</v>
      </c>
      <c r="F388" s="14" t="s">
        <v>163</v>
      </c>
      <c r="G388" s="14" t="s">
        <v>64</v>
      </c>
      <c r="H388" s="14">
        <v>1</v>
      </c>
      <c r="I388" s="14">
        <v>26860</v>
      </c>
      <c r="J388" s="14">
        <v>0</v>
      </c>
      <c r="K388" s="14">
        <v>26860</v>
      </c>
      <c r="L388" s="14" t="s">
        <v>3979</v>
      </c>
      <c r="M388" s="14" t="s">
        <v>3975</v>
      </c>
      <c r="N388" s="14" t="s">
        <v>1840</v>
      </c>
      <c r="O388" s="14" t="str">
        <f>IFERROR(INDEX(Cleaned_Products!$C$2:$C$61,MATCH(F388,Cleaned_Products!$A$2:$A$61,0)),"Unknown")</f>
        <v>Earrings</v>
      </c>
      <c r="P388" s="14" t="str">
        <f>IFERROR(INDEX(Cleaned_Products!$D$2:$D$61,MATCH(F388,Cleaned_Products!$A$2:$A$61,0)),"Unknown")</f>
        <v>Diamond</v>
      </c>
    </row>
    <row r="389" spans="1:16" x14ac:dyDescent="0.35">
      <c r="A389" s="14" t="s">
        <v>1844</v>
      </c>
      <c r="B389" s="21">
        <v>45621</v>
      </c>
      <c r="C389" s="14" t="s">
        <v>3976</v>
      </c>
      <c r="D389" s="14">
        <v>2024</v>
      </c>
      <c r="E389" s="14" t="s">
        <v>727</v>
      </c>
      <c r="F389" s="14" t="s">
        <v>360</v>
      </c>
      <c r="G389" s="14" t="s">
        <v>101</v>
      </c>
      <c r="H389" s="14">
        <v>3</v>
      </c>
      <c r="I389" s="14">
        <v>244590</v>
      </c>
      <c r="J389" s="14">
        <v>0</v>
      </c>
      <c r="K389" s="14">
        <v>733770</v>
      </c>
      <c r="L389" s="14" t="s">
        <v>3977</v>
      </c>
      <c r="M389" s="14" t="s">
        <v>3975</v>
      </c>
      <c r="N389" s="14" t="s">
        <v>1846</v>
      </c>
      <c r="O389" s="14" t="str">
        <f>IFERROR(INDEX(Cleaned_Products!$C$2:$C$61,MATCH(F389,Cleaned_Products!$A$2:$A$61,0)),"Unknown")</f>
        <v>Pendants</v>
      </c>
      <c r="P389" s="14" t="str">
        <f>IFERROR(INDEX(Cleaned_Products!$D$2:$D$61,MATCH(F389,Cleaned_Products!$A$2:$A$61,0)),"Unknown")</f>
        <v>Diamond</v>
      </c>
    </row>
    <row r="390" spans="1:16" x14ac:dyDescent="0.35">
      <c r="A390" s="14" t="s">
        <v>1847</v>
      </c>
      <c r="B390" s="21">
        <v>45202</v>
      </c>
      <c r="C390" s="14" t="s">
        <v>3990</v>
      </c>
      <c r="D390" s="14">
        <v>2023</v>
      </c>
      <c r="E390" s="14" t="s">
        <v>290</v>
      </c>
      <c r="F390" s="14" t="s">
        <v>112</v>
      </c>
      <c r="G390" s="14" t="s">
        <v>126</v>
      </c>
      <c r="H390" s="14">
        <v>3</v>
      </c>
      <c r="I390" s="14">
        <v>158690</v>
      </c>
      <c r="J390" s="14">
        <v>15</v>
      </c>
      <c r="K390" s="14">
        <v>404659.5</v>
      </c>
      <c r="L390" s="14" t="s">
        <v>3977</v>
      </c>
      <c r="M390" s="14" t="s">
        <v>3975</v>
      </c>
      <c r="N390" s="14" t="s">
        <v>1849</v>
      </c>
      <c r="O390" s="14" t="str">
        <f>IFERROR(INDEX(Cleaned_Products!$C$2:$C$61,MATCH(F390,Cleaned_Products!$A$2:$A$61,0)),"Unknown")</f>
        <v>Bangles</v>
      </c>
      <c r="P390" s="14" t="str">
        <f>IFERROR(INDEX(Cleaned_Products!$D$2:$D$61,MATCH(F390,Cleaned_Products!$A$2:$A$61,0)),"Unknown")</f>
        <v>Rose Gold</v>
      </c>
    </row>
    <row r="391" spans="1:16" x14ac:dyDescent="0.35">
      <c r="A391" s="14" t="s">
        <v>1859</v>
      </c>
      <c r="B391" s="21">
        <v>45523</v>
      </c>
      <c r="C391" s="14" t="s">
        <v>3992</v>
      </c>
      <c r="D391" s="14">
        <v>2024</v>
      </c>
      <c r="E391" s="14" t="s">
        <v>1861</v>
      </c>
      <c r="F391" s="14" t="s">
        <v>94</v>
      </c>
      <c r="G391" s="14" t="s">
        <v>80</v>
      </c>
      <c r="H391" s="14">
        <v>1</v>
      </c>
      <c r="I391" s="14">
        <v>179060</v>
      </c>
      <c r="J391" s="14">
        <v>0</v>
      </c>
      <c r="K391" s="14">
        <v>179060</v>
      </c>
      <c r="L391" s="14" t="s">
        <v>3979</v>
      </c>
      <c r="M391" s="14" t="s">
        <v>3975</v>
      </c>
      <c r="N391" s="14" t="s">
        <v>1862</v>
      </c>
      <c r="O391" s="14" t="str">
        <f>IFERROR(INDEX(Cleaned_Products!$C$2:$C$61,MATCH(F391,Cleaned_Products!$A$2:$A$61,0)),"Unknown")</f>
        <v>Nose Pins</v>
      </c>
      <c r="P391" s="14" t="str">
        <f>IFERROR(INDEX(Cleaned_Products!$D$2:$D$61,MATCH(F391,Cleaned_Products!$A$2:$A$61,0)),"Unknown")</f>
        <v>Rose Gold</v>
      </c>
    </row>
    <row r="392" spans="1:16" x14ac:dyDescent="0.35">
      <c r="A392" s="14" t="s">
        <v>1863</v>
      </c>
      <c r="B392" s="21">
        <v>45840</v>
      </c>
      <c r="C392" s="14" t="s">
        <v>3991</v>
      </c>
      <c r="D392" s="14">
        <v>2025</v>
      </c>
      <c r="E392" s="14" t="s">
        <v>385</v>
      </c>
      <c r="F392" s="14" t="s">
        <v>125</v>
      </c>
      <c r="G392" s="14" t="s">
        <v>101</v>
      </c>
      <c r="H392" s="14">
        <v>2</v>
      </c>
      <c r="I392" s="14">
        <v>45790</v>
      </c>
      <c r="J392" s="14">
        <v>10</v>
      </c>
      <c r="K392" s="14">
        <v>82422</v>
      </c>
      <c r="L392" s="14" t="s">
        <v>3974</v>
      </c>
      <c r="M392" s="14" t="s">
        <v>3980</v>
      </c>
      <c r="N392" s="14" t="s">
        <v>1865</v>
      </c>
      <c r="O392" s="14" t="str">
        <f>IFERROR(INDEX(Cleaned_Products!$C$2:$C$61,MATCH(F392,Cleaned_Products!$A$2:$A$61,0)),"Unknown")</f>
        <v>Bracelets</v>
      </c>
      <c r="P392" s="14" t="str">
        <f>IFERROR(INDEX(Cleaned_Products!$D$2:$D$61,MATCH(F392,Cleaned_Products!$A$2:$A$61,0)),"Unknown")</f>
        <v>Rose Gold</v>
      </c>
    </row>
    <row r="393" spans="1:16" x14ac:dyDescent="0.35">
      <c r="A393" s="14" t="s">
        <v>1868</v>
      </c>
      <c r="B393" s="21">
        <v>45061</v>
      </c>
      <c r="C393" s="14" t="s">
        <v>3973</v>
      </c>
      <c r="D393" s="14">
        <v>2023</v>
      </c>
      <c r="E393" s="14" t="s">
        <v>1018</v>
      </c>
      <c r="F393" s="14" t="s">
        <v>576</v>
      </c>
      <c r="G393" s="14" t="s">
        <v>113</v>
      </c>
      <c r="H393" s="14">
        <v>2</v>
      </c>
      <c r="I393" s="14">
        <v>116550</v>
      </c>
      <c r="J393" s="14">
        <v>5</v>
      </c>
      <c r="K393" s="14">
        <v>221445</v>
      </c>
      <c r="L393" s="14" t="s">
        <v>3974</v>
      </c>
      <c r="M393" s="14" t="s">
        <v>3975</v>
      </c>
      <c r="N393" s="14" t="s">
        <v>1871</v>
      </c>
      <c r="O393" s="14" t="str">
        <f>IFERROR(INDEX(Cleaned_Products!$C$2:$C$61,MATCH(F393,Cleaned_Products!$A$2:$A$61,0)),"Unknown")</f>
        <v>Bangles</v>
      </c>
      <c r="P393" s="14" t="str">
        <f>IFERROR(INDEX(Cleaned_Products!$D$2:$D$61,MATCH(F393,Cleaned_Products!$A$2:$A$61,0)),"Unknown")</f>
        <v>Diamond</v>
      </c>
    </row>
    <row r="394" spans="1:16" x14ac:dyDescent="0.35">
      <c r="A394" s="14" t="s">
        <v>1872</v>
      </c>
      <c r="B394" s="21">
        <v>45201</v>
      </c>
      <c r="C394" s="14" t="s">
        <v>3990</v>
      </c>
      <c r="D394" s="14">
        <v>2023</v>
      </c>
      <c r="E394" s="14" t="s">
        <v>93</v>
      </c>
      <c r="F394" s="14" t="s">
        <v>107</v>
      </c>
      <c r="G394" s="14" t="s">
        <v>113</v>
      </c>
      <c r="H394" s="14">
        <v>2</v>
      </c>
      <c r="I394" s="14">
        <v>58000</v>
      </c>
      <c r="J394" s="14">
        <v>10</v>
      </c>
      <c r="K394" s="14">
        <v>104400</v>
      </c>
      <c r="L394" s="14" t="s">
        <v>3974</v>
      </c>
      <c r="M394" s="14" t="s">
        <v>3975</v>
      </c>
      <c r="N394" s="14" t="s">
        <v>1875</v>
      </c>
      <c r="O394" s="14" t="str">
        <f>IFERROR(INDEX(Cleaned_Products!$C$2:$C$61,MATCH(F394,Cleaned_Products!$A$2:$A$61,0)),"Unknown")</f>
        <v>Earrings</v>
      </c>
      <c r="P394" s="14" t="str">
        <f>IFERROR(INDEX(Cleaned_Products!$D$2:$D$61,MATCH(F394,Cleaned_Products!$A$2:$A$61,0)),"Unknown")</f>
        <v>Platinum</v>
      </c>
    </row>
    <row r="395" spans="1:16" x14ac:dyDescent="0.35">
      <c r="A395" s="14" t="s">
        <v>1876</v>
      </c>
      <c r="B395" s="21">
        <v>45369</v>
      </c>
      <c r="C395" s="14" t="s">
        <v>3985</v>
      </c>
      <c r="D395" s="14">
        <v>2024</v>
      </c>
      <c r="E395" s="14" t="s">
        <v>1097</v>
      </c>
      <c r="F395" s="14" t="s">
        <v>144</v>
      </c>
      <c r="G395" s="14" t="s">
        <v>101</v>
      </c>
      <c r="H395" s="14">
        <v>2</v>
      </c>
      <c r="I395" s="14">
        <v>46010</v>
      </c>
      <c r="J395" s="14">
        <v>10</v>
      </c>
      <c r="K395" s="14">
        <v>82818</v>
      </c>
      <c r="L395" s="14" t="s">
        <v>3974</v>
      </c>
      <c r="M395" s="14" t="s">
        <v>3975</v>
      </c>
      <c r="N395" s="14" t="s">
        <v>1878</v>
      </c>
      <c r="O395" s="14" t="str">
        <f>IFERROR(INDEX(Cleaned_Products!$C$2:$C$61,MATCH(F395,Cleaned_Products!$A$2:$A$61,0)),"Unknown")</f>
        <v>Necklaces</v>
      </c>
      <c r="P395" s="14" t="str">
        <f>IFERROR(INDEX(Cleaned_Products!$D$2:$D$61,MATCH(F395,Cleaned_Products!$A$2:$A$61,0)),"Unknown")</f>
        <v>Gold</v>
      </c>
    </row>
    <row r="396" spans="1:16" x14ac:dyDescent="0.35">
      <c r="A396" s="14" t="s">
        <v>1879</v>
      </c>
      <c r="B396" s="21">
        <v>45333</v>
      </c>
      <c r="C396" s="14" t="s">
        <v>3999</v>
      </c>
      <c r="D396" s="14">
        <v>2024</v>
      </c>
      <c r="E396" s="14" t="s">
        <v>439</v>
      </c>
      <c r="F396" s="14" t="s">
        <v>120</v>
      </c>
      <c r="G396" s="14" t="s">
        <v>80</v>
      </c>
      <c r="H396" s="14">
        <v>1</v>
      </c>
      <c r="I396" s="14">
        <v>84470</v>
      </c>
      <c r="J396" s="14">
        <v>0</v>
      </c>
      <c r="K396" s="14">
        <v>84470</v>
      </c>
      <c r="L396" s="14" t="s">
        <v>3974</v>
      </c>
      <c r="M396" s="14" t="s">
        <v>3980</v>
      </c>
      <c r="N396" s="14" t="s">
        <v>1881</v>
      </c>
      <c r="O396" s="14" t="str">
        <f>IFERROR(INDEX(Cleaned_Products!$C$2:$C$61,MATCH(F396,Cleaned_Products!$A$2:$A$61,0)),"Unknown")</f>
        <v>Necklaces</v>
      </c>
      <c r="P396" s="14" t="str">
        <f>IFERROR(INDEX(Cleaned_Products!$D$2:$D$61,MATCH(F396,Cleaned_Products!$A$2:$A$61,0)),"Unknown")</f>
        <v>Platinum</v>
      </c>
    </row>
    <row r="397" spans="1:16" x14ac:dyDescent="0.35">
      <c r="A397" s="14" t="s">
        <v>1889</v>
      </c>
      <c r="B397" s="21">
        <v>45805</v>
      </c>
      <c r="C397" s="14" t="s">
        <v>4004</v>
      </c>
      <c r="D397" s="14">
        <v>2025</v>
      </c>
      <c r="E397" s="14" t="s">
        <v>462</v>
      </c>
      <c r="F397" s="14" t="s">
        <v>463</v>
      </c>
      <c r="G397" s="14" t="s">
        <v>56</v>
      </c>
      <c r="H397" s="14">
        <v>1</v>
      </c>
      <c r="I397" s="14">
        <v>110800</v>
      </c>
      <c r="J397" s="14">
        <v>15</v>
      </c>
      <c r="K397" s="14">
        <v>94180</v>
      </c>
      <c r="L397" s="14" t="s">
        <v>121</v>
      </c>
      <c r="M397" s="14" t="s">
        <v>3975</v>
      </c>
      <c r="N397" s="14" t="s">
        <v>1891</v>
      </c>
      <c r="O397" s="14" t="str">
        <f>IFERROR(INDEX(Cleaned_Products!$C$2:$C$61,MATCH(F397,Cleaned_Products!$A$2:$A$61,0)),"Unknown")</f>
        <v>Bracelets</v>
      </c>
      <c r="P397" s="14" t="str">
        <f>IFERROR(INDEX(Cleaned_Products!$D$2:$D$61,MATCH(F397,Cleaned_Products!$A$2:$A$61,0)),"Unknown")</f>
        <v>Gold</v>
      </c>
    </row>
    <row r="398" spans="1:16" x14ac:dyDescent="0.35">
      <c r="A398" s="14" t="s">
        <v>1892</v>
      </c>
      <c r="B398" s="21">
        <v>45011</v>
      </c>
      <c r="C398" s="14" t="s">
        <v>3982</v>
      </c>
      <c r="D398" s="14">
        <v>2023</v>
      </c>
      <c r="E398" s="14" t="s">
        <v>1009</v>
      </c>
      <c r="F398" s="14" t="s">
        <v>94</v>
      </c>
      <c r="G398" s="14" t="s">
        <v>72</v>
      </c>
      <c r="H398" s="14">
        <v>3</v>
      </c>
      <c r="I398" s="14">
        <v>63380</v>
      </c>
      <c r="J398" s="14">
        <v>0</v>
      </c>
      <c r="K398" s="14">
        <v>190140</v>
      </c>
      <c r="L398" s="14" t="s">
        <v>3977</v>
      </c>
      <c r="M398" s="14" t="s">
        <v>3975</v>
      </c>
      <c r="N398" s="14" t="s">
        <v>1894</v>
      </c>
      <c r="O398" s="14" t="str">
        <f>IFERROR(INDEX(Cleaned_Products!$C$2:$C$61,MATCH(F398,Cleaned_Products!$A$2:$A$61,0)),"Unknown")</f>
        <v>Nose Pins</v>
      </c>
      <c r="P398" s="14" t="str">
        <f>IFERROR(INDEX(Cleaned_Products!$D$2:$D$61,MATCH(F398,Cleaned_Products!$A$2:$A$61,0)),"Unknown")</f>
        <v>Rose Gold</v>
      </c>
    </row>
    <row r="399" spans="1:16" x14ac:dyDescent="0.35">
      <c r="A399" s="14" t="s">
        <v>1895</v>
      </c>
      <c r="B399" s="21">
        <v>45482</v>
      </c>
      <c r="C399" s="14" t="s">
        <v>4009</v>
      </c>
      <c r="D399" s="14">
        <v>2024</v>
      </c>
      <c r="E399" s="14" t="s">
        <v>3995</v>
      </c>
      <c r="F399" s="14" t="s">
        <v>226</v>
      </c>
      <c r="G399" s="14" t="s">
        <v>126</v>
      </c>
      <c r="H399" s="14">
        <v>1</v>
      </c>
      <c r="I399" s="14">
        <v>74120</v>
      </c>
      <c r="J399" s="14">
        <v>0</v>
      </c>
      <c r="K399" s="14">
        <v>74120</v>
      </c>
      <c r="L399" s="14" t="s">
        <v>3974</v>
      </c>
      <c r="M399" s="14" t="s">
        <v>3980</v>
      </c>
      <c r="N399" s="14" t="s">
        <v>3983</v>
      </c>
      <c r="O399" s="14" t="str">
        <f>IFERROR(INDEX(Cleaned_Products!$C$2:$C$61,MATCH(F399,Cleaned_Products!$A$2:$A$61,0)),"Unknown")</f>
        <v>Earrings</v>
      </c>
      <c r="P399" s="14" t="str">
        <f>IFERROR(INDEX(Cleaned_Products!$D$2:$D$61,MATCH(F399,Cleaned_Products!$A$2:$A$61,0)),"Unknown")</f>
        <v>Diamond</v>
      </c>
    </row>
    <row r="400" spans="1:16" x14ac:dyDescent="0.35">
      <c r="A400" s="14" t="s">
        <v>1896</v>
      </c>
      <c r="B400" s="21">
        <v>45484</v>
      </c>
      <c r="C400" s="14" t="s">
        <v>4009</v>
      </c>
      <c r="D400" s="14">
        <v>2024</v>
      </c>
      <c r="E400" s="14" t="s">
        <v>1486</v>
      </c>
      <c r="F400" s="14" t="s">
        <v>163</v>
      </c>
      <c r="G400" s="14" t="s">
        <v>113</v>
      </c>
      <c r="H400" s="14">
        <v>2</v>
      </c>
      <c r="I400" s="14">
        <v>77950</v>
      </c>
      <c r="J400" s="14">
        <v>15</v>
      </c>
      <c r="K400" s="14">
        <v>132515</v>
      </c>
      <c r="L400" s="14" t="s">
        <v>73</v>
      </c>
      <c r="M400" s="14" t="s">
        <v>3980</v>
      </c>
      <c r="N400" s="14" t="s">
        <v>1897</v>
      </c>
      <c r="O400" s="14" t="str">
        <f>IFERROR(INDEX(Cleaned_Products!$C$2:$C$61,MATCH(F400,Cleaned_Products!$A$2:$A$61,0)),"Unknown")</f>
        <v>Earrings</v>
      </c>
      <c r="P400" s="14" t="str">
        <f>IFERROR(INDEX(Cleaned_Products!$D$2:$D$61,MATCH(F400,Cleaned_Products!$A$2:$A$61,0)),"Unknown")</f>
        <v>Diamond</v>
      </c>
    </row>
    <row r="401" spans="1:16" x14ac:dyDescent="0.35">
      <c r="A401" s="14" t="s">
        <v>1898</v>
      </c>
      <c r="B401" s="21">
        <v>44959</v>
      </c>
      <c r="C401" s="14" t="s">
        <v>4001</v>
      </c>
      <c r="D401" s="14">
        <v>2023</v>
      </c>
      <c r="E401" s="14" t="s">
        <v>558</v>
      </c>
      <c r="F401" s="14" t="s">
        <v>55</v>
      </c>
      <c r="G401" s="14" t="s">
        <v>126</v>
      </c>
      <c r="H401" s="14">
        <v>1</v>
      </c>
      <c r="I401" s="14">
        <v>11830</v>
      </c>
      <c r="J401" s="14">
        <v>0</v>
      </c>
      <c r="K401" s="14">
        <v>11830</v>
      </c>
      <c r="L401" s="14" t="s">
        <v>73</v>
      </c>
      <c r="M401" s="14" t="s">
        <v>3975</v>
      </c>
      <c r="N401" s="14" t="s">
        <v>1900</v>
      </c>
      <c r="O401" s="14" t="str">
        <f>IFERROR(INDEX(Cleaned_Products!$C$2:$C$61,MATCH(F401,Cleaned_Products!$A$2:$A$61,0)),"Unknown")</f>
        <v>Anklets</v>
      </c>
      <c r="P401" s="14" t="str">
        <f>IFERROR(INDEX(Cleaned_Products!$D$2:$D$61,MATCH(F401,Cleaned_Products!$A$2:$A$61,0)),"Unknown")</f>
        <v>Gold</v>
      </c>
    </row>
    <row r="402" spans="1:16" x14ac:dyDescent="0.35">
      <c r="A402" s="14" t="s">
        <v>1901</v>
      </c>
      <c r="B402" s="21">
        <v>45340</v>
      </c>
      <c r="C402" s="14" t="s">
        <v>3999</v>
      </c>
      <c r="D402" s="14">
        <v>2024</v>
      </c>
      <c r="E402" s="14" t="s">
        <v>786</v>
      </c>
      <c r="F402" s="14" t="s">
        <v>315</v>
      </c>
      <c r="G402" s="14" t="s">
        <v>126</v>
      </c>
      <c r="H402" s="14">
        <v>1</v>
      </c>
      <c r="I402" s="14">
        <v>98570</v>
      </c>
      <c r="J402" s="14">
        <v>0</v>
      </c>
      <c r="K402" s="14">
        <v>98570</v>
      </c>
      <c r="L402" s="14" t="s">
        <v>3979</v>
      </c>
      <c r="M402" s="14" t="s">
        <v>3975</v>
      </c>
      <c r="N402" s="14" t="s">
        <v>1903</v>
      </c>
      <c r="O402" s="14" t="str">
        <f>IFERROR(INDEX(Cleaned_Products!$C$2:$C$61,MATCH(F402,Cleaned_Products!$A$2:$A$61,0)),"Unknown")</f>
        <v>Bracelets</v>
      </c>
      <c r="P402" s="14" t="str">
        <f>IFERROR(INDEX(Cleaned_Products!$D$2:$D$61,MATCH(F402,Cleaned_Products!$A$2:$A$61,0)),"Unknown")</f>
        <v>Rose Gold</v>
      </c>
    </row>
    <row r="403" spans="1:16" x14ac:dyDescent="0.35">
      <c r="A403" s="14" t="s">
        <v>1906</v>
      </c>
      <c r="B403" s="21">
        <v>45719</v>
      </c>
      <c r="C403" s="14" t="s">
        <v>4002</v>
      </c>
      <c r="D403" s="14">
        <v>2025</v>
      </c>
      <c r="E403" s="14" t="s">
        <v>973</v>
      </c>
      <c r="F403" s="14" t="s">
        <v>295</v>
      </c>
      <c r="G403" s="14" t="s">
        <v>113</v>
      </c>
      <c r="H403" s="14">
        <v>1</v>
      </c>
      <c r="I403" s="14">
        <v>130000</v>
      </c>
      <c r="J403" s="14">
        <v>10</v>
      </c>
      <c r="K403" s="14">
        <v>117000</v>
      </c>
      <c r="L403" s="14" t="s">
        <v>95</v>
      </c>
      <c r="M403" s="14" t="s">
        <v>3980</v>
      </c>
      <c r="N403" s="14" t="s">
        <v>1908</v>
      </c>
      <c r="O403" s="14" t="str">
        <f>IFERROR(INDEX(Cleaned_Products!$C$2:$C$61,MATCH(F403,Cleaned_Products!$A$2:$A$61,0)),"Unknown")</f>
        <v>Necklaces</v>
      </c>
      <c r="P403" s="14" t="str">
        <f>IFERROR(INDEX(Cleaned_Products!$D$2:$D$61,MATCH(F403,Cleaned_Products!$A$2:$A$61,0)),"Unknown")</f>
        <v>Silver</v>
      </c>
    </row>
    <row r="404" spans="1:16" x14ac:dyDescent="0.35">
      <c r="A404" s="14" t="s">
        <v>1909</v>
      </c>
      <c r="B404" s="21">
        <v>45196</v>
      </c>
      <c r="C404" s="14" t="s">
        <v>3996</v>
      </c>
      <c r="D404" s="14">
        <v>2023</v>
      </c>
      <c r="E404" s="14" t="s">
        <v>1321</v>
      </c>
      <c r="F404" s="14" t="s">
        <v>167</v>
      </c>
      <c r="G404" s="14" t="s">
        <v>80</v>
      </c>
      <c r="H404" s="14">
        <v>1</v>
      </c>
      <c r="I404" s="14">
        <v>217890</v>
      </c>
      <c r="J404" s="14">
        <v>0</v>
      </c>
      <c r="K404" s="14">
        <v>217890</v>
      </c>
      <c r="L404" s="14" t="s">
        <v>73</v>
      </c>
      <c r="M404" s="14" t="s">
        <v>3980</v>
      </c>
      <c r="N404" s="14" t="s">
        <v>1910</v>
      </c>
      <c r="O404" s="14" t="str">
        <f>IFERROR(INDEX(Cleaned_Products!$C$2:$C$61,MATCH(F404,Cleaned_Products!$A$2:$A$61,0)),"Unknown")</f>
        <v>Nose Pins</v>
      </c>
      <c r="P404" s="14" t="str">
        <f>IFERROR(INDEX(Cleaned_Products!$D$2:$D$61,MATCH(F404,Cleaned_Products!$A$2:$A$61,0)),"Unknown")</f>
        <v>Rose Gold</v>
      </c>
    </row>
    <row r="405" spans="1:16" x14ac:dyDescent="0.35">
      <c r="A405" s="14" t="s">
        <v>1913</v>
      </c>
      <c r="B405" s="21">
        <v>45865</v>
      </c>
      <c r="C405" s="14" t="s">
        <v>3991</v>
      </c>
      <c r="D405" s="14">
        <v>2025</v>
      </c>
      <c r="E405" s="14" t="s">
        <v>831</v>
      </c>
      <c r="F405" s="14" t="s">
        <v>216</v>
      </c>
      <c r="G405" s="14" t="s">
        <v>80</v>
      </c>
      <c r="H405" s="14">
        <v>1</v>
      </c>
      <c r="I405" s="14">
        <v>19250</v>
      </c>
      <c r="J405" s="14">
        <v>0</v>
      </c>
      <c r="K405" s="14">
        <v>19250</v>
      </c>
      <c r="L405" s="14" t="s">
        <v>3977</v>
      </c>
      <c r="M405" s="14" t="s">
        <v>3975</v>
      </c>
      <c r="N405" s="14" t="s">
        <v>1914</v>
      </c>
      <c r="O405" s="14" t="str">
        <f>IFERROR(INDEX(Cleaned_Products!$C$2:$C$61,MATCH(F405,Cleaned_Products!$A$2:$A$61,0)),"Unknown")</f>
        <v>Bracelets</v>
      </c>
      <c r="P405" s="14" t="str">
        <f>IFERROR(INDEX(Cleaned_Products!$D$2:$D$61,MATCH(F405,Cleaned_Products!$A$2:$A$61,0)),"Unknown")</f>
        <v>Silver</v>
      </c>
    </row>
    <row r="406" spans="1:16" x14ac:dyDescent="0.35">
      <c r="A406" s="14" t="s">
        <v>1915</v>
      </c>
      <c r="B406" s="21">
        <v>45869</v>
      </c>
      <c r="C406" s="14" t="s">
        <v>3991</v>
      </c>
      <c r="D406" s="14">
        <v>2025</v>
      </c>
      <c r="E406" s="14" t="s">
        <v>143</v>
      </c>
      <c r="F406" s="14" t="s">
        <v>550</v>
      </c>
      <c r="G406" s="14" t="s">
        <v>80</v>
      </c>
      <c r="H406" s="14">
        <v>3</v>
      </c>
      <c r="I406" s="14">
        <v>233160</v>
      </c>
      <c r="J406" s="14">
        <v>5</v>
      </c>
      <c r="K406" s="14">
        <v>664506</v>
      </c>
      <c r="L406" s="14" t="s">
        <v>121</v>
      </c>
      <c r="M406" s="14" t="s">
        <v>3980</v>
      </c>
      <c r="N406" s="14" t="s">
        <v>1917</v>
      </c>
      <c r="O406" s="14" t="str">
        <f>IFERROR(INDEX(Cleaned_Products!$C$2:$C$61,MATCH(F406,Cleaned_Products!$A$2:$A$61,0)),"Unknown")</f>
        <v>Bracelets</v>
      </c>
      <c r="P406" s="14" t="str">
        <f>IFERROR(INDEX(Cleaned_Products!$D$2:$D$61,MATCH(F406,Cleaned_Products!$A$2:$A$61,0)),"Unknown")</f>
        <v>Silver</v>
      </c>
    </row>
    <row r="407" spans="1:16" x14ac:dyDescent="0.35">
      <c r="A407" s="14" t="s">
        <v>1918</v>
      </c>
      <c r="B407" s="21">
        <v>45571</v>
      </c>
      <c r="C407" s="14" t="s">
        <v>3981</v>
      </c>
      <c r="D407" s="14">
        <v>2024</v>
      </c>
      <c r="E407" s="14" t="s">
        <v>396</v>
      </c>
      <c r="F407" s="14" t="s">
        <v>255</v>
      </c>
      <c r="G407" s="14" t="s">
        <v>72</v>
      </c>
      <c r="H407" s="14">
        <v>2</v>
      </c>
      <c r="I407" s="14">
        <v>37950</v>
      </c>
      <c r="J407" s="14">
        <v>0</v>
      </c>
      <c r="K407" s="14">
        <v>75900</v>
      </c>
      <c r="L407" s="14" t="s">
        <v>3974</v>
      </c>
      <c r="M407" s="14" t="s">
        <v>3975</v>
      </c>
      <c r="N407" s="14" t="s">
        <v>1920</v>
      </c>
      <c r="O407" s="14" t="str">
        <f>IFERROR(INDEX(Cleaned_Products!$C$2:$C$61,MATCH(F407,Cleaned_Products!$A$2:$A$61,0)),"Unknown")</f>
        <v>Bracelets</v>
      </c>
      <c r="P407" s="14" t="str">
        <f>IFERROR(INDEX(Cleaned_Products!$D$2:$D$61,MATCH(F407,Cleaned_Products!$A$2:$A$61,0)),"Unknown")</f>
        <v>Rose Gold</v>
      </c>
    </row>
    <row r="408" spans="1:16" x14ac:dyDescent="0.35">
      <c r="A408" s="14" t="s">
        <v>1921</v>
      </c>
      <c r="B408" s="21">
        <v>45208</v>
      </c>
      <c r="C408" s="14" t="s">
        <v>3990</v>
      </c>
      <c r="D408" s="14">
        <v>2023</v>
      </c>
      <c r="E408" s="14" t="s">
        <v>750</v>
      </c>
      <c r="F408" s="14" t="s">
        <v>144</v>
      </c>
      <c r="G408" s="14" t="s">
        <v>113</v>
      </c>
      <c r="H408" s="14">
        <v>1</v>
      </c>
      <c r="I408" s="14">
        <v>16820</v>
      </c>
      <c r="J408" s="14">
        <v>10</v>
      </c>
      <c r="K408" s="14">
        <v>15138</v>
      </c>
      <c r="L408" s="14" t="s">
        <v>3977</v>
      </c>
      <c r="M408" s="14" t="s">
        <v>3975</v>
      </c>
      <c r="N408" s="14" t="s">
        <v>1923</v>
      </c>
      <c r="O408" s="14" t="str">
        <f>IFERROR(INDEX(Cleaned_Products!$C$2:$C$61,MATCH(F408,Cleaned_Products!$A$2:$A$61,0)),"Unknown")</f>
        <v>Necklaces</v>
      </c>
      <c r="P408" s="14" t="str">
        <f>IFERROR(INDEX(Cleaned_Products!$D$2:$D$61,MATCH(F408,Cleaned_Products!$A$2:$A$61,0)),"Unknown")</f>
        <v>Gold</v>
      </c>
    </row>
    <row r="409" spans="1:16" x14ac:dyDescent="0.35">
      <c r="A409" s="14" t="s">
        <v>1930</v>
      </c>
      <c r="B409" s="21">
        <v>45602</v>
      </c>
      <c r="C409" s="14" t="s">
        <v>3976</v>
      </c>
      <c r="D409" s="14">
        <v>2024</v>
      </c>
      <c r="E409" s="14" t="s">
        <v>674</v>
      </c>
      <c r="F409" s="14" t="s">
        <v>207</v>
      </c>
      <c r="G409" s="14" t="s">
        <v>72</v>
      </c>
      <c r="H409" s="14">
        <v>1</v>
      </c>
      <c r="I409" s="14">
        <v>43420</v>
      </c>
      <c r="J409" s="14">
        <v>0</v>
      </c>
      <c r="K409" s="14">
        <v>43420</v>
      </c>
      <c r="L409" s="14" t="s">
        <v>3977</v>
      </c>
      <c r="M409" s="14" t="s">
        <v>3975</v>
      </c>
      <c r="N409" s="14" t="s">
        <v>1932</v>
      </c>
      <c r="O409" s="14" t="str">
        <f>IFERROR(INDEX(Cleaned_Products!$C$2:$C$61,MATCH(F409,Cleaned_Products!$A$2:$A$61,0)),"Unknown")</f>
        <v>Anklets</v>
      </c>
      <c r="P409" s="14" t="str">
        <f>IFERROR(INDEX(Cleaned_Products!$D$2:$D$61,MATCH(F409,Cleaned_Products!$A$2:$A$61,0)),"Unknown")</f>
        <v>Silver</v>
      </c>
    </row>
    <row r="410" spans="1:16" x14ac:dyDescent="0.35">
      <c r="A410" s="14" t="s">
        <v>1933</v>
      </c>
      <c r="B410" s="21">
        <v>45125</v>
      </c>
      <c r="C410" s="14" t="s">
        <v>3988</v>
      </c>
      <c r="D410" s="14">
        <v>2023</v>
      </c>
      <c r="E410" s="14" t="s">
        <v>171</v>
      </c>
      <c r="F410" s="14" t="s">
        <v>100</v>
      </c>
      <c r="G410" s="14" t="s">
        <v>56</v>
      </c>
      <c r="H410" s="14">
        <v>2</v>
      </c>
      <c r="I410" s="14">
        <v>82720</v>
      </c>
      <c r="J410" s="14">
        <v>0</v>
      </c>
      <c r="K410" s="14">
        <v>165440</v>
      </c>
      <c r="L410" s="14" t="s">
        <v>73</v>
      </c>
      <c r="M410" s="14" t="s">
        <v>3980</v>
      </c>
      <c r="N410" s="14" t="s">
        <v>3983</v>
      </c>
      <c r="O410" s="14" t="str">
        <f>IFERROR(INDEX(Cleaned_Products!$C$2:$C$61,MATCH(F410,Cleaned_Products!$A$2:$A$61,0)),"Unknown")</f>
        <v>Nose Pins</v>
      </c>
      <c r="P410" s="14" t="str">
        <f>IFERROR(INDEX(Cleaned_Products!$D$2:$D$61,MATCH(F410,Cleaned_Products!$A$2:$A$61,0)),"Unknown")</f>
        <v>Diamond</v>
      </c>
    </row>
    <row r="411" spans="1:16" x14ac:dyDescent="0.35">
      <c r="A411" s="14" t="s">
        <v>1937</v>
      </c>
      <c r="B411" s="21">
        <v>45655</v>
      </c>
      <c r="C411" s="14" t="s">
        <v>3986</v>
      </c>
      <c r="D411" s="14">
        <v>2024</v>
      </c>
      <c r="E411" s="14" t="s">
        <v>225</v>
      </c>
      <c r="F411" s="14" t="s">
        <v>226</v>
      </c>
      <c r="G411" s="14" t="s">
        <v>72</v>
      </c>
      <c r="H411" s="14">
        <v>2</v>
      </c>
      <c r="I411" s="14">
        <v>166970</v>
      </c>
      <c r="J411" s="14">
        <v>10</v>
      </c>
      <c r="K411" s="14">
        <v>300546</v>
      </c>
      <c r="L411" s="14" t="s">
        <v>95</v>
      </c>
      <c r="M411" s="14" t="s">
        <v>3975</v>
      </c>
      <c r="N411" s="14" t="s">
        <v>1939</v>
      </c>
      <c r="O411" s="14" t="str">
        <f>IFERROR(INDEX(Cleaned_Products!$C$2:$C$61,MATCH(F411,Cleaned_Products!$A$2:$A$61,0)),"Unknown")</f>
        <v>Earrings</v>
      </c>
      <c r="P411" s="14" t="str">
        <f>IFERROR(INDEX(Cleaned_Products!$D$2:$D$61,MATCH(F411,Cleaned_Products!$A$2:$A$61,0)),"Unknown")</f>
        <v>Diamond</v>
      </c>
    </row>
    <row r="412" spans="1:16" x14ac:dyDescent="0.35">
      <c r="A412" s="14" t="s">
        <v>1940</v>
      </c>
      <c r="B412" s="21">
        <v>45703</v>
      </c>
      <c r="C412" s="14" t="s">
        <v>3989</v>
      </c>
      <c r="D412" s="14">
        <v>2025</v>
      </c>
      <c r="E412" s="14" t="s">
        <v>740</v>
      </c>
      <c r="F412" s="14" t="s">
        <v>445</v>
      </c>
      <c r="G412" s="14" t="s">
        <v>64</v>
      </c>
      <c r="H412" s="14">
        <v>1</v>
      </c>
      <c r="I412" s="14">
        <v>173190</v>
      </c>
      <c r="J412" s="14">
        <v>0</v>
      </c>
      <c r="K412" s="14">
        <v>173190</v>
      </c>
      <c r="L412" s="14" t="s">
        <v>3977</v>
      </c>
      <c r="M412" s="14" t="s">
        <v>3975</v>
      </c>
      <c r="N412" s="14" t="s">
        <v>1942</v>
      </c>
      <c r="O412" s="14" t="str">
        <f>IFERROR(INDEX(Cleaned_Products!$C$2:$C$61,MATCH(F412,Cleaned_Products!$A$2:$A$61,0)),"Unknown")</f>
        <v>Bangles</v>
      </c>
      <c r="P412" s="14" t="str">
        <f>IFERROR(INDEX(Cleaned_Products!$D$2:$D$61,MATCH(F412,Cleaned_Products!$A$2:$A$61,0)),"Unknown")</f>
        <v>Diamond</v>
      </c>
    </row>
    <row r="413" spans="1:16" x14ac:dyDescent="0.35">
      <c r="A413" s="14" t="s">
        <v>1943</v>
      </c>
      <c r="B413" s="21">
        <v>45796</v>
      </c>
      <c r="C413" s="14" t="s">
        <v>4004</v>
      </c>
      <c r="D413" s="14">
        <v>2025</v>
      </c>
      <c r="E413" s="14" t="s">
        <v>124</v>
      </c>
      <c r="F413" s="14" t="s">
        <v>278</v>
      </c>
      <c r="G413" s="14" t="s">
        <v>72</v>
      </c>
      <c r="H413" s="14">
        <v>2</v>
      </c>
      <c r="I413" s="14">
        <v>226950</v>
      </c>
      <c r="J413" s="14">
        <v>0</v>
      </c>
      <c r="K413" s="14">
        <v>453900</v>
      </c>
      <c r="L413" s="14" t="s">
        <v>73</v>
      </c>
      <c r="M413" s="14" t="s">
        <v>3975</v>
      </c>
      <c r="N413" s="14" t="s">
        <v>1945</v>
      </c>
      <c r="O413" s="14" t="str">
        <f>IFERROR(INDEX(Cleaned_Products!$C$2:$C$61,MATCH(F413,Cleaned_Products!$A$2:$A$61,0)),"Unknown")</f>
        <v>Earrings</v>
      </c>
      <c r="P413" s="14" t="str">
        <f>IFERROR(INDEX(Cleaned_Products!$D$2:$D$61,MATCH(F413,Cleaned_Products!$A$2:$A$61,0)),"Unknown")</f>
        <v>Diamond</v>
      </c>
    </row>
    <row r="414" spans="1:16" x14ac:dyDescent="0.35">
      <c r="A414" s="14" t="s">
        <v>1946</v>
      </c>
      <c r="B414" s="21">
        <v>45724</v>
      </c>
      <c r="C414" s="14" t="s">
        <v>4002</v>
      </c>
      <c r="D414" s="14">
        <v>2025</v>
      </c>
      <c r="E414" s="14" t="s">
        <v>1301</v>
      </c>
      <c r="F414" s="14" t="s">
        <v>1544</v>
      </c>
      <c r="G414" s="14" t="s">
        <v>80</v>
      </c>
      <c r="H414" s="14">
        <v>2</v>
      </c>
      <c r="I414" s="14">
        <v>185490</v>
      </c>
      <c r="J414" s="14">
        <v>0</v>
      </c>
      <c r="K414" s="14">
        <v>370980</v>
      </c>
      <c r="L414" s="14" t="s">
        <v>121</v>
      </c>
      <c r="M414" s="14" t="s">
        <v>3975</v>
      </c>
      <c r="N414" s="14" t="s">
        <v>1948</v>
      </c>
      <c r="O414" s="14" t="str">
        <f>IFERROR(INDEX(Cleaned_Products!$C$2:$C$61,MATCH(F414,Cleaned_Products!$A$2:$A$61,0)),"Unknown")</f>
        <v>Bracelets</v>
      </c>
      <c r="P414" s="14" t="str">
        <f>IFERROR(INDEX(Cleaned_Products!$D$2:$D$61,MATCH(F414,Cleaned_Products!$A$2:$A$61,0)),"Unknown")</f>
        <v>Platinum</v>
      </c>
    </row>
    <row r="415" spans="1:16" x14ac:dyDescent="0.35">
      <c r="A415" s="14" t="s">
        <v>1956</v>
      </c>
      <c r="B415" s="21">
        <v>45029</v>
      </c>
      <c r="C415" s="14" t="s">
        <v>4010</v>
      </c>
      <c r="D415" s="14">
        <v>2023</v>
      </c>
      <c r="E415" s="14" t="s">
        <v>1025</v>
      </c>
      <c r="F415" s="14" t="s">
        <v>107</v>
      </c>
      <c r="G415" s="14" t="s">
        <v>126</v>
      </c>
      <c r="H415" s="14">
        <v>1</v>
      </c>
      <c r="I415" s="14">
        <v>137040</v>
      </c>
      <c r="J415" s="14">
        <v>0</v>
      </c>
      <c r="K415" s="14">
        <v>137040</v>
      </c>
      <c r="L415" s="14" t="s">
        <v>121</v>
      </c>
      <c r="M415" s="14" t="s">
        <v>3980</v>
      </c>
      <c r="N415" s="14" t="s">
        <v>3983</v>
      </c>
      <c r="O415" s="14" t="str">
        <f>IFERROR(INDEX(Cleaned_Products!$C$2:$C$61,MATCH(F415,Cleaned_Products!$A$2:$A$61,0)),"Unknown")</f>
        <v>Earrings</v>
      </c>
      <c r="P415" s="14" t="str">
        <f>IFERROR(INDEX(Cleaned_Products!$D$2:$D$61,MATCH(F415,Cleaned_Products!$A$2:$A$61,0)),"Unknown")</f>
        <v>Platinum</v>
      </c>
    </row>
    <row r="416" spans="1:16" x14ac:dyDescent="0.35">
      <c r="A416" s="14" t="s">
        <v>1958</v>
      </c>
      <c r="B416" s="21">
        <v>45078</v>
      </c>
      <c r="C416" s="14" t="s">
        <v>3994</v>
      </c>
      <c r="D416" s="14">
        <v>2023</v>
      </c>
      <c r="E416" s="14" t="s">
        <v>263</v>
      </c>
      <c r="F416" s="14" t="s">
        <v>369</v>
      </c>
      <c r="G416" s="14" t="s">
        <v>126</v>
      </c>
      <c r="H416" s="14">
        <v>2</v>
      </c>
      <c r="I416" s="14">
        <v>13900</v>
      </c>
      <c r="J416" s="14">
        <v>10</v>
      </c>
      <c r="K416" s="14">
        <v>25020</v>
      </c>
      <c r="L416" s="14" t="s">
        <v>3979</v>
      </c>
      <c r="M416" s="14" t="s">
        <v>3980</v>
      </c>
      <c r="N416" s="14" t="s">
        <v>1960</v>
      </c>
      <c r="O416" s="14" t="str">
        <f>IFERROR(INDEX(Cleaned_Products!$C$2:$C$61,MATCH(F416,Cleaned_Products!$A$2:$A$61,0)),"Unknown")</f>
        <v>Earrings</v>
      </c>
      <c r="P416" s="14" t="str">
        <f>IFERROR(INDEX(Cleaned_Products!$D$2:$D$61,MATCH(F416,Cleaned_Products!$A$2:$A$61,0)),"Unknown")</f>
        <v>Platinum</v>
      </c>
    </row>
    <row r="417" spans="1:16" x14ac:dyDescent="0.35">
      <c r="A417" s="14" t="s">
        <v>1967</v>
      </c>
      <c r="B417" s="21">
        <v>45391</v>
      </c>
      <c r="C417" s="14" t="s">
        <v>4000</v>
      </c>
      <c r="D417" s="14">
        <v>2024</v>
      </c>
      <c r="E417" s="14" t="s">
        <v>407</v>
      </c>
      <c r="F417" s="14" t="s">
        <v>369</v>
      </c>
      <c r="G417" s="14" t="s">
        <v>126</v>
      </c>
      <c r="H417" s="14">
        <v>2</v>
      </c>
      <c r="I417" s="14">
        <v>50870</v>
      </c>
      <c r="J417" s="14">
        <v>15</v>
      </c>
      <c r="K417" s="14">
        <v>86479</v>
      </c>
      <c r="L417" s="14" t="s">
        <v>3977</v>
      </c>
      <c r="M417" s="14" t="s">
        <v>3975</v>
      </c>
      <c r="N417" s="14" t="s">
        <v>1969</v>
      </c>
      <c r="O417" s="14" t="str">
        <f>IFERROR(INDEX(Cleaned_Products!$C$2:$C$61,MATCH(F417,Cleaned_Products!$A$2:$A$61,0)),"Unknown")</f>
        <v>Earrings</v>
      </c>
      <c r="P417" s="14" t="str">
        <f>IFERROR(INDEX(Cleaned_Products!$D$2:$D$61,MATCH(F417,Cleaned_Products!$A$2:$A$61,0)),"Unknown")</f>
        <v>Platinum</v>
      </c>
    </row>
    <row r="418" spans="1:16" x14ac:dyDescent="0.35">
      <c r="A418" s="14" t="s">
        <v>1973</v>
      </c>
      <c r="B418" s="21">
        <v>45473</v>
      </c>
      <c r="C418" s="14" t="s">
        <v>3984</v>
      </c>
      <c r="D418" s="14">
        <v>2024</v>
      </c>
      <c r="E418" s="14" t="s">
        <v>385</v>
      </c>
      <c r="F418" s="14" t="s">
        <v>360</v>
      </c>
      <c r="G418" s="14" t="s">
        <v>113</v>
      </c>
      <c r="H418" s="14">
        <v>1</v>
      </c>
      <c r="I418" s="14">
        <v>119590</v>
      </c>
      <c r="J418" s="14">
        <v>0</v>
      </c>
      <c r="K418" s="14">
        <v>119590</v>
      </c>
      <c r="L418" s="14" t="s">
        <v>73</v>
      </c>
      <c r="M418" s="14" t="s">
        <v>3975</v>
      </c>
      <c r="N418" s="14" t="s">
        <v>1975</v>
      </c>
      <c r="O418" s="14" t="str">
        <f>IFERROR(INDEX(Cleaned_Products!$C$2:$C$61,MATCH(F418,Cleaned_Products!$A$2:$A$61,0)),"Unknown")</f>
        <v>Pendants</v>
      </c>
      <c r="P418" s="14" t="str">
        <f>IFERROR(INDEX(Cleaned_Products!$D$2:$D$61,MATCH(F418,Cleaned_Products!$A$2:$A$61,0)),"Unknown")</f>
        <v>Diamond</v>
      </c>
    </row>
    <row r="419" spans="1:16" x14ac:dyDescent="0.35">
      <c r="A419" s="14" t="s">
        <v>1976</v>
      </c>
      <c r="B419" s="21">
        <v>45614</v>
      </c>
      <c r="C419" s="14" t="s">
        <v>3976</v>
      </c>
      <c r="D419" s="14">
        <v>2024</v>
      </c>
      <c r="E419" s="14" t="s">
        <v>359</v>
      </c>
      <c r="F419" s="14" t="s">
        <v>255</v>
      </c>
      <c r="G419" s="14" t="s">
        <v>64</v>
      </c>
      <c r="H419" s="14">
        <v>3</v>
      </c>
      <c r="I419" s="14">
        <v>47770</v>
      </c>
      <c r="J419" s="14">
        <v>10</v>
      </c>
      <c r="K419" s="14">
        <v>128979</v>
      </c>
      <c r="L419" s="14" t="s">
        <v>3974</v>
      </c>
      <c r="M419" s="14" t="s">
        <v>3980</v>
      </c>
      <c r="N419" s="14" t="s">
        <v>3983</v>
      </c>
      <c r="O419" s="14" t="str">
        <f>IFERROR(INDEX(Cleaned_Products!$C$2:$C$61,MATCH(F419,Cleaned_Products!$A$2:$A$61,0)),"Unknown")</f>
        <v>Bracelets</v>
      </c>
      <c r="P419" s="14" t="str">
        <f>IFERROR(INDEX(Cleaned_Products!$D$2:$D$61,MATCH(F419,Cleaned_Products!$A$2:$A$61,0)),"Unknown")</f>
        <v>Rose Gold</v>
      </c>
    </row>
    <row r="420" spans="1:16" x14ac:dyDescent="0.35">
      <c r="A420" s="14" t="s">
        <v>1978</v>
      </c>
      <c r="B420" s="21">
        <v>45082</v>
      </c>
      <c r="C420" s="14" t="s">
        <v>3994</v>
      </c>
      <c r="D420" s="14">
        <v>2023</v>
      </c>
      <c r="E420" s="14" t="s">
        <v>511</v>
      </c>
      <c r="F420" s="14" t="s">
        <v>249</v>
      </c>
      <c r="G420" s="14" t="s">
        <v>56</v>
      </c>
      <c r="H420" s="14">
        <v>2</v>
      </c>
      <c r="I420" s="14">
        <v>140840</v>
      </c>
      <c r="J420" s="14">
        <v>5</v>
      </c>
      <c r="K420" s="14">
        <v>267596</v>
      </c>
      <c r="L420" s="14" t="s">
        <v>121</v>
      </c>
      <c r="M420" s="14" t="s">
        <v>3975</v>
      </c>
      <c r="N420" s="14" t="s">
        <v>1980</v>
      </c>
      <c r="O420" s="14" t="str">
        <f>IFERROR(INDEX(Cleaned_Products!$C$2:$C$61,MATCH(F420,Cleaned_Products!$A$2:$A$61,0)),"Unknown")</f>
        <v>Pendants</v>
      </c>
      <c r="P420" s="14" t="str">
        <f>IFERROR(INDEX(Cleaned_Products!$D$2:$D$61,MATCH(F420,Cleaned_Products!$A$2:$A$61,0)),"Unknown")</f>
        <v>Rose Gold</v>
      </c>
    </row>
    <row r="421" spans="1:16" x14ac:dyDescent="0.35">
      <c r="A421" s="14" t="s">
        <v>1981</v>
      </c>
      <c r="B421" s="21">
        <v>44934</v>
      </c>
      <c r="C421" s="14" t="s">
        <v>3987</v>
      </c>
      <c r="D421" s="14">
        <v>2023</v>
      </c>
      <c r="E421" s="14" t="s">
        <v>450</v>
      </c>
      <c r="F421" s="14" t="s">
        <v>550</v>
      </c>
      <c r="G421" s="14" t="s">
        <v>126</v>
      </c>
      <c r="H421" s="14">
        <v>2</v>
      </c>
      <c r="I421" s="14">
        <v>105070</v>
      </c>
      <c r="J421" s="14">
        <v>10</v>
      </c>
      <c r="K421" s="14">
        <v>189126</v>
      </c>
      <c r="L421" s="14" t="s">
        <v>3979</v>
      </c>
      <c r="M421" s="14" t="s">
        <v>3975</v>
      </c>
      <c r="N421" s="14" t="s">
        <v>1983</v>
      </c>
      <c r="O421" s="14" t="str">
        <f>IFERROR(INDEX(Cleaned_Products!$C$2:$C$61,MATCH(F421,Cleaned_Products!$A$2:$A$61,0)),"Unknown")</f>
        <v>Bracelets</v>
      </c>
      <c r="P421" s="14" t="str">
        <f>IFERROR(INDEX(Cleaned_Products!$D$2:$D$61,MATCH(F421,Cleaned_Products!$A$2:$A$61,0)),"Unknown")</f>
        <v>Silver</v>
      </c>
    </row>
    <row r="422" spans="1:16" x14ac:dyDescent="0.35">
      <c r="A422" s="14" t="s">
        <v>1986</v>
      </c>
      <c r="B422" s="21">
        <v>45262</v>
      </c>
      <c r="C422" s="14" t="s">
        <v>4008</v>
      </c>
      <c r="D422" s="14">
        <v>2023</v>
      </c>
      <c r="E422" s="14" t="s">
        <v>1085</v>
      </c>
      <c r="F422" s="14" t="s">
        <v>71</v>
      </c>
      <c r="G422" s="14" t="s">
        <v>56</v>
      </c>
      <c r="H422" s="14">
        <v>2</v>
      </c>
      <c r="I422" s="14">
        <v>173630</v>
      </c>
      <c r="J422" s="14">
        <v>0</v>
      </c>
      <c r="K422" s="14">
        <v>347260</v>
      </c>
      <c r="L422" s="14" t="s">
        <v>73</v>
      </c>
      <c r="M422" s="14" t="s">
        <v>3975</v>
      </c>
      <c r="N422" s="14" t="s">
        <v>1989</v>
      </c>
      <c r="O422" s="14" t="str">
        <f>IFERROR(INDEX(Cleaned_Products!$C$2:$C$61,MATCH(F422,Cleaned_Products!$A$2:$A$61,0)),"Unknown")</f>
        <v>Bracelets</v>
      </c>
      <c r="P422" s="14" t="str">
        <f>IFERROR(INDEX(Cleaned_Products!$D$2:$D$61,MATCH(F422,Cleaned_Products!$A$2:$A$61,0)),"Unknown")</f>
        <v>Rose Gold</v>
      </c>
    </row>
    <row r="423" spans="1:16" x14ac:dyDescent="0.35">
      <c r="A423" s="14" t="s">
        <v>1996</v>
      </c>
      <c r="B423" s="21">
        <v>45592</v>
      </c>
      <c r="C423" s="14" t="s">
        <v>3981</v>
      </c>
      <c r="D423" s="14">
        <v>2024</v>
      </c>
      <c r="E423" s="14" t="s">
        <v>1829</v>
      </c>
      <c r="F423" s="14" t="s">
        <v>916</v>
      </c>
      <c r="G423" s="14" t="s">
        <v>56</v>
      </c>
      <c r="H423" s="14">
        <v>2</v>
      </c>
      <c r="I423" s="14">
        <v>9280</v>
      </c>
      <c r="J423" s="14">
        <v>10</v>
      </c>
      <c r="K423" s="14">
        <v>16704</v>
      </c>
      <c r="L423" s="14" t="s">
        <v>95</v>
      </c>
      <c r="M423" s="14" t="s">
        <v>3980</v>
      </c>
      <c r="N423" s="14" t="s">
        <v>3983</v>
      </c>
      <c r="O423" s="14" t="str">
        <f>IFERROR(INDEX(Cleaned_Products!$C$2:$C$61,MATCH(F423,Cleaned_Products!$A$2:$A$61,0)),"Unknown")</f>
        <v>Bracelets</v>
      </c>
      <c r="P423" s="14" t="str">
        <f>IFERROR(INDEX(Cleaned_Products!$D$2:$D$61,MATCH(F423,Cleaned_Products!$A$2:$A$61,0)),"Unknown")</f>
        <v>Rose Gold</v>
      </c>
    </row>
    <row r="424" spans="1:16" x14ac:dyDescent="0.35">
      <c r="A424" s="14" t="s">
        <v>1999</v>
      </c>
      <c r="B424" s="21">
        <v>45663</v>
      </c>
      <c r="C424" s="14" t="s">
        <v>4005</v>
      </c>
      <c r="D424" s="14">
        <v>2025</v>
      </c>
      <c r="E424" s="14" t="s">
        <v>389</v>
      </c>
      <c r="F424" s="14" t="s">
        <v>684</v>
      </c>
      <c r="G424" s="14" t="s">
        <v>126</v>
      </c>
      <c r="H424" s="14">
        <v>1</v>
      </c>
      <c r="I424" s="14">
        <v>20520</v>
      </c>
      <c r="J424" s="14">
        <v>0</v>
      </c>
      <c r="K424" s="14">
        <v>20520</v>
      </c>
      <c r="L424" s="14" t="s">
        <v>95</v>
      </c>
      <c r="M424" s="14" t="s">
        <v>3980</v>
      </c>
      <c r="N424" s="14" t="s">
        <v>3983</v>
      </c>
      <c r="O424" s="14" t="str">
        <f>IFERROR(INDEX(Cleaned_Products!$C$2:$C$61,MATCH(F424,Cleaned_Products!$A$2:$A$61,0)),"Unknown")</f>
        <v>Nose Pins</v>
      </c>
      <c r="P424" s="14" t="str">
        <f>IFERROR(INDEX(Cleaned_Products!$D$2:$D$61,MATCH(F424,Cleaned_Products!$A$2:$A$61,0)),"Unknown")</f>
        <v>Silver</v>
      </c>
    </row>
    <row r="425" spans="1:16" x14ac:dyDescent="0.35">
      <c r="A425" s="14" t="s">
        <v>2002</v>
      </c>
      <c r="B425" s="21">
        <v>45663</v>
      </c>
      <c r="C425" s="14" t="s">
        <v>4005</v>
      </c>
      <c r="D425" s="14">
        <v>2025</v>
      </c>
      <c r="E425" s="14" t="s">
        <v>468</v>
      </c>
      <c r="F425" s="14" t="s">
        <v>94</v>
      </c>
      <c r="G425" s="14" t="s">
        <v>101</v>
      </c>
      <c r="H425" s="14">
        <v>2</v>
      </c>
      <c r="I425" s="14">
        <v>197100</v>
      </c>
      <c r="J425" s="14">
        <v>0</v>
      </c>
      <c r="K425" s="14">
        <v>394200</v>
      </c>
      <c r="L425" s="14" t="s">
        <v>3979</v>
      </c>
      <c r="M425" s="14" t="s">
        <v>3975</v>
      </c>
      <c r="N425" s="14" t="s">
        <v>2004</v>
      </c>
      <c r="O425" s="14" t="str">
        <f>IFERROR(INDEX(Cleaned_Products!$C$2:$C$61,MATCH(F425,Cleaned_Products!$A$2:$A$61,0)),"Unknown")</f>
        <v>Nose Pins</v>
      </c>
      <c r="P425" s="14" t="str">
        <f>IFERROR(INDEX(Cleaned_Products!$D$2:$D$61,MATCH(F425,Cleaned_Products!$A$2:$A$61,0)),"Unknown")</f>
        <v>Rose Gold</v>
      </c>
    </row>
    <row r="426" spans="1:16" x14ac:dyDescent="0.35">
      <c r="A426" s="14" t="s">
        <v>2005</v>
      </c>
      <c r="B426" s="21">
        <v>45423</v>
      </c>
      <c r="C426" s="14" t="s">
        <v>4007</v>
      </c>
      <c r="D426" s="14">
        <v>2024</v>
      </c>
      <c r="E426" s="14" t="s">
        <v>890</v>
      </c>
      <c r="F426" s="14" t="s">
        <v>458</v>
      </c>
      <c r="G426" s="14" t="s">
        <v>72</v>
      </c>
      <c r="H426" s="14">
        <v>2</v>
      </c>
      <c r="I426" s="14">
        <v>5020</v>
      </c>
      <c r="J426" s="14">
        <v>0</v>
      </c>
      <c r="K426" s="14">
        <v>10040</v>
      </c>
      <c r="L426" s="14" t="s">
        <v>3979</v>
      </c>
      <c r="M426" s="14" t="s">
        <v>3980</v>
      </c>
      <c r="N426" s="14" t="s">
        <v>2007</v>
      </c>
      <c r="O426" s="14" t="str">
        <f>IFERROR(INDEX(Cleaned_Products!$C$2:$C$61,MATCH(F426,Cleaned_Products!$A$2:$A$61,0)),"Unknown")</f>
        <v>Bangles</v>
      </c>
      <c r="P426" s="14" t="str">
        <f>IFERROR(INDEX(Cleaned_Products!$D$2:$D$61,MATCH(F426,Cleaned_Products!$A$2:$A$61,0)),"Unknown")</f>
        <v>Silver</v>
      </c>
    </row>
    <row r="427" spans="1:16" x14ac:dyDescent="0.35">
      <c r="A427" s="14" t="s">
        <v>2008</v>
      </c>
      <c r="B427" s="21">
        <v>44982</v>
      </c>
      <c r="C427" s="14" t="s">
        <v>4001</v>
      </c>
      <c r="D427" s="14">
        <v>2023</v>
      </c>
      <c r="E427" s="14" t="s">
        <v>148</v>
      </c>
      <c r="F427" s="14" t="s">
        <v>100</v>
      </c>
      <c r="G427" s="14" t="s">
        <v>64</v>
      </c>
      <c r="H427" s="14">
        <v>1</v>
      </c>
      <c r="I427" s="14">
        <v>99280</v>
      </c>
      <c r="J427" s="14">
        <v>10</v>
      </c>
      <c r="K427" s="14">
        <v>89352</v>
      </c>
      <c r="L427" s="14" t="s">
        <v>73</v>
      </c>
      <c r="M427" s="14" t="s">
        <v>3975</v>
      </c>
      <c r="N427" s="14" t="s">
        <v>2011</v>
      </c>
      <c r="O427" s="14" t="str">
        <f>IFERROR(INDEX(Cleaned_Products!$C$2:$C$61,MATCH(F427,Cleaned_Products!$A$2:$A$61,0)),"Unknown")</f>
        <v>Nose Pins</v>
      </c>
      <c r="P427" s="14" t="str">
        <f>IFERROR(INDEX(Cleaned_Products!$D$2:$D$61,MATCH(F427,Cleaned_Products!$A$2:$A$61,0)),"Unknown")</f>
        <v>Diamond</v>
      </c>
    </row>
    <row r="428" spans="1:16" x14ac:dyDescent="0.35">
      <c r="A428" s="14" t="s">
        <v>2012</v>
      </c>
      <c r="B428" s="21">
        <v>45112</v>
      </c>
      <c r="C428" s="14" t="s">
        <v>3988</v>
      </c>
      <c r="D428" s="14">
        <v>2023</v>
      </c>
      <c r="E428" s="14" t="s">
        <v>678</v>
      </c>
      <c r="F428" s="14" t="s">
        <v>315</v>
      </c>
      <c r="G428" s="14" t="s">
        <v>113</v>
      </c>
      <c r="H428" s="14">
        <v>1</v>
      </c>
      <c r="I428" s="14">
        <v>136860</v>
      </c>
      <c r="J428" s="14">
        <v>10</v>
      </c>
      <c r="K428" s="14">
        <v>123174</v>
      </c>
      <c r="L428" s="14" t="s">
        <v>3977</v>
      </c>
      <c r="M428" s="14" t="s">
        <v>3980</v>
      </c>
      <c r="N428" s="14" t="s">
        <v>3983</v>
      </c>
      <c r="O428" s="14" t="str">
        <f>IFERROR(INDEX(Cleaned_Products!$C$2:$C$61,MATCH(F428,Cleaned_Products!$A$2:$A$61,0)),"Unknown")</f>
        <v>Bracelets</v>
      </c>
      <c r="P428" s="14" t="str">
        <f>IFERROR(INDEX(Cleaned_Products!$D$2:$D$61,MATCH(F428,Cleaned_Products!$A$2:$A$61,0)),"Unknown")</f>
        <v>Rose Gold</v>
      </c>
    </row>
    <row r="429" spans="1:16" x14ac:dyDescent="0.35">
      <c r="A429" s="14" t="s">
        <v>2014</v>
      </c>
      <c r="B429" s="21">
        <v>45475</v>
      </c>
      <c r="C429" s="14" t="s">
        <v>4009</v>
      </c>
      <c r="D429" s="14">
        <v>2024</v>
      </c>
      <c r="E429" s="14" t="s">
        <v>376</v>
      </c>
      <c r="F429" s="14" t="s">
        <v>432</v>
      </c>
      <c r="G429" s="14" t="s">
        <v>108</v>
      </c>
      <c r="H429" s="14">
        <v>2</v>
      </c>
      <c r="I429" s="14">
        <v>209740</v>
      </c>
      <c r="J429" s="14">
        <v>15</v>
      </c>
      <c r="K429" s="14">
        <v>356558</v>
      </c>
      <c r="L429" s="14" t="s">
        <v>3974</v>
      </c>
      <c r="M429" s="14" t="s">
        <v>3975</v>
      </c>
      <c r="N429" s="14" t="s">
        <v>2016</v>
      </c>
      <c r="O429" s="14" t="str">
        <f>IFERROR(INDEX(Cleaned_Products!$C$2:$C$61,MATCH(F429,Cleaned_Products!$A$2:$A$61,0)),"Unknown")</f>
        <v>Earrings</v>
      </c>
      <c r="P429" s="14" t="str">
        <f>IFERROR(INDEX(Cleaned_Products!$D$2:$D$61,MATCH(F429,Cleaned_Products!$A$2:$A$61,0)),"Unknown")</f>
        <v>Gold</v>
      </c>
    </row>
    <row r="430" spans="1:16" x14ac:dyDescent="0.35">
      <c r="A430" s="14" t="s">
        <v>2017</v>
      </c>
      <c r="B430" s="21">
        <v>45481</v>
      </c>
      <c r="C430" s="14" t="s">
        <v>4009</v>
      </c>
      <c r="D430" s="14">
        <v>2024</v>
      </c>
      <c r="E430" s="14" t="s">
        <v>1254</v>
      </c>
      <c r="F430" s="14" t="s">
        <v>216</v>
      </c>
      <c r="G430" s="14" t="s">
        <v>101</v>
      </c>
      <c r="H430" s="14">
        <v>1</v>
      </c>
      <c r="I430" s="14">
        <v>144530</v>
      </c>
      <c r="J430" s="14">
        <v>15</v>
      </c>
      <c r="K430" s="14">
        <v>122850.5</v>
      </c>
      <c r="L430" s="14" t="s">
        <v>3974</v>
      </c>
      <c r="M430" s="14" t="s">
        <v>3980</v>
      </c>
      <c r="N430" s="14" t="s">
        <v>2019</v>
      </c>
      <c r="O430" s="14" t="str">
        <f>IFERROR(INDEX(Cleaned_Products!$C$2:$C$61,MATCH(F430,Cleaned_Products!$A$2:$A$61,0)),"Unknown")</f>
        <v>Bracelets</v>
      </c>
      <c r="P430" s="14" t="str">
        <f>IFERROR(INDEX(Cleaned_Products!$D$2:$D$61,MATCH(F430,Cleaned_Products!$A$2:$A$61,0)),"Unknown")</f>
        <v>Silver</v>
      </c>
    </row>
    <row r="431" spans="1:16" x14ac:dyDescent="0.35">
      <c r="A431" s="14" t="s">
        <v>2032</v>
      </c>
      <c r="B431" s="21">
        <v>45202</v>
      </c>
      <c r="C431" s="14" t="s">
        <v>3990</v>
      </c>
      <c r="D431" s="14">
        <v>2023</v>
      </c>
      <c r="E431" s="14" t="s">
        <v>973</v>
      </c>
      <c r="F431" s="14" t="s">
        <v>445</v>
      </c>
      <c r="G431" s="14" t="s">
        <v>126</v>
      </c>
      <c r="H431" s="14">
        <v>3</v>
      </c>
      <c r="I431" s="14">
        <v>63800</v>
      </c>
      <c r="J431" s="14">
        <v>10</v>
      </c>
      <c r="K431" s="14">
        <v>172260</v>
      </c>
      <c r="L431" s="14" t="s">
        <v>121</v>
      </c>
      <c r="M431" s="14" t="s">
        <v>3975</v>
      </c>
      <c r="N431" s="14" t="s">
        <v>2033</v>
      </c>
      <c r="O431" s="14" t="str">
        <f>IFERROR(INDEX(Cleaned_Products!$C$2:$C$61,MATCH(F431,Cleaned_Products!$A$2:$A$61,0)),"Unknown")</f>
        <v>Bangles</v>
      </c>
      <c r="P431" s="14" t="str">
        <f>IFERROR(INDEX(Cleaned_Products!$D$2:$D$61,MATCH(F431,Cleaned_Products!$A$2:$A$61,0)),"Unknown")</f>
        <v>Diamond</v>
      </c>
    </row>
    <row r="432" spans="1:16" x14ac:dyDescent="0.35">
      <c r="A432" s="14" t="s">
        <v>2034</v>
      </c>
      <c r="B432" s="21">
        <v>45254</v>
      </c>
      <c r="C432" s="14" t="s">
        <v>3978</v>
      </c>
      <c r="D432" s="14">
        <v>2023</v>
      </c>
      <c r="E432" s="14" t="s">
        <v>234</v>
      </c>
      <c r="F432" s="14" t="s">
        <v>259</v>
      </c>
      <c r="G432" s="14" t="s">
        <v>126</v>
      </c>
      <c r="H432" s="14">
        <v>1</v>
      </c>
      <c r="I432" s="14">
        <v>101250</v>
      </c>
      <c r="J432" s="14">
        <v>0</v>
      </c>
      <c r="K432" s="14">
        <v>101250</v>
      </c>
      <c r="L432" s="14" t="s">
        <v>3977</v>
      </c>
      <c r="M432" s="14" t="s">
        <v>3975</v>
      </c>
      <c r="N432" s="14" t="s">
        <v>2036</v>
      </c>
      <c r="O432" s="14" t="str">
        <f>IFERROR(INDEX(Cleaned_Products!$C$2:$C$61,MATCH(F432,Cleaned_Products!$A$2:$A$61,0)),"Unknown")</f>
        <v>Pendants</v>
      </c>
      <c r="P432" s="14" t="str">
        <f>IFERROR(INDEX(Cleaned_Products!$D$2:$D$61,MATCH(F432,Cleaned_Products!$A$2:$A$61,0)),"Unknown")</f>
        <v>Platinum</v>
      </c>
    </row>
    <row r="433" spans="1:16" x14ac:dyDescent="0.35">
      <c r="A433" s="14" t="s">
        <v>2037</v>
      </c>
      <c r="B433" s="21">
        <v>45709</v>
      </c>
      <c r="C433" s="14" t="s">
        <v>3989</v>
      </c>
      <c r="D433" s="14">
        <v>2025</v>
      </c>
      <c r="E433" s="14" t="s">
        <v>1244</v>
      </c>
      <c r="F433" s="14" t="s">
        <v>348</v>
      </c>
      <c r="G433" s="14" t="s">
        <v>80</v>
      </c>
      <c r="H433" s="14">
        <v>3</v>
      </c>
      <c r="I433" s="14">
        <v>148680</v>
      </c>
      <c r="J433" s="14">
        <v>10</v>
      </c>
      <c r="K433" s="14">
        <v>401436</v>
      </c>
      <c r="L433" s="14" t="s">
        <v>73</v>
      </c>
      <c r="M433" s="14" t="s">
        <v>3975</v>
      </c>
      <c r="N433" s="14" t="s">
        <v>2039</v>
      </c>
      <c r="O433" s="14" t="str">
        <f>IFERROR(INDEX(Cleaned_Products!$C$2:$C$61,MATCH(F433,Cleaned_Products!$A$2:$A$61,0)),"Unknown")</f>
        <v>Rings</v>
      </c>
      <c r="P433" s="14" t="str">
        <f>IFERROR(INDEX(Cleaned_Products!$D$2:$D$61,MATCH(F433,Cleaned_Products!$A$2:$A$61,0)),"Unknown")</f>
        <v>Gold</v>
      </c>
    </row>
    <row r="434" spans="1:16" x14ac:dyDescent="0.35">
      <c r="A434" s="14" t="s">
        <v>2040</v>
      </c>
      <c r="B434" s="21">
        <v>45631</v>
      </c>
      <c r="C434" s="14" t="s">
        <v>3986</v>
      </c>
      <c r="D434" s="14">
        <v>2024</v>
      </c>
      <c r="E434" s="14" t="s">
        <v>444</v>
      </c>
      <c r="F434" s="14" t="s">
        <v>1309</v>
      </c>
      <c r="G434" s="14" t="s">
        <v>101</v>
      </c>
      <c r="H434" s="14">
        <v>1</v>
      </c>
      <c r="I434" s="14">
        <v>147530</v>
      </c>
      <c r="J434" s="14">
        <v>10</v>
      </c>
      <c r="K434" s="14">
        <v>132777</v>
      </c>
      <c r="L434" s="14" t="s">
        <v>121</v>
      </c>
      <c r="M434" s="14" t="s">
        <v>3975</v>
      </c>
      <c r="N434" s="14" t="s">
        <v>2043</v>
      </c>
      <c r="O434" s="14" t="str">
        <f>IFERROR(INDEX(Cleaned_Products!$C$2:$C$61,MATCH(F434,Cleaned_Products!$A$2:$A$61,0)),"Unknown")</f>
        <v>Rings</v>
      </c>
      <c r="P434" s="14" t="str">
        <f>IFERROR(INDEX(Cleaned_Products!$D$2:$D$61,MATCH(F434,Cleaned_Products!$A$2:$A$61,0)),"Unknown")</f>
        <v>Platinum</v>
      </c>
    </row>
    <row r="435" spans="1:16" x14ac:dyDescent="0.35">
      <c r="A435" s="14" t="s">
        <v>2044</v>
      </c>
      <c r="B435" s="21">
        <v>45064</v>
      </c>
      <c r="C435" s="14" t="s">
        <v>3973</v>
      </c>
      <c r="D435" s="14">
        <v>2023</v>
      </c>
      <c r="E435" s="14" t="s">
        <v>579</v>
      </c>
      <c r="F435" s="14" t="s">
        <v>100</v>
      </c>
      <c r="G435" s="14" t="s">
        <v>108</v>
      </c>
      <c r="H435" s="14">
        <v>2</v>
      </c>
      <c r="I435" s="14">
        <v>35610</v>
      </c>
      <c r="J435" s="14">
        <v>0</v>
      </c>
      <c r="K435" s="14">
        <v>71220</v>
      </c>
      <c r="L435" s="14" t="s">
        <v>95</v>
      </c>
      <c r="M435" s="14" t="s">
        <v>3975</v>
      </c>
      <c r="N435" s="14" t="s">
        <v>2046</v>
      </c>
      <c r="O435" s="14" t="str">
        <f>IFERROR(INDEX(Cleaned_Products!$C$2:$C$61,MATCH(F435,Cleaned_Products!$A$2:$A$61,0)),"Unknown")</f>
        <v>Nose Pins</v>
      </c>
      <c r="P435" s="14" t="str">
        <f>IFERROR(INDEX(Cleaned_Products!$D$2:$D$61,MATCH(F435,Cleaned_Products!$A$2:$A$61,0)),"Unknown")</f>
        <v>Diamond</v>
      </c>
    </row>
    <row r="436" spans="1:16" x14ac:dyDescent="0.35">
      <c r="A436" s="14" t="s">
        <v>2047</v>
      </c>
      <c r="B436" s="21">
        <v>45808</v>
      </c>
      <c r="C436" s="14" t="s">
        <v>4004</v>
      </c>
      <c r="D436" s="14">
        <v>2025</v>
      </c>
      <c r="E436" s="14" t="s">
        <v>811</v>
      </c>
      <c r="F436" s="14" t="s">
        <v>226</v>
      </c>
      <c r="G436" s="14" t="s">
        <v>108</v>
      </c>
      <c r="H436" s="14">
        <v>1</v>
      </c>
      <c r="I436" s="14">
        <v>76960</v>
      </c>
      <c r="J436" s="14">
        <v>10</v>
      </c>
      <c r="K436" s="14">
        <v>69264</v>
      </c>
      <c r="L436" s="14" t="s">
        <v>73</v>
      </c>
      <c r="M436" s="14" t="s">
        <v>3975</v>
      </c>
      <c r="N436" s="14" t="s">
        <v>2049</v>
      </c>
      <c r="O436" s="14" t="str">
        <f>IFERROR(INDEX(Cleaned_Products!$C$2:$C$61,MATCH(F436,Cleaned_Products!$A$2:$A$61,0)),"Unknown")</f>
        <v>Earrings</v>
      </c>
      <c r="P436" s="14" t="str">
        <f>IFERROR(INDEX(Cleaned_Products!$D$2:$D$61,MATCH(F436,Cleaned_Products!$A$2:$A$61,0)),"Unknown")</f>
        <v>Diamond</v>
      </c>
    </row>
    <row r="437" spans="1:16" x14ac:dyDescent="0.35">
      <c r="A437" s="14" t="s">
        <v>2056</v>
      </c>
      <c r="B437" s="21">
        <v>45188</v>
      </c>
      <c r="C437" s="14" t="s">
        <v>3996</v>
      </c>
      <c r="D437" s="14">
        <v>2023</v>
      </c>
      <c r="E437" s="14" t="s">
        <v>750</v>
      </c>
      <c r="F437" s="14" t="s">
        <v>231</v>
      </c>
      <c r="G437" s="14" t="s">
        <v>113</v>
      </c>
      <c r="H437" s="14">
        <v>1</v>
      </c>
      <c r="I437" s="14">
        <v>164780</v>
      </c>
      <c r="J437" s="14">
        <v>0</v>
      </c>
      <c r="K437" s="14">
        <v>164780</v>
      </c>
      <c r="L437" s="14" t="s">
        <v>3974</v>
      </c>
      <c r="M437" s="14" t="s">
        <v>3975</v>
      </c>
      <c r="N437" s="14" t="s">
        <v>2059</v>
      </c>
      <c r="O437" s="14" t="str">
        <f>IFERROR(INDEX(Cleaned_Products!$C$2:$C$61,MATCH(F437,Cleaned_Products!$A$2:$A$61,0)),"Unknown")</f>
        <v>Nose Pins</v>
      </c>
      <c r="P437" s="14" t="str">
        <f>IFERROR(INDEX(Cleaned_Products!$D$2:$D$61,MATCH(F437,Cleaned_Products!$A$2:$A$61,0)),"Unknown")</f>
        <v>Platinum</v>
      </c>
    </row>
    <row r="438" spans="1:16" x14ac:dyDescent="0.35">
      <c r="A438" s="14" t="s">
        <v>2060</v>
      </c>
      <c r="B438" s="21">
        <v>45156</v>
      </c>
      <c r="C438" s="14" t="s">
        <v>3998</v>
      </c>
      <c r="D438" s="14">
        <v>2023</v>
      </c>
      <c r="E438" s="14" t="s">
        <v>301</v>
      </c>
      <c r="F438" s="14" t="s">
        <v>231</v>
      </c>
      <c r="G438" s="14" t="s">
        <v>80</v>
      </c>
      <c r="H438" s="14">
        <v>2</v>
      </c>
      <c r="I438" s="14">
        <v>91700</v>
      </c>
      <c r="J438" s="14">
        <v>0</v>
      </c>
      <c r="K438" s="14">
        <v>183400</v>
      </c>
      <c r="L438" s="14" t="s">
        <v>73</v>
      </c>
      <c r="M438" s="14" t="s">
        <v>3980</v>
      </c>
      <c r="N438" s="14" t="s">
        <v>2061</v>
      </c>
      <c r="O438" s="14" t="str">
        <f>IFERROR(INDEX(Cleaned_Products!$C$2:$C$61,MATCH(F438,Cleaned_Products!$A$2:$A$61,0)),"Unknown")</f>
        <v>Nose Pins</v>
      </c>
      <c r="P438" s="14" t="str">
        <f>IFERROR(INDEX(Cleaned_Products!$D$2:$D$61,MATCH(F438,Cleaned_Products!$A$2:$A$61,0)),"Unknown")</f>
        <v>Platinum</v>
      </c>
    </row>
    <row r="439" spans="1:16" x14ac:dyDescent="0.35">
      <c r="A439" s="14" t="s">
        <v>2062</v>
      </c>
      <c r="B439" s="21">
        <v>45601</v>
      </c>
      <c r="C439" s="14" t="s">
        <v>3976</v>
      </c>
      <c r="D439" s="14">
        <v>2024</v>
      </c>
      <c r="E439" s="14" t="s">
        <v>967</v>
      </c>
      <c r="F439" s="14" t="s">
        <v>989</v>
      </c>
      <c r="G439" s="14" t="s">
        <v>56</v>
      </c>
      <c r="H439" s="14">
        <v>2</v>
      </c>
      <c r="I439" s="14">
        <v>82940</v>
      </c>
      <c r="J439" s="14">
        <v>15</v>
      </c>
      <c r="K439" s="14">
        <v>140998</v>
      </c>
      <c r="L439" s="14" t="s">
        <v>95</v>
      </c>
      <c r="M439" s="14" t="s">
        <v>3975</v>
      </c>
      <c r="N439" s="14" t="s">
        <v>2065</v>
      </c>
      <c r="O439" s="14" t="str">
        <f>IFERROR(INDEX(Cleaned_Products!$C$2:$C$61,MATCH(F439,Cleaned_Products!$A$2:$A$61,0)),"Unknown")</f>
        <v>Anklets</v>
      </c>
      <c r="P439" s="14" t="str">
        <f>IFERROR(INDEX(Cleaned_Products!$D$2:$D$61,MATCH(F439,Cleaned_Products!$A$2:$A$61,0)),"Unknown")</f>
        <v>Rose Gold</v>
      </c>
    </row>
    <row r="440" spans="1:16" x14ac:dyDescent="0.35">
      <c r="A440" s="14" t="s">
        <v>2066</v>
      </c>
      <c r="B440" s="21">
        <v>45628</v>
      </c>
      <c r="C440" s="14" t="s">
        <v>3986</v>
      </c>
      <c r="D440" s="14">
        <v>2024</v>
      </c>
      <c r="E440" s="14" t="s">
        <v>758</v>
      </c>
      <c r="F440" s="14" t="s">
        <v>259</v>
      </c>
      <c r="G440" s="14" t="s">
        <v>113</v>
      </c>
      <c r="H440" s="14">
        <v>1</v>
      </c>
      <c r="I440" s="14">
        <v>182120</v>
      </c>
      <c r="J440" s="14">
        <v>0</v>
      </c>
      <c r="K440" s="14">
        <v>182120</v>
      </c>
      <c r="L440" s="14" t="s">
        <v>121</v>
      </c>
      <c r="M440" s="14" t="s">
        <v>3980</v>
      </c>
      <c r="N440" s="14" t="s">
        <v>3983</v>
      </c>
      <c r="O440" s="14" t="str">
        <f>IFERROR(INDEX(Cleaned_Products!$C$2:$C$61,MATCH(F440,Cleaned_Products!$A$2:$A$61,0)),"Unknown")</f>
        <v>Pendants</v>
      </c>
      <c r="P440" s="14" t="str">
        <f>IFERROR(INDEX(Cleaned_Products!$D$2:$D$61,MATCH(F440,Cleaned_Products!$A$2:$A$61,0)),"Unknown")</f>
        <v>Platinum</v>
      </c>
    </row>
    <row r="441" spans="1:16" x14ac:dyDescent="0.35">
      <c r="A441" s="14" t="s">
        <v>2069</v>
      </c>
      <c r="B441" s="21">
        <v>45635</v>
      </c>
      <c r="C441" s="14" t="s">
        <v>3986</v>
      </c>
      <c r="D441" s="14">
        <v>2024</v>
      </c>
      <c r="E441" s="14" t="s">
        <v>1584</v>
      </c>
      <c r="F441" s="14" t="s">
        <v>1309</v>
      </c>
      <c r="G441" s="14" t="s">
        <v>64</v>
      </c>
      <c r="H441" s="14">
        <v>2</v>
      </c>
      <c r="I441" s="14">
        <v>238490</v>
      </c>
      <c r="J441" s="14">
        <v>15</v>
      </c>
      <c r="K441" s="14">
        <v>405433</v>
      </c>
      <c r="L441" s="14" t="s">
        <v>3974</v>
      </c>
      <c r="M441" s="14" t="s">
        <v>3975</v>
      </c>
      <c r="N441" s="14" t="s">
        <v>2072</v>
      </c>
      <c r="O441" s="14" t="str">
        <f>IFERROR(INDEX(Cleaned_Products!$C$2:$C$61,MATCH(F441,Cleaned_Products!$A$2:$A$61,0)),"Unknown")</f>
        <v>Rings</v>
      </c>
      <c r="P441" s="14" t="str">
        <f>IFERROR(INDEX(Cleaned_Products!$D$2:$D$61,MATCH(F441,Cleaned_Products!$A$2:$A$61,0)),"Unknown")</f>
        <v>Platinum</v>
      </c>
    </row>
    <row r="442" spans="1:16" x14ac:dyDescent="0.35">
      <c r="A442" s="14" t="s">
        <v>2076</v>
      </c>
      <c r="B442" s="21">
        <v>44934</v>
      </c>
      <c r="C442" s="14" t="s">
        <v>3987</v>
      </c>
      <c r="D442" s="14">
        <v>2023</v>
      </c>
      <c r="E442" s="14" t="s">
        <v>1244</v>
      </c>
      <c r="F442" s="14" t="s">
        <v>179</v>
      </c>
      <c r="G442" s="14" t="s">
        <v>72</v>
      </c>
      <c r="H442" s="14">
        <v>2</v>
      </c>
      <c r="I442" s="14">
        <v>133360</v>
      </c>
      <c r="J442" s="14">
        <v>0</v>
      </c>
      <c r="K442" s="14">
        <v>266720</v>
      </c>
      <c r="L442" s="14" t="s">
        <v>3974</v>
      </c>
      <c r="M442" s="14" t="s">
        <v>3980</v>
      </c>
      <c r="N442" s="14" t="s">
        <v>3983</v>
      </c>
      <c r="O442" s="14" t="str">
        <f>IFERROR(INDEX(Cleaned_Products!$C$2:$C$61,MATCH(F442,Cleaned_Products!$A$2:$A$61,0)),"Unknown")</f>
        <v>Bracelets</v>
      </c>
      <c r="P442" s="14" t="str">
        <f>IFERROR(INDEX(Cleaned_Products!$D$2:$D$61,MATCH(F442,Cleaned_Products!$A$2:$A$61,0)),"Unknown")</f>
        <v>Rose Gold</v>
      </c>
    </row>
    <row r="443" spans="1:16" x14ac:dyDescent="0.35">
      <c r="A443" s="14" t="s">
        <v>2078</v>
      </c>
      <c r="B443" s="21">
        <v>45031</v>
      </c>
      <c r="C443" s="14" t="s">
        <v>4010</v>
      </c>
      <c r="D443" s="14">
        <v>2023</v>
      </c>
      <c r="E443" s="14" t="s">
        <v>1584</v>
      </c>
      <c r="F443" s="14" t="s">
        <v>154</v>
      </c>
      <c r="G443" s="14" t="s">
        <v>64</v>
      </c>
      <c r="H443" s="14">
        <v>1</v>
      </c>
      <c r="I443" s="14">
        <v>61270</v>
      </c>
      <c r="J443" s="14">
        <v>0</v>
      </c>
      <c r="K443" s="14">
        <v>61270</v>
      </c>
      <c r="L443" s="14" t="s">
        <v>121</v>
      </c>
      <c r="M443" s="14" t="s">
        <v>3975</v>
      </c>
      <c r="N443" s="14" t="s">
        <v>2081</v>
      </c>
      <c r="O443" s="14" t="str">
        <f>IFERROR(INDEX(Cleaned_Products!$C$2:$C$61,MATCH(F443,Cleaned_Products!$A$2:$A$61,0)),"Unknown")</f>
        <v>Rings</v>
      </c>
      <c r="P443" s="14" t="str">
        <f>IFERROR(INDEX(Cleaned_Products!$D$2:$D$61,MATCH(F443,Cleaned_Products!$A$2:$A$61,0)),"Unknown")</f>
        <v>Silver</v>
      </c>
    </row>
    <row r="444" spans="1:16" x14ac:dyDescent="0.35">
      <c r="A444" s="14" t="s">
        <v>2082</v>
      </c>
      <c r="B444" s="21">
        <v>44952</v>
      </c>
      <c r="C444" s="14" t="s">
        <v>3987</v>
      </c>
      <c r="D444" s="14">
        <v>2023</v>
      </c>
      <c r="E444" s="14" t="s">
        <v>573</v>
      </c>
      <c r="F444" s="14" t="s">
        <v>1544</v>
      </c>
      <c r="G444" s="14" t="s">
        <v>56</v>
      </c>
      <c r="H444" s="14">
        <v>1</v>
      </c>
      <c r="I444" s="14">
        <v>92340</v>
      </c>
      <c r="J444" s="14">
        <v>0</v>
      </c>
      <c r="K444" s="14">
        <v>92340</v>
      </c>
      <c r="L444" s="14" t="s">
        <v>3977</v>
      </c>
      <c r="M444" s="14" t="s">
        <v>3980</v>
      </c>
      <c r="N444" s="14" t="s">
        <v>3983</v>
      </c>
      <c r="O444" s="14" t="str">
        <f>IFERROR(INDEX(Cleaned_Products!$C$2:$C$61,MATCH(F444,Cleaned_Products!$A$2:$A$61,0)),"Unknown")</f>
        <v>Bracelets</v>
      </c>
      <c r="P444" s="14" t="str">
        <f>IFERROR(INDEX(Cleaned_Products!$D$2:$D$61,MATCH(F444,Cleaned_Products!$A$2:$A$61,0)),"Unknown")</f>
        <v>Platinum</v>
      </c>
    </row>
    <row r="445" spans="1:16" x14ac:dyDescent="0.35">
      <c r="A445" s="14" t="s">
        <v>2085</v>
      </c>
      <c r="B445" s="21">
        <v>45334</v>
      </c>
      <c r="C445" s="14" t="s">
        <v>3999</v>
      </c>
      <c r="D445" s="14">
        <v>2024</v>
      </c>
      <c r="E445" s="14" t="s">
        <v>355</v>
      </c>
      <c r="F445" s="14" t="s">
        <v>1309</v>
      </c>
      <c r="G445" s="14" t="s">
        <v>113</v>
      </c>
      <c r="H445" s="14">
        <v>1</v>
      </c>
      <c r="I445" s="14">
        <v>216340</v>
      </c>
      <c r="J445" s="14">
        <v>0</v>
      </c>
      <c r="K445" s="14">
        <v>216340</v>
      </c>
      <c r="L445" s="14" t="s">
        <v>3974</v>
      </c>
      <c r="M445" s="14" t="s">
        <v>3975</v>
      </c>
      <c r="N445" s="14" t="s">
        <v>2086</v>
      </c>
      <c r="O445" s="14" t="str">
        <f>IFERROR(INDEX(Cleaned_Products!$C$2:$C$61,MATCH(F445,Cleaned_Products!$A$2:$A$61,0)),"Unknown")</f>
        <v>Rings</v>
      </c>
      <c r="P445" s="14" t="str">
        <f>IFERROR(INDEX(Cleaned_Products!$D$2:$D$61,MATCH(F445,Cleaned_Products!$A$2:$A$61,0)),"Unknown")</f>
        <v>Platinum</v>
      </c>
    </row>
    <row r="446" spans="1:16" x14ac:dyDescent="0.35">
      <c r="A446" s="14" t="s">
        <v>2087</v>
      </c>
      <c r="B446" s="21">
        <v>45451</v>
      </c>
      <c r="C446" s="14" t="s">
        <v>3984</v>
      </c>
      <c r="D446" s="14">
        <v>2024</v>
      </c>
      <c r="E446" s="14" t="s">
        <v>368</v>
      </c>
      <c r="F446" s="14" t="s">
        <v>120</v>
      </c>
      <c r="G446" s="14" t="s">
        <v>101</v>
      </c>
      <c r="H446" s="14">
        <v>2</v>
      </c>
      <c r="I446" s="14">
        <v>173020</v>
      </c>
      <c r="J446" s="14">
        <v>15</v>
      </c>
      <c r="K446" s="14">
        <v>294134</v>
      </c>
      <c r="L446" s="14" t="s">
        <v>3974</v>
      </c>
      <c r="M446" s="14" t="s">
        <v>3975</v>
      </c>
      <c r="N446" s="14" t="s">
        <v>2089</v>
      </c>
      <c r="O446" s="14" t="str">
        <f>IFERROR(INDEX(Cleaned_Products!$C$2:$C$61,MATCH(F446,Cleaned_Products!$A$2:$A$61,0)),"Unknown")</f>
        <v>Necklaces</v>
      </c>
      <c r="P446" s="14" t="str">
        <f>IFERROR(INDEX(Cleaned_Products!$D$2:$D$61,MATCH(F446,Cleaned_Products!$A$2:$A$61,0)),"Unknown")</f>
        <v>Platinum</v>
      </c>
    </row>
    <row r="447" spans="1:16" x14ac:dyDescent="0.35">
      <c r="A447" s="14" t="s">
        <v>2090</v>
      </c>
      <c r="B447" s="21">
        <v>44966</v>
      </c>
      <c r="C447" s="14" t="s">
        <v>4001</v>
      </c>
      <c r="D447" s="14">
        <v>2023</v>
      </c>
      <c r="E447" s="14" t="s">
        <v>597</v>
      </c>
      <c r="F447" s="14" t="s">
        <v>360</v>
      </c>
      <c r="G447" s="14" t="s">
        <v>126</v>
      </c>
      <c r="H447" s="14">
        <v>3</v>
      </c>
      <c r="I447" s="14">
        <v>65510</v>
      </c>
      <c r="J447" s="14">
        <v>15</v>
      </c>
      <c r="K447" s="14">
        <v>167050.5</v>
      </c>
      <c r="L447" s="14" t="s">
        <v>121</v>
      </c>
      <c r="M447" s="14" t="s">
        <v>3975</v>
      </c>
      <c r="N447" s="14" t="s">
        <v>2092</v>
      </c>
      <c r="O447" s="14" t="str">
        <f>IFERROR(INDEX(Cleaned_Products!$C$2:$C$61,MATCH(F447,Cleaned_Products!$A$2:$A$61,0)),"Unknown")</f>
        <v>Pendants</v>
      </c>
      <c r="P447" s="14" t="str">
        <f>IFERROR(INDEX(Cleaned_Products!$D$2:$D$61,MATCH(F447,Cleaned_Products!$A$2:$A$61,0)),"Unknown")</f>
        <v>Diamond</v>
      </c>
    </row>
    <row r="448" spans="1:16" x14ac:dyDescent="0.35">
      <c r="A448" s="14" t="s">
        <v>2093</v>
      </c>
      <c r="B448" s="21">
        <v>45222</v>
      </c>
      <c r="C448" s="14" t="s">
        <v>3990</v>
      </c>
      <c r="D448" s="14">
        <v>2023</v>
      </c>
      <c r="E448" s="14" t="s">
        <v>285</v>
      </c>
      <c r="F448" s="14" t="s">
        <v>369</v>
      </c>
      <c r="G448" s="14" t="s">
        <v>101</v>
      </c>
      <c r="H448" s="14">
        <v>2</v>
      </c>
      <c r="I448" s="14">
        <v>4870</v>
      </c>
      <c r="J448" s="14">
        <v>0</v>
      </c>
      <c r="K448" s="14">
        <v>9740</v>
      </c>
      <c r="L448" s="14" t="s">
        <v>3974</v>
      </c>
      <c r="M448" s="14" t="s">
        <v>3975</v>
      </c>
      <c r="N448" s="14" t="s">
        <v>2095</v>
      </c>
      <c r="O448" s="14" t="str">
        <f>IFERROR(INDEX(Cleaned_Products!$C$2:$C$61,MATCH(F448,Cleaned_Products!$A$2:$A$61,0)),"Unknown")</f>
        <v>Earrings</v>
      </c>
      <c r="P448" s="14" t="str">
        <f>IFERROR(INDEX(Cleaned_Products!$D$2:$D$61,MATCH(F448,Cleaned_Products!$A$2:$A$61,0)),"Unknown")</f>
        <v>Platinum</v>
      </c>
    </row>
    <row r="449" spans="1:16" x14ac:dyDescent="0.35">
      <c r="A449" s="14" t="s">
        <v>2100</v>
      </c>
      <c r="B449" s="21">
        <v>45441</v>
      </c>
      <c r="C449" s="14" t="s">
        <v>4007</v>
      </c>
      <c r="D449" s="14">
        <v>2024</v>
      </c>
      <c r="E449" s="14" t="s">
        <v>477</v>
      </c>
      <c r="F449" s="14" t="s">
        <v>144</v>
      </c>
      <c r="G449" s="14" t="s">
        <v>126</v>
      </c>
      <c r="H449" s="14">
        <v>1</v>
      </c>
      <c r="I449" s="14">
        <v>238700</v>
      </c>
      <c r="J449" s="14">
        <v>0</v>
      </c>
      <c r="K449" s="14">
        <v>238700</v>
      </c>
      <c r="L449" s="14" t="s">
        <v>3977</v>
      </c>
      <c r="M449" s="14" t="s">
        <v>3975</v>
      </c>
      <c r="N449" s="14" t="s">
        <v>2103</v>
      </c>
      <c r="O449" s="14" t="str">
        <f>IFERROR(INDEX(Cleaned_Products!$C$2:$C$61,MATCH(F449,Cleaned_Products!$A$2:$A$61,0)),"Unknown")</f>
        <v>Necklaces</v>
      </c>
      <c r="P449" s="14" t="str">
        <f>IFERROR(INDEX(Cleaned_Products!$D$2:$D$61,MATCH(F449,Cleaned_Products!$A$2:$A$61,0)),"Unknown")</f>
        <v>Gold</v>
      </c>
    </row>
    <row r="450" spans="1:16" x14ac:dyDescent="0.35">
      <c r="A450" s="14" t="s">
        <v>2108</v>
      </c>
      <c r="B450" s="21">
        <v>45507</v>
      </c>
      <c r="C450" s="14" t="s">
        <v>3992</v>
      </c>
      <c r="D450" s="14">
        <v>2024</v>
      </c>
      <c r="E450" s="14" t="s">
        <v>385</v>
      </c>
      <c r="F450" s="14" t="s">
        <v>71</v>
      </c>
      <c r="G450" s="14" t="s">
        <v>80</v>
      </c>
      <c r="H450" s="14">
        <v>1</v>
      </c>
      <c r="I450" s="14">
        <v>142420</v>
      </c>
      <c r="J450" s="14">
        <v>15</v>
      </c>
      <c r="K450" s="14">
        <v>121057</v>
      </c>
      <c r="L450" s="14" t="s">
        <v>95</v>
      </c>
      <c r="M450" s="14" t="s">
        <v>3975</v>
      </c>
      <c r="N450" s="14" t="s">
        <v>2111</v>
      </c>
      <c r="O450" s="14" t="str">
        <f>IFERROR(INDEX(Cleaned_Products!$C$2:$C$61,MATCH(F450,Cleaned_Products!$A$2:$A$61,0)),"Unknown")</f>
        <v>Bracelets</v>
      </c>
      <c r="P450" s="14" t="str">
        <f>IFERROR(INDEX(Cleaned_Products!$D$2:$D$61,MATCH(F450,Cleaned_Products!$A$2:$A$61,0)),"Unknown")</f>
        <v>Rose Gold</v>
      </c>
    </row>
    <row r="451" spans="1:16" x14ac:dyDescent="0.35">
      <c r="A451" s="14" t="s">
        <v>2114</v>
      </c>
      <c r="B451" s="21">
        <v>45069</v>
      </c>
      <c r="C451" s="14" t="s">
        <v>3973</v>
      </c>
      <c r="D451" s="14">
        <v>2023</v>
      </c>
      <c r="E451" s="14" t="s">
        <v>1578</v>
      </c>
      <c r="F451" s="14" t="s">
        <v>71</v>
      </c>
      <c r="G451" s="14" t="s">
        <v>101</v>
      </c>
      <c r="H451" s="14">
        <v>1</v>
      </c>
      <c r="I451" s="14">
        <v>115430</v>
      </c>
      <c r="J451" s="14">
        <v>0</v>
      </c>
      <c r="K451" s="14">
        <v>115430</v>
      </c>
      <c r="L451" s="14" t="s">
        <v>121</v>
      </c>
      <c r="M451" s="14" t="s">
        <v>3975</v>
      </c>
      <c r="N451" s="14" t="s">
        <v>2117</v>
      </c>
      <c r="O451" s="14" t="str">
        <f>IFERROR(INDEX(Cleaned_Products!$C$2:$C$61,MATCH(F451,Cleaned_Products!$A$2:$A$61,0)),"Unknown")</f>
        <v>Bracelets</v>
      </c>
      <c r="P451" s="14" t="str">
        <f>IFERROR(INDEX(Cleaned_Products!$D$2:$D$61,MATCH(F451,Cleaned_Products!$A$2:$A$61,0)),"Unknown")</f>
        <v>Rose Gold</v>
      </c>
    </row>
    <row r="452" spans="1:16" x14ac:dyDescent="0.35">
      <c r="A452" s="14" t="s">
        <v>2118</v>
      </c>
      <c r="B452" s="21">
        <v>45142</v>
      </c>
      <c r="C452" s="14" t="s">
        <v>3998</v>
      </c>
      <c r="D452" s="14">
        <v>2023</v>
      </c>
      <c r="E452" s="14" t="s">
        <v>352</v>
      </c>
      <c r="F452" s="14" t="s">
        <v>463</v>
      </c>
      <c r="G452" s="14" t="s">
        <v>64</v>
      </c>
      <c r="H452" s="14">
        <v>2</v>
      </c>
      <c r="I452" s="14">
        <v>129150</v>
      </c>
      <c r="J452" s="14">
        <v>0</v>
      </c>
      <c r="K452" s="14">
        <v>258300</v>
      </c>
      <c r="L452" s="14" t="s">
        <v>3979</v>
      </c>
      <c r="M452" s="14" t="s">
        <v>3975</v>
      </c>
      <c r="N452" s="14" t="s">
        <v>2120</v>
      </c>
      <c r="O452" s="14" t="str">
        <f>IFERROR(INDEX(Cleaned_Products!$C$2:$C$61,MATCH(F452,Cleaned_Products!$A$2:$A$61,0)),"Unknown")</f>
        <v>Bracelets</v>
      </c>
      <c r="P452" s="14" t="str">
        <f>IFERROR(INDEX(Cleaned_Products!$D$2:$D$61,MATCH(F452,Cleaned_Products!$A$2:$A$61,0)),"Unknown")</f>
        <v>Gold</v>
      </c>
    </row>
    <row r="453" spans="1:16" x14ac:dyDescent="0.35">
      <c r="A453" s="14" t="s">
        <v>2121</v>
      </c>
      <c r="B453" s="21">
        <v>45438</v>
      </c>
      <c r="C453" s="14" t="s">
        <v>4007</v>
      </c>
      <c r="D453" s="14">
        <v>2024</v>
      </c>
      <c r="E453" s="14" t="s">
        <v>791</v>
      </c>
      <c r="F453" s="14" t="s">
        <v>196</v>
      </c>
      <c r="G453" s="14" t="s">
        <v>108</v>
      </c>
      <c r="H453" s="14">
        <v>1</v>
      </c>
      <c r="I453" s="14">
        <v>5060</v>
      </c>
      <c r="J453" s="14">
        <v>10</v>
      </c>
      <c r="K453" s="14">
        <v>4554</v>
      </c>
      <c r="L453" s="14" t="s">
        <v>73</v>
      </c>
      <c r="M453" s="14" t="s">
        <v>3975</v>
      </c>
      <c r="N453" s="14" t="s">
        <v>2123</v>
      </c>
      <c r="O453" s="14" t="str">
        <f>IFERROR(INDEX(Cleaned_Products!$C$2:$C$61,MATCH(F453,Cleaned_Products!$A$2:$A$61,0)),"Unknown")</f>
        <v>Pendants</v>
      </c>
      <c r="P453" s="14" t="str">
        <f>IFERROR(INDEX(Cleaned_Products!$D$2:$D$61,MATCH(F453,Cleaned_Products!$A$2:$A$61,0)),"Unknown")</f>
        <v>Diamond</v>
      </c>
    </row>
    <row r="454" spans="1:16" x14ac:dyDescent="0.35">
      <c r="A454" s="14" t="s">
        <v>2124</v>
      </c>
      <c r="B454" s="21">
        <v>45862</v>
      </c>
      <c r="C454" s="14" t="s">
        <v>3991</v>
      </c>
      <c r="D454" s="14">
        <v>2025</v>
      </c>
      <c r="E454" s="14" t="s">
        <v>1584</v>
      </c>
      <c r="F454" s="14" t="s">
        <v>342</v>
      </c>
      <c r="G454" s="14" t="s">
        <v>80</v>
      </c>
      <c r="H454" s="14">
        <v>2</v>
      </c>
      <c r="I454" s="14">
        <v>191690</v>
      </c>
      <c r="J454" s="14">
        <v>5</v>
      </c>
      <c r="K454" s="14">
        <v>364211</v>
      </c>
      <c r="L454" s="14" t="s">
        <v>3977</v>
      </c>
      <c r="M454" s="14" t="s">
        <v>3975</v>
      </c>
      <c r="N454" s="14" t="s">
        <v>2126</v>
      </c>
      <c r="O454" s="14" t="str">
        <f>IFERROR(INDEX(Cleaned_Products!$C$2:$C$61,MATCH(F454,Cleaned_Products!$A$2:$A$61,0)),"Unknown")</f>
        <v>Necklaces</v>
      </c>
      <c r="P454" s="14" t="str">
        <f>IFERROR(INDEX(Cleaned_Products!$D$2:$D$61,MATCH(F454,Cleaned_Products!$A$2:$A$61,0)),"Unknown")</f>
        <v>Diamond</v>
      </c>
    </row>
    <row r="455" spans="1:16" x14ac:dyDescent="0.35">
      <c r="A455" s="14" t="s">
        <v>2127</v>
      </c>
      <c r="B455" s="21">
        <v>45284</v>
      </c>
      <c r="C455" s="14" t="s">
        <v>4008</v>
      </c>
      <c r="D455" s="14">
        <v>2023</v>
      </c>
      <c r="E455" s="14" t="s">
        <v>591</v>
      </c>
      <c r="F455" s="14" t="s">
        <v>418</v>
      </c>
      <c r="G455" s="14" t="s">
        <v>108</v>
      </c>
      <c r="H455" s="14">
        <v>3</v>
      </c>
      <c r="I455" s="14">
        <v>92760</v>
      </c>
      <c r="J455" s="14">
        <v>0</v>
      </c>
      <c r="K455" s="14">
        <v>278280</v>
      </c>
      <c r="L455" s="14" t="s">
        <v>95</v>
      </c>
      <c r="M455" s="14" t="s">
        <v>3980</v>
      </c>
      <c r="N455" s="14" t="s">
        <v>3983</v>
      </c>
      <c r="O455" s="14" t="str">
        <f>IFERROR(INDEX(Cleaned_Products!$C$2:$C$61,MATCH(F455,Cleaned_Products!$A$2:$A$61,0)),"Unknown")</f>
        <v>Rings</v>
      </c>
      <c r="P455" s="14" t="str">
        <f>IFERROR(INDEX(Cleaned_Products!$D$2:$D$61,MATCH(F455,Cleaned_Products!$A$2:$A$61,0)),"Unknown")</f>
        <v>Rose Gold</v>
      </c>
    </row>
    <row r="456" spans="1:16" x14ac:dyDescent="0.35">
      <c r="A456" s="14" t="s">
        <v>2130</v>
      </c>
      <c r="B456" s="21">
        <v>44983</v>
      </c>
      <c r="C456" s="14" t="s">
        <v>4001</v>
      </c>
      <c r="D456" s="14">
        <v>2023</v>
      </c>
      <c r="E456" s="14" t="s">
        <v>70</v>
      </c>
      <c r="F456" s="14" t="s">
        <v>435</v>
      </c>
      <c r="G456" s="14" t="s">
        <v>101</v>
      </c>
      <c r="H456" s="14">
        <v>1</v>
      </c>
      <c r="I456" s="14">
        <v>168080</v>
      </c>
      <c r="J456" s="14">
        <v>15</v>
      </c>
      <c r="K456" s="14">
        <v>142868</v>
      </c>
      <c r="L456" s="14" t="s">
        <v>3977</v>
      </c>
      <c r="M456" s="14" t="s">
        <v>3980</v>
      </c>
      <c r="N456" s="14" t="s">
        <v>3983</v>
      </c>
      <c r="O456" s="14" t="str">
        <f>IFERROR(INDEX(Cleaned_Products!$C$2:$C$61,MATCH(F456,Cleaned_Products!$A$2:$A$61,0)),"Unknown")</f>
        <v>Bangles</v>
      </c>
      <c r="P456" s="14" t="str">
        <f>IFERROR(INDEX(Cleaned_Products!$D$2:$D$61,MATCH(F456,Cleaned_Products!$A$2:$A$61,0)),"Unknown")</f>
        <v>Platinum</v>
      </c>
    </row>
    <row r="457" spans="1:16" x14ac:dyDescent="0.35">
      <c r="A457" s="14" t="s">
        <v>2132</v>
      </c>
      <c r="B457" s="21">
        <v>45785</v>
      </c>
      <c r="C457" s="14" t="s">
        <v>4004</v>
      </c>
      <c r="D457" s="14">
        <v>2025</v>
      </c>
      <c r="E457" s="14" t="s">
        <v>333</v>
      </c>
      <c r="F457" s="14" t="s">
        <v>259</v>
      </c>
      <c r="G457" s="14" t="s">
        <v>80</v>
      </c>
      <c r="H457" s="14">
        <v>2</v>
      </c>
      <c r="I457" s="14">
        <v>239020</v>
      </c>
      <c r="J457" s="14">
        <v>15</v>
      </c>
      <c r="K457" s="14">
        <v>406334</v>
      </c>
      <c r="L457" s="14" t="s">
        <v>73</v>
      </c>
      <c r="M457" s="14" t="s">
        <v>3975</v>
      </c>
      <c r="N457" s="14" t="s">
        <v>2134</v>
      </c>
      <c r="O457" s="14" t="str">
        <f>IFERROR(INDEX(Cleaned_Products!$C$2:$C$61,MATCH(F457,Cleaned_Products!$A$2:$A$61,0)),"Unknown")</f>
        <v>Pendants</v>
      </c>
      <c r="P457" s="14" t="str">
        <f>IFERROR(INDEX(Cleaned_Products!$D$2:$D$61,MATCH(F457,Cleaned_Products!$A$2:$A$61,0)),"Unknown")</f>
        <v>Platinum</v>
      </c>
    </row>
    <row r="458" spans="1:16" x14ac:dyDescent="0.35">
      <c r="A458" s="14" t="s">
        <v>2135</v>
      </c>
      <c r="B458" s="21">
        <v>45003</v>
      </c>
      <c r="C458" s="14" t="s">
        <v>3982</v>
      </c>
      <c r="D458" s="14">
        <v>2023</v>
      </c>
      <c r="E458" s="14" t="s">
        <v>3995</v>
      </c>
      <c r="F458" s="14" t="s">
        <v>989</v>
      </c>
      <c r="G458" s="14" t="s">
        <v>72</v>
      </c>
      <c r="H458" s="14">
        <v>1</v>
      </c>
      <c r="I458" s="14">
        <v>142170</v>
      </c>
      <c r="J458" s="14">
        <v>5</v>
      </c>
      <c r="K458" s="14">
        <v>135061.5</v>
      </c>
      <c r="L458" s="14" t="s">
        <v>73</v>
      </c>
      <c r="M458" s="14" t="s">
        <v>3975</v>
      </c>
      <c r="N458" s="14" t="s">
        <v>2137</v>
      </c>
      <c r="O458" s="14" t="str">
        <f>IFERROR(INDEX(Cleaned_Products!$C$2:$C$61,MATCH(F458,Cleaned_Products!$A$2:$A$61,0)),"Unknown")</f>
        <v>Anklets</v>
      </c>
      <c r="P458" s="14" t="str">
        <f>IFERROR(INDEX(Cleaned_Products!$D$2:$D$61,MATCH(F458,Cleaned_Products!$A$2:$A$61,0)),"Unknown")</f>
        <v>Rose Gold</v>
      </c>
    </row>
    <row r="459" spans="1:16" x14ac:dyDescent="0.35">
      <c r="A459" s="14" t="s">
        <v>2138</v>
      </c>
      <c r="B459" s="21">
        <v>45719</v>
      </c>
      <c r="C459" s="14" t="s">
        <v>4002</v>
      </c>
      <c r="D459" s="14">
        <v>2025</v>
      </c>
      <c r="E459" s="14" t="s">
        <v>621</v>
      </c>
      <c r="F459" s="14" t="s">
        <v>360</v>
      </c>
      <c r="G459" s="14" t="s">
        <v>126</v>
      </c>
      <c r="H459" s="14">
        <v>1</v>
      </c>
      <c r="I459" s="14">
        <v>163660</v>
      </c>
      <c r="J459" s="14">
        <v>10</v>
      </c>
      <c r="K459" s="14">
        <v>147294</v>
      </c>
      <c r="L459" s="14" t="s">
        <v>73</v>
      </c>
      <c r="M459" s="14" t="s">
        <v>3975</v>
      </c>
      <c r="N459" s="14" t="s">
        <v>2139</v>
      </c>
      <c r="O459" s="14" t="str">
        <f>IFERROR(INDEX(Cleaned_Products!$C$2:$C$61,MATCH(F459,Cleaned_Products!$A$2:$A$61,0)),"Unknown")</f>
        <v>Pendants</v>
      </c>
      <c r="P459" s="14" t="str">
        <f>IFERROR(INDEX(Cleaned_Products!$D$2:$D$61,MATCH(F459,Cleaned_Products!$A$2:$A$61,0)),"Unknown")</f>
        <v>Diamond</v>
      </c>
    </row>
    <row r="460" spans="1:16" x14ac:dyDescent="0.35">
      <c r="A460" s="14" t="s">
        <v>2140</v>
      </c>
      <c r="B460" s="21">
        <v>45168</v>
      </c>
      <c r="C460" s="14" t="s">
        <v>3998</v>
      </c>
      <c r="D460" s="14">
        <v>2023</v>
      </c>
      <c r="E460" s="14" t="s">
        <v>230</v>
      </c>
      <c r="F460" s="14" t="s">
        <v>249</v>
      </c>
      <c r="G460" s="14" t="s">
        <v>126</v>
      </c>
      <c r="H460" s="14">
        <v>3</v>
      </c>
      <c r="I460" s="14">
        <v>147390</v>
      </c>
      <c r="J460" s="14">
        <v>0</v>
      </c>
      <c r="K460" s="14">
        <v>442170</v>
      </c>
      <c r="L460" s="14" t="s">
        <v>3979</v>
      </c>
      <c r="M460" s="14" t="s">
        <v>3980</v>
      </c>
      <c r="N460" s="14" t="s">
        <v>2141</v>
      </c>
      <c r="O460" s="14" t="str">
        <f>IFERROR(INDEX(Cleaned_Products!$C$2:$C$61,MATCH(F460,Cleaned_Products!$A$2:$A$61,0)),"Unknown")</f>
        <v>Pendants</v>
      </c>
      <c r="P460" s="14" t="str">
        <f>IFERROR(INDEX(Cleaned_Products!$D$2:$D$61,MATCH(F460,Cleaned_Products!$A$2:$A$61,0)),"Unknown")</f>
        <v>Rose Gold</v>
      </c>
    </row>
    <row r="461" spans="1:16" x14ac:dyDescent="0.35">
      <c r="A461" s="14" t="s">
        <v>2142</v>
      </c>
      <c r="B461" s="21">
        <v>45684</v>
      </c>
      <c r="C461" s="14" t="s">
        <v>4005</v>
      </c>
      <c r="D461" s="14">
        <v>2025</v>
      </c>
      <c r="E461" s="14" t="s">
        <v>396</v>
      </c>
      <c r="F461" s="14" t="s">
        <v>1544</v>
      </c>
      <c r="G461" s="14" t="s">
        <v>64</v>
      </c>
      <c r="H461" s="14">
        <v>1</v>
      </c>
      <c r="I461" s="14">
        <v>13900</v>
      </c>
      <c r="J461" s="14">
        <v>15</v>
      </c>
      <c r="K461" s="14">
        <v>11815</v>
      </c>
      <c r="L461" s="14" t="s">
        <v>3979</v>
      </c>
      <c r="M461" s="14" t="s">
        <v>3980</v>
      </c>
      <c r="N461" s="14" t="s">
        <v>2144</v>
      </c>
      <c r="O461" s="14" t="str">
        <f>IFERROR(INDEX(Cleaned_Products!$C$2:$C$61,MATCH(F461,Cleaned_Products!$A$2:$A$61,0)),"Unknown")</f>
        <v>Bracelets</v>
      </c>
      <c r="P461" s="14" t="str">
        <f>IFERROR(INDEX(Cleaned_Products!$D$2:$D$61,MATCH(F461,Cleaned_Products!$A$2:$A$61,0)),"Unknown")</f>
        <v>Platinum</v>
      </c>
    </row>
    <row r="462" spans="1:16" x14ac:dyDescent="0.35">
      <c r="A462" s="14" t="s">
        <v>2150</v>
      </c>
      <c r="B462" s="21">
        <v>44930</v>
      </c>
      <c r="C462" s="14" t="s">
        <v>3987</v>
      </c>
      <c r="D462" s="14">
        <v>2023</v>
      </c>
      <c r="E462" s="14" t="s">
        <v>134</v>
      </c>
      <c r="F462" s="14" t="s">
        <v>71</v>
      </c>
      <c r="G462" s="14" t="s">
        <v>64</v>
      </c>
      <c r="H462" s="14">
        <v>1</v>
      </c>
      <c r="I462" s="14">
        <v>172100</v>
      </c>
      <c r="J462" s="14">
        <v>0</v>
      </c>
      <c r="K462" s="14">
        <v>172100</v>
      </c>
      <c r="L462" s="14" t="s">
        <v>3974</v>
      </c>
      <c r="M462" s="14" t="s">
        <v>3980</v>
      </c>
      <c r="N462" s="14" t="s">
        <v>2153</v>
      </c>
      <c r="O462" s="14" t="str">
        <f>IFERROR(INDEX(Cleaned_Products!$C$2:$C$61,MATCH(F462,Cleaned_Products!$A$2:$A$61,0)),"Unknown")</f>
        <v>Bracelets</v>
      </c>
      <c r="P462" s="14" t="str">
        <f>IFERROR(INDEX(Cleaned_Products!$D$2:$D$61,MATCH(F462,Cleaned_Products!$A$2:$A$61,0)),"Unknown")</f>
        <v>Rose Gold</v>
      </c>
    </row>
    <row r="463" spans="1:16" x14ac:dyDescent="0.35">
      <c r="A463" s="14" t="s">
        <v>2154</v>
      </c>
      <c r="B463" s="21">
        <v>45852</v>
      </c>
      <c r="C463" s="14" t="s">
        <v>3991</v>
      </c>
      <c r="D463" s="14">
        <v>2025</v>
      </c>
      <c r="E463" s="14" t="s">
        <v>1142</v>
      </c>
      <c r="F463" s="14" t="s">
        <v>107</v>
      </c>
      <c r="G463" s="14" t="s">
        <v>113</v>
      </c>
      <c r="H463" s="14">
        <v>1</v>
      </c>
      <c r="I463" s="14">
        <v>244080</v>
      </c>
      <c r="J463" s="14">
        <v>0</v>
      </c>
      <c r="K463" s="14">
        <v>244080</v>
      </c>
      <c r="L463" s="14" t="s">
        <v>95</v>
      </c>
      <c r="M463" s="14" t="s">
        <v>3980</v>
      </c>
      <c r="N463" s="14" t="s">
        <v>2156</v>
      </c>
      <c r="O463" s="14" t="str">
        <f>IFERROR(INDEX(Cleaned_Products!$C$2:$C$61,MATCH(F463,Cleaned_Products!$A$2:$A$61,0)),"Unknown")</f>
        <v>Earrings</v>
      </c>
      <c r="P463" s="14" t="str">
        <f>IFERROR(INDEX(Cleaned_Products!$D$2:$D$61,MATCH(F463,Cleaned_Products!$A$2:$A$61,0)),"Unknown")</f>
        <v>Platinum</v>
      </c>
    </row>
    <row r="464" spans="1:16" x14ac:dyDescent="0.35">
      <c r="A464" s="14" t="s">
        <v>2157</v>
      </c>
      <c r="B464" s="21">
        <v>45650</v>
      </c>
      <c r="C464" s="14" t="s">
        <v>3986</v>
      </c>
      <c r="D464" s="14">
        <v>2024</v>
      </c>
      <c r="E464" s="14" t="s">
        <v>203</v>
      </c>
      <c r="F464" s="14" t="s">
        <v>472</v>
      </c>
      <c r="G464" s="14" t="s">
        <v>108</v>
      </c>
      <c r="H464" s="14">
        <v>1</v>
      </c>
      <c r="I464" s="14">
        <v>238860</v>
      </c>
      <c r="J464" s="14">
        <v>15</v>
      </c>
      <c r="K464" s="14">
        <v>203031</v>
      </c>
      <c r="L464" s="14" t="s">
        <v>73</v>
      </c>
      <c r="M464" s="14" t="s">
        <v>3975</v>
      </c>
      <c r="N464" s="14" t="s">
        <v>2160</v>
      </c>
      <c r="O464" s="14" t="str">
        <f>IFERROR(INDEX(Cleaned_Products!$C$2:$C$61,MATCH(F464,Cleaned_Products!$A$2:$A$61,0)),"Unknown")</f>
        <v>Nose Pins</v>
      </c>
      <c r="P464" s="14" t="str">
        <f>IFERROR(INDEX(Cleaned_Products!$D$2:$D$61,MATCH(F464,Cleaned_Products!$A$2:$A$61,0)),"Unknown")</f>
        <v>Platinum</v>
      </c>
    </row>
    <row r="465" spans="1:16" x14ac:dyDescent="0.35">
      <c r="A465" s="14" t="s">
        <v>2165</v>
      </c>
      <c r="B465" s="21">
        <v>45203</v>
      </c>
      <c r="C465" s="14" t="s">
        <v>3990</v>
      </c>
      <c r="D465" s="14">
        <v>2023</v>
      </c>
      <c r="E465" s="14" t="s">
        <v>239</v>
      </c>
      <c r="F465" s="14" t="s">
        <v>278</v>
      </c>
      <c r="G465" s="14" t="s">
        <v>126</v>
      </c>
      <c r="H465" s="14">
        <v>1</v>
      </c>
      <c r="I465" s="14">
        <v>4340</v>
      </c>
      <c r="J465" s="14">
        <v>10</v>
      </c>
      <c r="K465" s="14">
        <v>3906</v>
      </c>
      <c r="L465" s="14" t="s">
        <v>3977</v>
      </c>
      <c r="M465" s="14" t="s">
        <v>3975</v>
      </c>
      <c r="N465" s="14" t="s">
        <v>2168</v>
      </c>
      <c r="O465" s="14" t="str">
        <f>IFERROR(INDEX(Cleaned_Products!$C$2:$C$61,MATCH(F465,Cleaned_Products!$A$2:$A$61,0)),"Unknown")</f>
        <v>Earrings</v>
      </c>
      <c r="P465" s="14" t="str">
        <f>IFERROR(INDEX(Cleaned_Products!$D$2:$D$61,MATCH(F465,Cleaned_Products!$A$2:$A$61,0)),"Unknown")</f>
        <v>Diamond</v>
      </c>
    </row>
    <row r="466" spans="1:16" x14ac:dyDescent="0.35">
      <c r="A466" s="14" t="s">
        <v>2172</v>
      </c>
      <c r="B466" s="21">
        <v>45783</v>
      </c>
      <c r="C466" s="14" t="s">
        <v>4004</v>
      </c>
      <c r="D466" s="14">
        <v>2025</v>
      </c>
      <c r="E466" s="14" t="s">
        <v>579</v>
      </c>
      <c r="F466" s="14" t="s">
        <v>1309</v>
      </c>
      <c r="G466" s="14" t="s">
        <v>80</v>
      </c>
      <c r="H466" s="14">
        <v>1</v>
      </c>
      <c r="I466" s="14">
        <v>46000</v>
      </c>
      <c r="J466" s="14">
        <v>0</v>
      </c>
      <c r="K466" s="14">
        <v>46000</v>
      </c>
      <c r="L466" s="14" t="s">
        <v>121</v>
      </c>
      <c r="M466" s="14" t="s">
        <v>3975</v>
      </c>
      <c r="N466" s="14" t="s">
        <v>2174</v>
      </c>
      <c r="O466" s="14" t="str">
        <f>IFERROR(INDEX(Cleaned_Products!$C$2:$C$61,MATCH(F466,Cleaned_Products!$A$2:$A$61,0)),"Unknown")</f>
        <v>Rings</v>
      </c>
      <c r="P466" s="14" t="str">
        <f>IFERROR(INDEX(Cleaned_Products!$D$2:$D$61,MATCH(F466,Cleaned_Products!$A$2:$A$61,0)),"Unknown")</f>
        <v>Platinum</v>
      </c>
    </row>
    <row r="467" spans="1:16" x14ac:dyDescent="0.35">
      <c r="A467" s="14" t="s">
        <v>2175</v>
      </c>
      <c r="B467" s="21">
        <v>45104</v>
      </c>
      <c r="C467" s="14" t="s">
        <v>3994</v>
      </c>
      <c r="D467" s="14">
        <v>2023</v>
      </c>
      <c r="E467" s="14" t="s">
        <v>93</v>
      </c>
      <c r="F467" s="14" t="s">
        <v>432</v>
      </c>
      <c r="G467" s="14" t="s">
        <v>108</v>
      </c>
      <c r="H467" s="14">
        <v>1</v>
      </c>
      <c r="I467" s="14">
        <v>99740</v>
      </c>
      <c r="J467" s="14">
        <v>0</v>
      </c>
      <c r="K467" s="14">
        <v>99740</v>
      </c>
      <c r="L467" s="14" t="s">
        <v>73</v>
      </c>
      <c r="M467" s="14" t="s">
        <v>3975</v>
      </c>
      <c r="N467" s="14" t="s">
        <v>2177</v>
      </c>
      <c r="O467" s="14" t="str">
        <f>IFERROR(INDEX(Cleaned_Products!$C$2:$C$61,MATCH(F467,Cleaned_Products!$A$2:$A$61,0)),"Unknown")</f>
        <v>Earrings</v>
      </c>
      <c r="P467" s="14" t="str">
        <f>IFERROR(INDEX(Cleaned_Products!$D$2:$D$61,MATCH(F467,Cleaned_Products!$A$2:$A$61,0)),"Unknown")</f>
        <v>Gold</v>
      </c>
    </row>
    <row r="468" spans="1:16" x14ac:dyDescent="0.35">
      <c r="A468" s="14" t="s">
        <v>2178</v>
      </c>
      <c r="B468" s="21">
        <v>45091</v>
      </c>
      <c r="C468" s="14" t="s">
        <v>3994</v>
      </c>
      <c r="D468" s="14">
        <v>2023</v>
      </c>
      <c r="E468" s="14" t="s">
        <v>511</v>
      </c>
      <c r="F468" s="14" t="s">
        <v>948</v>
      </c>
      <c r="G468" s="14" t="s">
        <v>80</v>
      </c>
      <c r="H468" s="14">
        <v>1</v>
      </c>
      <c r="I468" s="14">
        <v>120030</v>
      </c>
      <c r="J468" s="14">
        <v>0</v>
      </c>
      <c r="K468" s="14">
        <v>120030</v>
      </c>
      <c r="L468" s="14" t="s">
        <v>3979</v>
      </c>
      <c r="M468" s="14" t="s">
        <v>3980</v>
      </c>
      <c r="N468" s="14" t="s">
        <v>3983</v>
      </c>
      <c r="O468" s="14" t="str">
        <f>IFERROR(INDEX(Cleaned_Products!$C$2:$C$61,MATCH(F468,Cleaned_Products!$A$2:$A$61,0)),"Unknown")</f>
        <v>Anklets</v>
      </c>
      <c r="P468" s="14" t="str">
        <f>IFERROR(INDEX(Cleaned_Products!$D$2:$D$61,MATCH(F468,Cleaned_Products!$A$2:$A$61,0)),"Unknown")</f>
        <v>Diamond</v>
      </c>
    </row>
    <row r="469" spans="1:16" x14ac:dyDescent="0.35">
      <c r="A469" s="14" t="s">
        <v>2180</v>
      </c>
      <c r="B469" s="21">
        <v>45795</v>
      </c>
      <c r="C469" s="14" t="s">
        <v>4004</v>
      </c>
      <c r="D469" s="14">
        <v>2025</v>
      </c>
      <c r="E469" s="14" t="s">
        <v>723</v>
      </c>
      <c r="F469" s="14" t="s">
        <v>172</v>
      </c>
      <c r="G469" s="14" t="s">
        <v>72</v>
      </c>
      <c r="H469" s="14">
        <v>2</v>
      </c>
      <c r="I469" s="14">
        <v>151980</v>
      </c>
      <c r="J469" s="14">
        <v>15</v>
      </c>
      <c r="K469" s="14">
        <v>258366</v>
      </c>
      <c r="L469" s="14" t="s">
        <v>121</v>
      </c>
      <c r="M469" s="14" t="s">
        <v>3975</v>
      </c>
      <c r="N469" s="14" t="s">
        <v>2182</v>
      </c>
      <c r="O469" s="14" t="str">
        <f>IFERROR(INDEX(Cleaned_Products!$C$2:$C$61,MATCH(F469,Cleaned_Products!$A$2:$A$61,0)),"Unknown")</f>
        <v>Bracelets</v>
      </c>
      <c r="P469" s="14" t="str">
        <f>IFERROR(INDEX(Cleaned_Products!$D$2:$D$61,MATCH(F469,Cleaned_Products!$A$2:$A$61,0)),"Unknown")</f>
        <v>Gold</v>
      </c>
    </row>
    <row r="470" spans="1:16" x14ac:dyDescent="0.35">
      <c r="A470" s="14" t="s">
        <v>2185</v>
      </c>
      <c r="B470" s="21">
        <v>45194</v>
      </c>
      <c r="C470" s="14" t="s">
        <v>3996</v>
      </c>
      <c r="D470" s="14">
        <v>2023</v>
      </c>
      <c r="E470" s="14" t="s">
        <v>325</v>
      </c>
      <c r="F470" s="14" t="s">
        <v>172</v>
      </c>
      <c r="G470" s="14" t="s">
        <v>72</v>
      </c>
      <c r="H470" s="14">
        <v>1</v>
      </c>
      <c r="I470" s="14">
        <v>118370</v>
      </c>
      <c r="J470" s="14">
        <v>0</v>
      </c>
      <c r="K470" s="14">
        <v>118370</v>
      </c>
      <c r="L470" s="14" t="s">
        <v>73</v>
      </c>
      <c r="M470" s="14" t="s">
        <v>3980</v>
      </c>
      <c r="N470" s="14" t="s">
        <v>3983</v>
      </c>
      <c r="O470" s="14" t="str">
        <f>IFERROR(INDEX(Cleaned_Products!$C$2:$C$61,MATCH(F470,Cleaned_Products!$A$2:$A$61,0)),"Unknown")</f>
        <v>Bracelets</v>
      </c>
      <c r="P470" s="14" t="str">
        <f>IFERROR(INDEX(Cleaned_Products!$D$2:$D$61,MATCH(F470,Cleaned_Products!$A$2:$A$61,0)),"Unknown")</f>
        <v>Gold</v>
      </c>
    </row>
    <row r="471" spans="1:16" x14ac:dyDescent="0.35">
      <c r="A471" s="14" t="s">
        <v>2188</v>
      </c>
      <c r="B471" s="21">
        <v>44956</v>
      </c>
      <c r="C471" s="14" t="s">
        <v>3987</v>
      </c>
      <c r="D471" s="14">
        <v>2023</v>
      </c>
      <c r="E471" s="14" t="s">
        <v>689</v>
      </c>
      <c r="F471" s="14" t="s">
        <v>55</v>
      </c>
      <c r="G471" s="14" t="s">
        <v>80</v>
      </c>
      <c r="H471" s="14">
        <v>3</v>
      </c>
      <c r="I471" s="14">
        <v>146940</v>
      </c>
      <c r="J471" s="14">
        <v>15</v>
      </c>
      <c r="K471" s="14">
        <v>374697</v>
      </c>
      <c r="L471" s="14" t="s">
        <v>73</v>
      </c>
      <c r="M471" s="14" t="s">
        <v>3980</v>
      </c>
      <c r="N471" s="14" t="s">
        <v>2190</v>
      </c>
      <c r="O471" s="14" t="str">
        <f>IFERROR(INDEX(Cleaned_Products!$C$2:$C$61,MATCH(F471,Cleaned_Products!$A$2:$A$61,0)),"Unknown")</f>
        <v>Anklets</v>
      </c>
      <c r="P471" s="14" t="str">
        <f>IFERROR(INDEX(Cleaned_Products!$D$2:$D$61,MATCH(F471,Cleaned_Products!$A$2:$A$61,0)),"Unknown")</f>
        <v>Gold</v>
      </c>
    </row>
    <row r="472" spans="1:16" x14ac:dyDescent="0.35">
      <c r="A472" s="14" t="s">
        <v>2194</v>
      </c>
      <c r="B472" s="21">
        <v>45768</v>
      </c>
      <c r="C472" s="14" t="s">
        <v>4006</v>
      </c>
      <c r="D472" s="14">
        <v>2025</v>
      </c>
      <c r="E472" s="14" t="s">
        <v>355</v>
      </c>
      <c r="F472" s="14" t="s">
        <v>226</v>
      </c>
      <c r="G472" s="14" t="s">
        <v>108</v>
      </c>
      <c r="H472" s="14">
        <v>1</v>
      </c>
      <c r="I472" s="14">
        <v>218620</v>
      </c>
      <c r="J472" s="14">
        <v>15</v>
      </c>
      <c r="K472" s="14">
        <v>185827</v>
      </c>
      <c r="L472" s="14" t="s">
        <v>3979</v>
      </c>
      <c r="M472" s="14" t="s">
        <v>3975</v>
      </c>
      <c r="N472" s="14" t="s">
        <v>2196</v>
      </c>
      <c r="O472" s="14" t="str">
        <f>IFERROR(INDEX(Cleaned_Products!$C$2:$C$61,MATCH(F472,Cleaned_Products!$A$2:$A$61,0)),"Unknown")</f>
        <v>Earrings</v>
      </c>
      <c r="P472" s="14" t="str">
        <f>IFERROR(INDEX(Cleaned_Products!$D$2:$D$61,MATCH(F472,Cleaned_Products!$A$2:$A$61,0)),"Unknown")</f>
        <v>Diamond</v>
      </c>
    </row>
    <row r="473" spans="1:16" x14ac:dyDescent="0.35">
      <c r="A473" s="14" t="s">
        <v>2197</v>
      </c>
      <c r="B473" s="21">
        <v>45290</v>
      </c>
      <c r="C473" s="14" t="s">
        <v>4008</v>
      </c>
      <c r="D473" s="14">
        <v>2023</v>
      </c>
      <c r="E473" s="14" t="s">
        <v>385</v>
      </c>
      <c r="F473" s="14" t="s">
        <v>163</v>
      </c>
      <c r="G473" s="14" t="s">
        <v>113</v>
      </c>
      <c r="H473" s="14">
        <v>1</v>
      </c>
      <c r="I473" s="14">
        <v>186170</v>
      </c>
      <c r="J473" s="14">
        <v>5</v>
      </c>
      <c r="K473" s="14">
        <v>176861.5</v>
      </c>
      <c r="L473" s="14" t="s">
        <v>3974</v>
      </c>
      <c r="M473" s="14" t="s">
        <v>3980</v>
      </c>
      <c r="N473" s="14" t="s">
        <v>2199</v>
      </c>
      <c r="O473" s="14" t="str">
        <f>IFERROR(INDEX(Cleaned_Products!$C$2:$C$61,MATCH(F473,Cleaned_Products!$A$2:$A$61,0)),"Unknown")</f>
        <v>Earrings</v>
      </c>
      <c r="P473" s="14" t="str">
        <f>IFERROR(INDEX(Cleaned_Products!$D$2:$D$61,MATCH(F473,Cleaned_Products!$A$2:$A$61,0)),"Unknown")</f>
        <v>Diamond</v>
      </c>
    </row>
    <row r="474" spans="1:16" x14ac:dyDescent="0.35">
      <c r="A474" s="14" t="s">
        <v>2200</v>
      </c>
      <c r="B474" s="21">
        <v>45665</v>
      </c>
      <c r="C474" s="14" t="s">
        <v>4005</v>
      </c>
      <c r="D474" s="14">
        <v>2025</v>
      </c>
      <c r="E474" s="14" t="s">
        <v>703</v>
      </c>
      <c r="F474" s="14" t="s">
        <v>295</v>
      </c>
      <c r="G474" s="14" t="s">
        <v>64</v>
      </c>
      <c r="H474" s="14">
        <v>1</v>
      </c>
      <c r="I474" s="14">
        <v>243210</v>
      </c>
      <c r="J474" s="14">
        <v>10</v>
      </c>
      <c r="K474" s="14">
        <v>218889</v>
      </c>
      <c r="L474" s="14" t="s">
        <v>95</v>
      </c>
      <c r="M474" s="14" t="s">
        <v>3975</v>
      </c>
      <c r="N474" s="14" t="s">
        <v>2202</v>
      </c>
      <c r="O474" s="14" t="str">
        <f>IFERROR(INDEX(Cleaned_Products!$C$2:$C$61,MATCH(F474,Cleaned_Products!$A$2:$A$61,0)),"Unknown")</f>
        <v>Necklaces</v>
      </c>
      <c r="P474" s="14" t="str">
        <f>IFERROR(INDEX(Cleaned_Products!$D$2:$D$61,MATCH(F474,Cleaned_Products!$A$2:$A$61,0)),"Unknown")</f>
        <v>Silver</v>
      </c>
    </row>
    <row r="475" spans="1:16" x14ac:dyDescent="0.35">
      <c r="A475" s="14" t="s">
        <v>2203</v>
      </c>
      <c r="B475" s="21">
        <v>45396</v>
      </c>
      <c r="C475" s="14" t="s">
        <v>4000</v>
      </c>
      <c r="D475" s="14">
        <v>2024</v>
      </c>
      <c r="E475" s="14" t="s">
        <v>439</v>
      </c>
      <c r="F475" s="14" t="s">
        <v>172</v>
      </c>
      <c r="G475" s="14" t="s">
        <v>108</v>
      </c>
      <c r="H475" s="14">
        <v>2</v>
      </c>
      <c r="I475" s="14">
        <v>89810</v>
      </c>
      <c r="J475" s="14">
        <v>0</v>
      </c>
      <c r="K475" s="14">
        <v>179620</v>
      </c>
      <c r="L475" s="14" t="s">
        <v>95</v>
      </c>
      <c r="M475" s="14" t="s">
        <v>3980</v>
      </c>
      <c r="N475" s="14" t="s">
        <v>3983</v>
      </c>
      <c r="O475" s="14" t="str">
        <f>IFERROR(INDEX(Cleaned_Products!$C$2:$C$61,MATCH(F475,Cleaned_Products!$A$2:$A$61,0)),"Unknown")</f>
        <v>Bracelets</v>
      </c>
      <c r="P475" s="14" t="str">
        <f>IFERROR(INDEX(Cleaned_Products!$D$2:$D$61,MATCH(F475,Cleaned_Products!$A$2:$A$61,0)),"Unknown")</f>
        <v>Gold</v>
      </c>
    </row>
    <row r="476" spans="1:16" x14ac:dyDescent="0.35">
      <c r="A476" s="14" t="s">
        <v>2205</v>
      </c>
      <c r="B476" s="21">
        <v>45370</v>
      </c>
      <c r="C476" s="14" t="s">
        <v>3985</v>
      </c>
      <c r="D476" s="14">
        <v>2024</v>
      </c>
      <c r="E476" s="14" t="s">
        <v>319</v>
      </c>
      <c r="F476" s="14" t="s">
        <v>369</v>
      </c>
      <c r="G476" s="14" t="s">
        <v>108</v>
      </c>
      <c r="H476" s="14">
        <v>1</v>
      </c>
      <c r="I476" s="14">
        <v>244720</v>
      </c>
      <c r="J476" s="14">
        <v>15</v>
      </c>
      <c r="K476" s="14">
        <v>208012</v>
      </c>
      <c r="L476" s="14" t="s">
        <v>73</v>
      </c>
      <c r="M476" s="14" t="s">
        <v>3975</v>
      </c>
      <c r="N476" s="14" t="s">
        <v>2207</v>
      </c>
      <c r="O476" s="14" t="str">
        <f>IFERROR(INDEX(Cleaned_Products!$C$2:$C$61,MATCH(F476,Cleaned_Products!$A$2:$A$61,0)),"Unknown")</f>
        <v>Earrings</v>
      </c>
      <c r="P476" s="14" t="str">
        <f>IFERROR(INDEX(Cleaned_Products!$D$2:$D$61,MATCH(F476,Cleaned_Products!$A$2:$A$61,0)),"Unknown")</f>
        <v>Platinum</v>
      </c>
    </row>
    <row r="477" spans="1:16" x14ac:dyDescent="0.35">
      <c r="A477" s="14" t="s">
        <v>2211</v>
      </c>
      <c r="B477" s="21">
        <v>45268</v>
      </c>
      <c r="C477" s="14" t="s">
        <v>4008</v>
      </c>
      <c r="D477" s="14">
        <v>2023</v>
      </c>
      <c r="E477" s="14" t="s">
        <v>1321</v>
      </c>
      <c r="F477" s="14" t="s">
        <v>520</v>
      </c>
      <c r="G477" s="14" t="s">
        <v>101</v>
      </c>
      <c r="H477" s="14">
        <v>2</v>
      </c>
      <c r="I477" s="14">
        <v>5030</v>
      </c>
      <c r="J477" s="14">
        <v>10</v>
      </c>
      <c r="K477" s="14">
        <v>9054</v>
      </c>
      <c r="L477" s="14" t="s">
        <v>3974</v>
      </c>
      <c r="M477" s="14" t="s">
        <v>3975</v>
      </c>
      <c r="N477" s="14" t="s">
        <v>2212</v>
      </c>
      <c r="O477" s="14" t="str">
        <f>IFERROR(INDEX(Cleaned_Products!$C$2:$C$61,MATCH(F477,Cleaned_Products!$A$2:$A$61,0)),"Unknown")</f>
        <v>Earrings</v>
      </c>
      <c r="P477" s="14">
        <f>IFERROR(INDEX(Cleaned_Products!$D$2:$D$61,MATCH(F477,Cleaned_Products!$A$2:$A$61,0)),"Unknown")</f>
        <v>0</v>
      </c>
    </row>
    <row r="478" spans="1:16" x14ac:dyDescent="0.35">
      <c r="A478" s="14" t="s">
        <v>2219</v>
      </c>
      <c r="B478" s="21">
        <v>45467</v>
      </c>
      <c r="C478" s="14" t="s">
        <v>3984</v>
      </c>
      <c r="D478" s="14">
        <v>2024</v>
      </c>
      <c r="E478" s="14" t="s">
        <v>1224</v>
      </c>
      <c r="F478" s="14" t="s">
        <v>163</v>
      </c>
      <c r="G478" s="14" t="s">
        <v>80</v>
      </c>
      <c r="H478" s="14">
        <v>2</v>
      </c>
      <c r="I478" s="14">
        <v>223450</v>
      </c>
      <c r="J478" s="14">
        <v>5</v>
      </c>
      <c r="K478" s="14">
        <v>424555</v>
      </c>
      <c r="L478" s="14" t="s">
        <v>73</v>
      </c>
      <c r="M478" s="14" t="s">
        <v>3980</v>
      </c>
      <c r="N478" s="14" t="s">
        <v>3983</v>
      </c>
      <c r="O478" s="14" t="str">
        <f>IFERROR(INDEX(Cleaned_Products!$C$2:$C$61,MATCH(F478,Cleaned_Products!$A$2:$A$61,0)),"Unknown")</f>
        <v>Earrings</v>
      </c>
      <c r="P478" s="14" t="str">
        <f>IFERROR(INDEX(Cleaned_Products!$D$2:$D$61,MATCH(F478,Cleaned_Products!$A$2:$A$61,0)),"Unknown")</f>
        <v>Diamond</v>
      </c>
    </row>
    <row r="479" spans="1:16" x14ac:dyDescent="0.35">
      <c r="A479" s="14" t="s">
        <v>2221</v>
      </c>
      <c r="B479" s="21">
        <v>45725</v>
      </c>
      <c r="C479" s="14" t="s">
        <v>4002</v>
      </c>
      <c r="D479" s="14">
        <v>2025</v>
      </c>
      <c r="E479" s="14" t="s">
        <v>613</v>
      </c>
      <c r="F479" s="14" t="s">
        <v>576</v>
      </c>
      <c r="G479" s="14" t="s">
        <v>126</v>
      </c>
      <c r="H479" s="14">
        <v>2</v>
      </c>
      <c r="I479" s="14">
        <v>82440</v>
      </c>
      <c r="J479" s="14">
        <v>0</v>
      </c>
      <c r="K479" s="14">
        <v>164880</v>
      </c>
      <c r="L479" s="14" t="s">
        <v>3979</v>
      </c>
      <c r="M479" s="14" t="s">
        <v>3975</v>
      </c>
      <c r="N479" s="14" t="s">
        <v>2223</v>
      </c>
      <c r="O479" s="14" t="str">
        <f>IFERROR(INDEX(Cleaned_Products!$C$2:$C$61,MATCH(F479,Cleaned_Products!$A$2:$A$61,0)),"Unknown")</f>
        <v>Bangles</v>
      </c>
      <c r="P479" s="14" t="str">
        <f>IFERROR(INDEX(Cleaned_Products!$D$2:$D$61,MATCH(F479,Cleaned_Products!$A$2:$A$61,0)),"Unknown")</f>
        <v>Diamond</v>
      </c>
    </row>
    <row r="480" spans="1:16" x14ac:dyDescent="0.35">
      <c r="A480" s="14" t="s">
        <v>2224</v>
      </c>
      <c r="B480" s="21">
        <v>45555</v>
      </c>
      <c r="C480" s="14" t="s">
        <v>4003</v>
      </c>
      <c r="D480" s="14">
        <v>2024</v>
      </c>
      <c r="E480" s="14" t="s">
        <v>1009</v>
      </c>
      <c r="F480" s="14" t="s">
        <v>348</v>
      </c>
      <c r="G480" s="14" t="s">
        <v>101</v>
      </c>
      <c r="H480" s="14">
        <v>1</v>
      </c>
      <c r="I480" s="14">
        <v>234140</v>
      </c>
      <c r="J480" s="14">
        <v>5</v>
      </c>
      <c r="K480" s="14">
        <v>222433</v>
      </c>
      <c r="L480" s="14" t="s">
        <v>3974</v>
      </c>
      <c r="M480" s="14" t="s">
        <v>3975</v>
      </c>
      <c r="N480" s="14" t="s">
        <v>2225</v>
      </c>
      <c r="O480" s="14" t="str">
        <f>IFERROR(INDEX(Cleaned_Products!$C$2:$C$61,MATCH(F480,Cleaned_Products!$A$2:$A$61,0)),"Unknown")</f>
        <v>Rings</v>
      </c>
      <c r="P480" s="14" t="str">
        <f>IFERROR(INDEX(Cleaned_Products!$D$2:$D$61,MATCH(F480,Cleaned_Products!$A$2:$A$61,0)),"Unknown")</f>
        <v>Gold</v>
      </c>
    </row>
    <row r="481" spans="1:16" x14ac:dyDescent="0.35">
      <c r="A481" s="14" t="s">
        <v>2226</v>
      </c>
      <c r="B481" s="21">
        <v>45473</v>
      </c>
      <c r="C481" s="14" t="s">
        <v>3984</v>
      </c>
      <c r="D481" s="14">
        <v>2024</v>
      </c>
      <c r="E481" s="14" t="s">
        <v>314</v>
      </c>
      <c r="F481" s="14" t="s">
        <v>435</v>
      </c>
      <c r="G481" s="14" t="s">
        <v>101</v>
      </c>
      <c r="H481" s="14">
        <v>2</v>
      </c>
      <c r="I481" s="14">
        <v>106880</v>
      </c>
      <c r="J481" s="14">
        <v>10</v>
      </c>
      <c r="K481" s="14">
        <v>192384</v>
      </c>
      <c r="L481" s="14" t="s">
        <v>3977</v>
      </c>
      <c r="M481" s="14" t="s">
        <v>3980</v>
      </c>
      <c r="N481" s="14" t="s">
        <v>3983</v>
      </c>
      <c r="O481" s="14" t="str">
        <f>IFERROR(INDEX(Cleaned_Products!$C$2:$C$61,MATCH(F481,Cleaned_Products!$A$2:$A$61,0)),"Unknown")</f>
        <v>Bangles</v>
      </c>
      <c r="P481" s="14" t="str">
        <f>IFERROR(INDEX(Cleaned_Products!$D$2:$D$61,MATCH(F481,Cleaned_Products!$A$2:$A$61,0)),"Unknown")</f>
        <v>Platinum</v>
      </c>
    </row>
    <row r="482" spans="1:16" x14ac:dyDescent="0.35">
      <c r="A482" s="14" t="s">
        <v>2228</v>
      </c>
      <c r="B482" s="21">
        <v>45067</v>
      </c>
      <c r="C482" s="14" t="s">
        <v>3973</v>
      </c>
      <c r="D482" s="14">
        <v>2023</v>
      </c>
      <c r="E482" s="14" t="s">
        <v>597</v>
      </c>
      <c r="F482" s="14" t="s">
        <v>432</v>
      </c>
      <c r="G482" s="14" t="s">
        <v>126</v>
      </c>
      <c r="H482" s="14">
        <v>1</v>
      </c>
      <c r="I482" s="14">
        <v>247390</v>
      </c>
      <c r="J482" s="14">
        <v>10</v>
      </c>
      <c r="K482" s="14">
        <v>222651</v>
      </c>
      <c r="L482" s="14" t="s">
        <v>3974</v>
      </c>
      <c r="M482" s="14" t="s">
        <v>3975</v>
      </c>
      <c r="N482" s="14" t="s">
        <v>2230</v>
      </c>
      <c r="O482" s="14" t="str">
        <f>IFERROR(INDEX(Cleaned_Products!$C$2:$C$61,MATCH(F482,Cleaned_Products!$A$2:$A$61,0)),"Unknown")</f>
        <v>Earrings</v>
      </c>
      <c r="P482" s="14" t="str">
        <f>IFERROR(INDEX(Cleaned_Products!$D$2:$D$61,MATCH(F482,Cleaned_Products!$A$2:$A$61,0)),"Unknown")</f>
        <v>Gold</v>
      </c>
    </row>
    <row r="483" spans="1:16" x14ac:dyDescent="0.35">
      <c r="A483" s="14" t="s">
        <v>2233</v>
      </c>
      <c r="B483" s="21">
        <v>45005</v>
      </c>
      <c r="C483" s="14" t="s">
        <v>3982</v>
      </c>
      <c r="D483" s="14">
        <v>2023</v>
      </c>
      <c r="E483" s="14" t="s">
        <v>1025</v>
      </c>
      <c r="F483" s="14" t="s">
        <v>1309</v>
      </c>
      <c r="G483" s="14" t="s">
        <v>80</v>
      </c>
      <c r="H483" s="14">
        <v>1</v>
      </c>
      <c r="I483" s="14">
        <v>126100</v>
      </c>
      <c r="J483" s="14">
        <v>0</v>
      </c>
      <c r="K483" s="14">
        <v>126100</v>
      </c>
      <c r="L483" s="14" t="s">
        <v>3977</v>
      </c>
      <c r="M483" s="14" t="s">
        <v>3980</v>
      </c>
      <c r="N483" s="14" t="s">
        <v>3983</v>
      </c>
      <c r="O483" s="14" t="str">
        <f>IFERROR(INDEX(Cleaned_Products!$C$2:$C$61,MATCH(F483,Cleaned_Products!$A$2:$A$61,0)),"Unknown")</f>
        <v>Rings</v>
      </c>
      <c r="P483" s="14" t="str">
        <f>IFERROR(INDEX(Cleaned_Products!$D$2:$D$61,MATCH(F483,Cleaned_Products!$A$2:$A$61,0)),"Unknown")</f>
        <v>Platinum</v>
      </c>
    </row>
    <row r="484" spans="1:16" x14ac:dyDescent="0.35">
      <c r="A484" s="14" t="s">
        <v>2235</v>
      </c>
      <c r="B484" s="21">
        <v>45651</v>
      </c>
      <c r="C484" s="14" t="s">
        <v>3986</v>
      </c>
      <c r="D484" s="14">
        <v>2024</v>
      </c>
      <c r="E484" s="14" t="s">
        <v>254</v>
      </c>
      <c r="F484" s="14" t="s">
        <v>390</v>
      </c>
      <c r="G484" s="14" t="s">
        <v>72</v>
      </c>
      <c r="H484" s="14">
        <v>1</v>
      </c>
      <c r="I484" s="14">
        <v>186620</v>
      </c>
      <c r="J484" s="14">
        <v>0</v>
      </c>
      <c r="K484" s="14">
        <v>186620</v>
      </c>
      <c r="L484" s="14" t="s">
        <v>73</v>
      </c>
      <c r="M484" s="14" t="s">
        <v>3980</v>
      </c>
      <c r="N484" s="14" t="s">
        <v>2238</v>
      </c>
      <c r="O484" s="14" t="str">
        <f>IFERROR(INDEX(Cleaned_Products!$C$2:$C$61,MATCH(F484,Cleaned_Products!$A$2:$A$61,0)),"Unknown")</f>
        <v>Bracelets</v>
      </c>
      <c r="P484" s="14" t="str">
        <f>IFERROR(INDEX(Cleaned_Products!$D$2:$D$61,MATCH(F484,Cleaned_Products!$A$2:$A$61,0)),"Unknown")</f>
        <v>Platinum</v>
      </c>
    </row>
    <row r="485" spans="1:16" x14ac:dyDescent="0.35">
      <c r="A485" s="14" t="s">
        <v>2239</v>
      </c>
      <c r="B485" s="21">
        <v>45738</v>
      </c>
      <c r="C485" s="14" t="s">
        <v>4002</v>
      </c>
      <c r="D485" s="14">
        <v>2025</v>
      </c>
      <c r="E485" s="14" t="s">
        <v>368</v>
      </c>
      <c r="F485" s="14" t="s">
        <v>458</v>
      </c>
      <c r="G485" s="14" t="s">
        <v>56</v>
      </c>
      <c r="H485" s="14">
        <v>3</v>
      </c>
      <c r="I485" s="14">
        <v>108590</v>
      </c>
      <c r="J485" s="14">
        <v>15</v>
      </c>
      <c r="K485" s="14">
        <v>276904.5</v>
      </c>
      <c r="L485" s="14" t="s">
        <v>3977</v>
      </c>
      <c r="M485" s="14" t="s">
        <v>3980</v>
      </c>
      <c r="N485" s="14" t="s">
        <v>3983</v>
      </c>
      <c r="O485" s="14" t="str">
        <f>IFERROR(INDEX(Cleaned_Products!$C$2:$C$61,MATCH(F485,Cleaned_Products!$A$2:$A$61,0)),"Unknown")</f>
        <v>Bangles</v>
      </c>
      <c r="P485" s="14" t="str">
        <f>IFERROR(INDEX(Cleaned_Products!$D$2:$D$61,MATCH(F485,Cleaned_Products!$A$2:$A$61,0)),"Unknown")</f>
        <v>Silver</v>
      </c>
    </row>
    <row r="486" spans="1:16" x14ac:dyDescent="0.35">
      <c r="A486" s="14" t="s">
        <v>2241</v>
      </c>
      <c r="B486" s="21">
        <v>44970</v>
      </c>
      <c r="C486" s="14" t="s">
        <v>4001</v>
      </c>
      <c r="D486" s="14">
        <v>2023</v>
      </c>
      <c r="E486" s="14" t="s">
        <v>524</v>
      </c>
      <c r="F486" s="14" t="s">
        <v>736</v>
      </c>
      <c r="G486" s="14" t="s">
        <v>113</v>
      </c>
      <c r="H486" s="14">
        <v>2</v>
      </c>
      <c r="I486" s="14">
        <v>159360</v>
      </c>
      <c r="J486" s="14">
        <v>0</v>
      </c>
      <c r="K486" s="14">
        <v>318720</v>
      </c>
      <c r="L486" s="14" t="s">
        <v>3977</v>
      </c>
      <c r="M486" s="14" t="s">
        <v>3980</v>
      </c>
      <c r="N486" s="14" t="s">
        <v>2243</v>
      </c>
      <c r="O486" s="14" t="str">
        <f>IFERROR(INDEX(Cleaned_Products!$C$2:$C$61,MATCH(F486,Cleaned_Products!$A$2:$A$61,0)),"Unknown")</f>
        <v>Rings</v>
      </c>
      <c r="P486" s="14" t="str">
        <f>IFERROR(INDEX(Cleaned_Products!$D$2:$D$61,MATCH(F486,Cleaned_Products!$A$2:$A$61,0)),"Unknown")</f>
        <v>Silver</v>
      </c>
    </row>
    <row r="487" spans="1:16" x14ac:dyDescent="0.35">
      <c r="A487" s="14" t="s">
        <v>2248</v>
      </c>
      <c r="B487" s="21">
        <v>45121</v>
      </c>
      <c r="C487" s="14" t="s">
        <v>3988</v>
      </c>
      <c r="D487" s="14">
        <v>2023</v>
      </c>
      <c r="E487" s="14" t="s">
        <v>1075</v>
      </c>
      <c r="F487" s="14" t="s">
        <v>418</v>
      </c>
      <c r="G487" s="14" t="s">
        <v>126</v>
      </c>
      <c r="H487" s="14">
        <v>1</v>
      </c>
      <c r="I487" s="14">
        <v>141370</v>
      </c>
      <c r="J487" s="14">
        <v>0</v>
      </c>
      <c r="K487" s="14">
        <v>141370</v>
      </c>
      <c r="L487" s="14" t="s">
        <v>73</v>
      </c>
      <c r="M487" s="14" t="s">
        <v>3975</v>
      </c>
      <c r="N487" s="14" t="s">
        <v>2250</v>
      </c>
      <c r="O487" s="14" t="str">
        <f>IFERROR(INDEX(Cleaned_Products!$C$2:$C$61,MATCH(F487,Cleaned_Products!$A$2:$A$61,0)),"Unknown")</f>
        <v>Rings</v>
      </c>
      <c r="P487" s="14" t="str">
        <f>IFERROR(INDEX(Cleaned_Products!$D$2:$D$61,MATCH(F487,Cleaned_Products!$A$2:$A$61,0)),"Unknown")</f>
        <v>Rose Gold</v>
      </c>
    </row>
    <row r="488" spans="1:16" x14ac:dyDescent="0.35">
      <c r="A488" s="14" t="s">
        <v>2251</v>
      </c>
      <c r="B488" s="21">
        <v>45368</v>
      </c>
      <c r="C488" s="14" t="s">
        <v>3985</v>
      </c>
      <c r="D488" s="14">
        <v>2024</v>
      </c>
      <c r="E488" s="14" t="s">
        <v>355</v>
      </c>
      <c r="F488" s="14" t="s">
        <v>163</v>
      </c>
      <c r="G488" s="14" t="s">
        <v>64</v>
      </c>
      <c r="H488" s="14">
        <v>3</v>
      </c>
      <c r="I488" s="14">
        <v>86230</v>
      </c>
      <c r="J488" s="14">
        <v>0</v>
      </c>
      <c r="K488" s="14">
        <v>258690</v>
      </c>
      <c r="L488" s="14" t="s">
        <v>73</v>
      </c>
      <c r="M488" s="14" t="s">
        <v>3975</v>
      </c>
      <c r="N488" s="14" t="s">
        <v>2254</v>
      </c>
      <c r="O488" s="14" t="str">
        <f>IFERROR(INDEX(Cleaned_Products!$C$2:$C$61,MATCH(F488,Cleaned_Products!$A$2:$A$61,0)),"Unknown")</f>
        <v>Earrings</v>
      </c>
      <c r="P488" s="14" t="str">
        <f>IFERROR(INDEX(Cleaned_Products!$D$2:$D$61,MATCH(F488,Cleaned_Products!$A$2:$A$61,0)),"Unknown")</f>
        <v>Diamond</v>
      </c>
    </row>
    <row r="489" spans="1:16" x14ac:dyDescent="0.35">
      <c r="A489" s="14" t="s">
        <v>2258</v>
      </c>
      <c r="B489" s="21">
        <v>44971</v>
      </c>
      <c r="C489" s="14" t="s">
        <v>4001</v>
      </c>
      <c r="D489" s="14">
        <v>2023</v>
      </c>
      <c r="E489" s="14" t="s">
        <v>134</v>
      </c>
      <c r="F489" s="14" t="s">
        <v>390</v>
      </c>
      <c r="G489" s="14" t="s">
        <v>101</v>
      </c>
      <c r="H489" s="14">
        <v>1</v>
      </c>
      <c r="I489" s="14">
        <v>217730</v>
      </c>
      <c r="J489" s="14">
        <v>0</v>
      </c>
      <c r="K489" s="14">
        <v>217730</v>
      </c>
      <c r="L489" s="14" t="s">
        <v>3974</v>
      </c>
      <c r="M489" s="14" t="s">
        <v>3975</v>
      </c>
      <c r="N489" s="14" t="s">
        <v>2261</v>
      </c>
      <c r="O489" s="14" t="str">
        <f>IFERROR(INDEX(Cleaned_Products!$C$2:$C$61,MATCH(F489,Cleaned_Products!$A$2:$A$61,0)),"Unknown")</f>
        <v>Bracelets</v>
      </c>
      <c r="P489" s="14" t="str">
        <f>IFERROR(INDEX(Cleaned_Products!$D$2:$D$61,MATCH(F489,Cleaned_Products!$A$2:$A$61,0)),"Unknown")</f>
        <v>Platinum</v>
      </c>
    </row>
    <row r="490" spans="1:16" x14ac:dyDescent="0.35">
      <c r="A490" s="14" t="s">
        <v>2268</v>
      </c>
      <c r="B490" s="21">
        <v>45644</v>
      </c>
      <c r="C490" s="14" t="s">
        <v>3986</v>
      </c>
      <c r="D490" s="14">
        <v>2024</v>
      </c>
      <c r="E490" s="14" t="s">
        <v>504</v>
      </c>
      <c r="F490" s="14" t="s">
        <v>458</v>
      </c>
      <c r="G490" s="14" t="s">
        <v>80</v>
      </c>
      <c r="H490" s="14">
        <v>1</v>
      </c>
      <c r="I490" s="14">
        <v>73550</v>
      </c>
      <c r="J490" s="14">
        <v>0</v>
      </c>
      <c r="K490" s="14">
        <v>73550</v>
      </c>
      <c r="L490" s="14" t="s">
        <v>121</v>
      </c>
      <c r="M490" s="14" t="s">
        <v>3975</v>
      </c>
      <c r="N490" s="14" t="s">
        <v>2270</v>
      </c>
      <c r="O490" s="14" t="str">
        <f>IFERROR(INDEX(Cleaned_Products!$C$2:$C$61,MATCH(F490,Cleaned_Products!$A$2:$A$61,0)),"Unknown")</f>
        <v>Bangles</v>
      </c>
      <c r="P490" s="14" t="str">
        <f>IFERROR(INDEX(Cleaned_Products!$D$2:$D$61,MATCH(F490,Cleaned_Products!$A$2:$A$61,0)),"Unknown")</f>
        <v>Silver</v>
      </c>
    </row>
    <row r="491" spans="1:16" x14ac:dyDescent="0.35">
      <c r="A491" s="14" t="s">
        <v>2273</v>
      </c>
      <c r="B491" s="21">
        <v>45843</v>
      </c>
      <c r="C491" s="14" t="s">
        <v>3991</v>
      </c>
      <c r="D491" s="14">
        <v>2025</v>
      </c>
      <c r="E491" s="14" t="s">
        <v>1502</v>
      </c>
      <c r="F491" s="14" t="s">
        <v>135</v>
      </c>
      <c r="G491" s="14" t="s">
        <v>101</v>
      </c>
      <c r="H491" s="14">
        <v>1</v>
      </c>
      <c r="I491" s="14">
        <v>25080</v>
      </c>
      <c r="J491" s="14">
        <v>0</v>
      </c>
      <c r="K491" s="14">
        <v>25080</v>
      </c>
      <c r="L491" s="14" t="s">
        <v>95</v>
      </c>
      <c r="M491" s="14" t="s">
        <v>3980</v>
      </c>
      <c r="N491" s="14" t="s">
        <v>2276</v>
      </c>
      <c r="O491" s="14" t="str">
        <f>IFERROR(INDEX(Cleaned_Products!$C$2:$C$61,MATCH(F491,Cleaned_Products!$A$2:$A$61,0)),"Unknown")</f>
        <v>Necklaces</v>
      </c>
      <c r="P491" s="14" t="str">
        <f>IFERROR(INDEX(Cleaned_Products!$D$2:$D$61,MATCH(F491,Cleaned_Products!$A$2:$A$61,0)),"Unknown")</f>
        <v>Silver</v>
      </c>
    </row>
    <row r="492" spans="1:16" x14ac:dyDescent="0.35">
      <c r="A492" s="14" t="s">
        <v>2277</v>
      </c>
      <c r="B492" s="21">
        <v>45574</v>
      </c>
      <c r="C492" s="14" t="s">
        <v>3981</v>
      </c>
      <c r="D492" s="14">
        <v>2024</v>
      </c>
      <c r="E492" s="14" t="s">
        <v>573</v>
      </c>
      <c r="F492" s="14" t="s">
        <v>463</v>
      </c>
      <c r="G492" s="14" t="s">
        <v>113</v>
      </c>
      <c r="H492" s="14">
        <v>1</v>
      </c>
      <c r="I492" s="14">
        <v>32690</v>
      </c>
      <c r="J492" s="14">
        <v>10</v>
      </c>
      <c r="K492" s="14">
        <v>29421</v>
      </c>
      <c r="L492" s="14" t="s">
        <v>3979</v>
      </c>
      <c r="M492" s="14" t="s">
        <v>3975</v>
      </c>
      <c r="N492" s="14" t="s">
        <v>2280</v>
      </c>
      <c r="O492" s="14" t="str">
        <f>IFERROR(INDEX(Cleaned_Products!$C$2:$C$61,MATCH(F492,Cleaned_Products!$A$2:$A$61,0)),"Unknown")</f>
        <v>Bracelets</v>
      </c>
      <c r="P492" s="14" t="str">
        <f>IFERROR(INDEX(Cleaned_Products!$D$2:$D$61,MATCH(F492,Cleaned_Products!$A$2:$A$61,0)),"Unknown")</f>
        <v>Gold</v>
      </c>
    </row>
    <row r="493" spans="1:16" x14ac:dyDescent="0.35">
      <c r="A493" s="14" t="s">
        <v>2281</v>
      </c>
      <c r="B493" s="21">
        <v>45081</v>
      </c>
      <c r="C493" s="14" t="s">
        <v>3994</v>
      </c>
      <c r="D493" s="14">
        <v>2023</v>
      </c>
      <c r="E493" s="14" t="s">
        <v>148</v>
      </c>
      <c r="F493" s="14" t="s">
        <v>55</v>
      </c>
      <c r="G493" s="14" t="s">
        <v>108</v>
      </c>
      <c r="H493" s="14">
        <v>1</v>
      </c>
      <c r="I493" s="14">
        <v>198840</v>
      </c>
      <c r="J493" s="14">
        <v>15</v>
      </c>
      <c r="K493" s="14">
        <v>169014</v>
      </c>
      <c r="L493" s="14" t="s">
        <v>95</v>
      </c>
      <c r="M493" s="14" t="s">
        <v>3975</v>
      </c>
      <c r="N493" s="14" t="s">
        <v>2283</v>
      </c>
      <c r="O493" s="14" t="str">
        <f>IFERROR(INDEX(Cleaned_Products!$C$2:$C$61,MATCH(F493,Cleaned_Products!$A$2:$A$61,0)),"Unknown")</f>
        <v>Anklets</v>
      </c>
      <c r="P493" s="14" t="str">
        <f>IFERROR(INDEX(Cleaned_Products!$D$2:$D$61,MATCH(F493,Cleaned_Products!$A$2:$A$61,0)),"Unknown")</f>
        <v>Gold</v>
      </c>
    </row>
    <row r="494" spans="1:16" x14ac:dyDescent="0.35">
      <c r="A494" s="14" t="s">
        <v>2284</v>
      </c>
      <c r="B494" s="21">
        <v>45115</v>
      </c>
      <c r="C494" s="14" t="s">
        <v>3988</v>
      </c>
      <c r="D494" s="14">
        <v>2023</v>
      </c>
      <c r="E494" s="14" t="s">
        <v>309</v>
      </c>
      <c r="F494" s="14" t="s">
        <v>390</v>
      </c>
      <c r="G494" s="14" t="s">
        <v>126</v>
      </c>
      <c r="H494" s="14">
        <v>1</v>
      </c>
      <c r="I494" s="14">
        <v>220270</v>
      </c>
      <c r="J494" s="14">
        <v>0</v>
      </c>
      <c r="K494" s="14">
        <v>220270</v>
      </c>
      <c r="L494" s="14" t="s">
        <v>95</v>
      </c>
      <c r="M494" s="14" t="s">
        <v>3975</v>
      </c>
      <c r="N494" s="14" t="s">
        <v>2286</v>
      </c>
      <c r="O494" s="14" t="str">
        <f>IFERROR(INDEX(Cleaned_Products!$C$2:$C$61,MATCH(F494,Cleaned_Products!$A$2:$A$61,0)),"Unknown")</f>
        <v>Bracelets</v>
      </c>
      <c r="P494" s="14" t="str">
        <f>IFERROR(INDEX(Cleaned_Products!$D$2:$D$61,MATCH(F494,Cleaned_Products!$A$2:$A$61,0)),"Unknown")</f>
        <v>Platinum</v>
      </c>
    </row>
    <row r="495" spans="1:16" x14ac:dyDescent="0.35">
      <c r="A495" s="14" t="s">
        <v>2287</v>
      </c>
      <c r="B495" s="21">
        <v>45046</v>
      </c>
      <c r="C495" s="14" t="s">
        <v>4010</v>
      </c>
      <c r="D495" s="14">
        <v>2023</v>
      </c>
      <c r="E495" s="14" t="s">
        <v>740</v>
      </c>
      <c r="F495" s="14" t="s">
        <v>529</v>
      </c>
      <c r="G495" s="14" t="s">
        <v>72</v>
      </c>
      <c r="H495" s="14">
        <v>1</v>
      </c>
      <c r="I495" s="14">
        <v>43690</v>
      </c>
      <c r="J495" s="14">
        <v>0</v>
      </c>
      <c r="K495" s="14">
        <v>43690</v>
      </c>
      <c r="L495" s="14" t="s">
        <v>3977</v>
      </c>
      <c r="M495" s="14" t="s">
        <v>3980</v>
      </c>
      <c r="N495" s="14" t="s">
        <v>2289</v>
      </c>
      <c r="O495" s="14" t="str">
        <f>IFERROR(INDEX(Cleaned_Products!$C$2:$C$61,MATCH(F495,Cleaned_Products!$A$2:$A$61,0)),"Unknown")</f>
        <v>Bangles</v>
      </c>
      <c r="P495" s="14" t="str">
        <f>IFERROR(INDEX(Cleaned_Products!$D$2:$D$61,MATCH(F495,Cleaned_Products!$A$2:$A$61,0)),"Unknown")</f>
        <v>Silver</v>
      </c>
    </row>
    <row r="496" spans="1:16" x14ac:dyDescent="0.35">
      <c r="A496" s="14" t="s">
        <v>2290</v>
      </c>
      <c r="B496" s="21">
        <v>45659</v>
      </c>
      <c r="C496" s="14" t="s">
        <v>4005</v>
      </c>
      <c r="D496" s="14">
        <v>2025</v>
      </c>
      <c r="E496" s="14" t="s">
        <v>524</v>
      </c>
      <c r="F496" s="14" t="s">
        <v>172</v>
      </c>
      <c r="G496" s="14" t="s">
        <v>113</v>
      </c>
      <c r="H496" s="14">
        <v>1</v>
      </c>
      <c r="I496" s="14">
        <v>231360</v>
      </c>
      <c r="J496" s="14">
        <v>0</v>
      </c>
      <c r="K496" s="14">
        <v>231360</v>
      </c>
      <c r="L496" s="14" t="s">
        <v>3977</v>
      </c>
      <c r="M496" s="14" t="s">
        <v>3980</v>
      </c>
      <c r="N496" s="14" t="s">
        <v>2291</v>
      </c>
      <c r="O496" s="14" t="str">
        <f>IFERROR(INDEX(Cleaned_Products!$C$2:$C$61,MATCH(F496,Cleaned_Products!$A$2:$A$61,0)),"Unknown")</f>
        <v>Bracelets</v>
      </c>
      <c r="P496" s="14" t="str">
        <f>IFERROR(INDEX(Cleaned_Products!$D$2:$D$61,MATCH(F496,Cleaned_Products!$A$2:$A$61,0)),"Unknown")</f>
        <v>Gold</v>
      </c>
    </row>
    <row r="497" spans="1:16" x14ac:dyDescent="0.35">
      <c r="A497" s="14" t="s">
        <v>2292</v>
      </c>
      <c r="B497" s="21">
        <v>45052</v>
      </c>
      <c r="C497" s="14" t="s">
        <v>3973</v>
      </c>
      <c r="D497" s="14">
        <v>2023</v>
      </c>
      <c r="E497" s="14" t="s">
        <v>187</v>
      </c>
      <c r="F497" s="14" t="s">
        <v>390</v>
      </c>
      <c r="G497" s="14" t="s">
        <v>108</v>
      </c>
      <c r="H497" s="14">
        <v>2</v>
      </c>
      <c r="I497" s="14">
        <v>31110</v>
      </c>
      <c r="J497" s="14">
        <v>5</v>
      </c>
      <c r="K497" s="14">
        <v>59109</v>
      </c>
      <c r="L497" s="14" t="s">
        <v>3974</v>
      </c>
      <c r="M497" s="14" t="s">
        <v>3980</v>
      </c>
      <c r="N497" s="14" t="s">
        <v>2295</v>
      </c>
      <c r="O497" s="14" t="str">
        <f>IFERROR(INDEX(Cleaned_Products!$C$2:$C$61,MATCH(F497,Cleaned_Products!$A$2:$A$61,0)),"Unknown")</f>
        <v>Bracelets</v>
      </c>
      <c r="P497" s="14" t="str">
        <f>IFERROR(INDEX(Cleaned_Products!$D$2:$D$61,MATCH(F497,Cleaned_Products!$A$2:$A$61,0)),"Unknown")</f>
        <v>Platinum</v>
      </c>
    </row>
    <row r="498" spans="1:16" x14ac:dyDescent="0.35">
      <c r="A498" s="14" t="s">
        <v>2296</v>
      </c>
      <c r="B498" s="21">
        <v>45698</v>
      </c>
      <c r="C498" s="14" t="s">
        <v>3989</v>
      </c>
      <c r="D498" s="14">
        <v>2025</v>
      </c>
      <c r="E498" s="14" t="s">
        <v>1861</v>
      </c>
      <c r="F498" s="14" t="s">
        <v>163</v>
      </c>
      <c r="G498" s="14" t="s">
        <v>126</v>
      </c>
      <c r="H498" s="14">
        <v>2</v>
      </c>
      <c r="I498" s="14">
        <v>103970</v>
      </c>
      <c r="J498" s="14">
        <v>0</v>
      </c>
      <c r="K498" s="14">
        <v>207940</v>
      </c>
      <c r="L498" s="14" t="s">
        <v>3977</v>
      </c>
      <c r="M498" s="14" t="s">
        <v>3980</v>
      </c>
      <c r="N498" s="14" t="s">
        <v>2298</v>
      </c>
      <c r="O498" s="14" t="str">
        <f>IFERROR(INDEX(Cleaned_Products!$C$2:$C$61,MATCH(F498,Cleaned_Products!$A$2:$A$61,0)),"Unknown")</f>
        <v>Earrings</v>
      </c>
      <c r="P498" s="14" t="str">
        <f>IFERROR(INDEX(Cleaned_Products!$D$2:$D$61,MATCH(F498,Cleaned_Products!$A$2:$A$61,0)),"Unknown")</f>
        <v>Diamond</v>
      </c>
    </row>
    <row r="499" spans="1:16" x14ac:dyDescent="0.35">
      <c r="A499" s="14" t="s">
        <v>2299</v>
      </c>
      <c r="B499" s="21">
        <v>45375</v>
      </c>
      <c r="C499" s="14" t="s">
        <v>3985</v>
      </c>
      <c r="D499" s="14">
        <v>2024</v>
      </c>
      <c r="E499" s="14" t="s">
        <v>1321</v>
      </c>
      <c r="F499" s="14" t="s">
        <v>278</v>
      </c>
      <c r="G499" s="14" t="s">
        <v>56</v>
      </c>
      <c r="H499" s="14">
        <v>1</v>
      </c>
      <c r="I499" s="14">
        <v>45960</v>
      </c>
      <c r="J499" s="14">
        <v>0</v>
      </c>
      <c r="K499" s="14">
        <v>45960</v>
      </c>
      <c r="L499" s="14" t="s">
        <v>121</v>
      </c>
      <c r="M499" s="14" t="s">
        <v>3980</v>
      </c>
      <c r="N499" s="14" t="s">
        <v>3983</v>
      </c>
      <c r="O499" s="14" t="str">
        <f>IFERROR(INDEX(Cleaned_Products!$C$2:$C$61,MATCH(F499,Cleaned_Products!$A$2:$A$61,0)),"Unknown")</f>
        <v>Earrings</v>
      </c>
      <c r="P499" s="14" t="str">
        <f>IFERROR(INDEX(Cleaned_Products!$D$2:$D$61,MATCH(F499,Cleaned_Products!$A$2:$A$61,0)),"Unknown")</f>
        <v>Diamond</v>
      </c>
    </row>
    <row r="500" spans="1:16" x14ac:dyDescent="0.35">
      <c r="A500" s="14" t="s">
        <v>2305</v>
      </c>
      <c r="B500" s="21">
        <v>44928</v>
      </c>
      <c r="C500" s="14" t="s">
        <v>3987</v>
      </c>
      <c r="D500" s="14">
        <v>2023</v>
      </c>
      <c r="E500" s="14" t="s">
        <v>613</v>
      </c>
      <c r="F500" s="14" t="s">
        <v>432</v>
      </c>
      <c r="G500" s="14" t="s">
        <v>101</v>
      </c>
      <c r="H500" s="14">
        <v>1</v>
      </c>
      <c r="I500" s="14">
        <v>18800</v>
      </c>
      <c r="J500" s="14">
        <v>15</v>
      </c>
      <c r="K500" s="14">
        <v>15980</v>
      </c>
      <c r="L500" s="14" t="s">
        <v>95</v>
      </c>
      <c r="M500" s="14" t="s">
        <v>3975</v>
      </c>
      <c r="N500" s="14" t="s">
        <v>2307</v>
      </c>
      <c r="O500" s="14" t="str">
        <f>IFERROR(INDEX(Cleaned_Products!$C$2:$C$61,MATCH(F500,Cleaned_Products!$A$2:$A$61,0)),"Unknown")</f>
        <v>Earrings</v>
      </c>
      <c r="P500" s="14" t="str">
        <f>IFERROR(INDEX(Cleaned_Products!$D$2:$D$61,MATCH(F500,Cleaned_Products!$A$2:$A$61,0)),"Unknown")</f>
        <v>Gold</v>
      </c>
    </row>
    <row r="501" spans="1:16" x14ac:dyDescent="0.35">
      <c r="A501" s="14" t="s">
        <v>2308</v>
      </c>
      <c r="B501" s="21">
        <v>45230</v>
      </c>
      <c r="C501" s="14" t="s">
        <v>3990</v>
      </c>
      <c r="D501" s="14">
        <v>2023</v>
      </c>
      <c r="E501" s="14" t="s">
        <v>637</v>
      </c>
      <c r="F501" s="14" t="s">
        <v>445</v>
      </c>
      <c r="G501" s="14" t="s">
        <v>56</v>
      </c>
      <c r="H501" s="14">
        <v>3</v>
      </c>
      <c r="I501" s="14">
        <v>155310</v>
      </c>
      <c r="J501" s="14">
        <v>5</v>
      </c>
      <c r="K501" s="14">
        <v>442633.5</v>
      </c>
      <c r="L501" s="14" t="s">
        <v>121</v>
      </c>
      <c r="M501" s="14" t="s">
        <v>3980</v>
      </c>
      <c r="N501" s="14" t="s">
        <v>2309</v>
      </c>
      <c r="O501" s="14" t="str">
        <f>IFERROR(INDEX(Cleaned_Products!$C$2:$C$61,MATCH(F501,Cleaned_Products!$A$2:$A$61,0)),"Unknown")</f>
        <v>Bangles</v>
      </c>
      <c r="P501" s="14" t="str">
        <f>IFERROR(INDEX(Cleaned_Products!$D$2:$D$61,MATCH(F501,Cleaned_Products!$A$2:$A$61,0)),"Unknown")</f>
        <v>Diamond</v>
      </c>
    </row>
    <row r="502" spans="1:16" x14ac:dyDescent="0.35">
      <c r="A502" s="14" t="s">
        <v>2310</v>
      </c>
      <c r="B502" s="21">
        <v>45237</v>
      </c>
      <c r="C502" s="14" t="s">
        <v>3978</v>
      </c>
      <c r="D502" s="14">
        <v>2023</v>
      </c>
      <c r="E502" s="14" t="s">
        <v>1861</v>
      </c>
      <c r="F502" s="14" t="s">
        <v>240</v>
      </c>
      <c r="G502" s="14" t="s">
        <v>72</v>
      </c>
      <c r="H502" s="14">
        <v>2</v>
      </c>
      <c r="I502" s="14">
        <v>25560</v>
      </c>
      <c r="J502" s="14">
        <v>10</v>
      </c>
      <c r="K502" s="14">
        <v>46008</v>
      </c>
      <c r="L502" s="14" t="s">
        <v>3979</v>
      </c>
      <c r="M502" s="14" t="s">
        <v>3980</v>
      </c>
      <c r="N502" s="14" t="s">
        <v>3983</v>
      </c>
      <c r="O502" s="14" t="str">
        <f>IFERROR(INDEX(Cleaned_Products!$C$2:$C$61,MATCH(F502,Cleaned_Products!$A$2:$A$61,0)),"Unknown")</f>
        <v>Bangles</v>
      </c>
      <c r="P502" s="14" t="str">
        <f>IFERROR(INDEX(Cleaned_Products!$D$2:$D$61,MATCH(F502,Cleaned_Products!$A$2:$A$61,0)),"Unknown")</f>
        <v>Platinum</v>
      </c>
    </row>
    <row r="503" spans="1:16" x14ac:dyDescent="0.35">
      <c r="A503" s="14" t="s">
        <v>2313</v>
      </c>
      <c r="B503" s="21">
        <v>45843</v>
      </c>
      <c r="C503" s="14" t="s">
        <v>3991</v>
      </c>
      <c r="D503" s="14">
        <v>2025</v>
      </c>
      <c r="E503" s="14" t="s">
        <v>70</v>
      </c>
      <c r="F503" s="14" t="s">
        <v>94</v>
      </c>
      <c r="G503" s="14" t="s">
        <v>56</v>
      </c>
      <c r="H503" s="14">
        <v>2</v>
      </c>
      <c r="I503" s="14">
        <v>118810</v>
      </c>
      <c r="J503" s="14">
        <v>0</v>
      </c>
      <c r="K503" s="14">
        <v>237620</v>
      </c>
      <c r="L503" s="14" t="s">
        <v>95</v>
      </c>
      <c r="M503" s="14" t="s">
        <v>3980</v>
      </c>
      <c r="N503" s="14" t="s">
        <v>2315</v>
      </c>
      <c r="O503" s="14" t="str">
        <f>IFERROR(INDEX(Cleaned_Products!$C$2:$C$61,MATCH(F503,Cleaned_Products!$A$2:$A$61,0)),"Unknown")</f>
        <v>Nose Pins</v>
      </c>
      <c r="P503" s="14" t="str">
        <f>IFERROR(INDEX(Cleaned_Products!$D$2:$D$61,MATCH(F503,Cleaned_Products!$A$2:$A$61,0)),"Unknown")</f>
        <v>Rose Gold</v>
      </c>
    </row>
    <row r="504" spans="1:16" x14ac:dyDescent="0.35">
      <c r="A504" s="14" t="s">
        <v>2316</v>
      </c>
      <c r="B504" s="21">
        <v>45310</v>
      </c>
      <c r="C504" s="14" t="s">
        <v>3993</v>
      </c>
      <c r="D504" s="14">
        <v>2024</v>
      </c>
      <c r="E504" s="14" t="s">
        <v>457</v>
      </c>
      <c r="F504" s="14" t="s">
        <v>55</v>
      </c>
      <c r="G504" s="14" t="s">
        <v>113</v>
      </c>
      <c r="H504" s="14">
        <v>1</v>
      </c>
      <c r="I504" s="14">
        <v>38970</v>
      </c>
      <c r="J504" s="14">
        <v>0</v>
      </c>
      <c r="K504" s="14">
        <v>38970</v>
      </c>
      <c r="L504" s="14" t="s">
        <v>3977</v>
      </c>
      <c r="M504" s="14" t="s">
        <v>3980</v>
      </c>
      <c r="N504" s="14" t="s">
        <v>2318</v>
      </c>
      <c r="O504" s="14" t="str">
        <f>IFERROR(INDEX(Cleaned_Products!$C$2:$C$61,MATCH(F504,Cleaned_Products!$A$2:$A$61,0)),"Unknown")</f>
        <v>Anklets</v>
      </c>
      <c r="P504" s="14" t="str">
        <f>IFERROR(INDEX(Cleaned_Products!$D$2:$D$61,MATCH(F504,Cleaned_Products!$A$2:$A$61,0)),"Unknown")</f>
        <v>Gold</v>
      </c>
    </row>
    <row r="505" spans="1:16" x14ac:dyDescent="0.35">
      <c r="A505" s="14" t="s">
        <v>2319</v>
      </c>
      <c r="B505" s="21">
        <v>45036</v>
      </c>
      <c r="C505" s="14" t="s">
        <v>4010</v>
      </c>
      <c r="D505" s="14">
        <v>2023</v>
      </c>
      <c r="E505" s="14" t="s">
        <v>462</v>
      </c>
      <c r="F505" s="14" t="s">
        <v>226</v>
      </c>
      <c r="G505" s="14" t="s">
        <v>72</v>
      </c>
      <c r="H505" s="14">
        <v>2</v>
      </c>
      <c r="I505" s="14">
        <v>130510</v>
      </c>
      <c r="J505" s="14">
        <v>10</v>
      </c>
      <c r="K505" s="14">
        <v>234918</v>
      </c>
      <c r="L505" s="14" t="s">
        <v>3979</v>
      </c>
      <c r="M505" s="14" t="s">
        <v>3980</v>
      </c>
      <c r="N505" s="14" t="s">
        <v>3983</v>
      </c>
      <c r="O505" s="14" t="str">
        <f>IFERROR(INDEX(Cleaned_Products!$C$2:$C$61,MATCH(F505,Cleaned_Products!$A$2:$A$61,0)),"Unknown")</f>
        <v>Earrings</v>
      </c>
      <c r="P505" s="14" t="str">
        <f>IFERROR(INDEX(Cleaned_Products!$D$2:$D$61,MATCH(F505,Cleaned_Products!$A$2:$A$61,0)),"Unknown")</f>
        <v>Diamond</v>
      </c>
    </row>
    <row r="506" spans="1:16" x14ac:dyDescent="0.35">
      <c r="A506" s="14" t="s">
        <v>2321</v>
      </c>
      <c r="B506" s="21">
        <v>45612</v>
      </c>
      <c r="C506" s="14" t="s">
        <v>3976</v>
      </c>
      <c r="D506" s="14">
        <v>2024</v>
      </c>
      <c r="E506" s="14" t="s">
        <v>1418</v>
      </c>
      <c r="F506" s="14" t="s">
        <v>390</v>
      </c>
      <c r="G506" s="14" t="s">
        <v>101</v>
      </c>
      <c r="H506" s="14">
        <v>1</v>
      </c>
      <c r="I506" s="14">
        <v>159110</v>
      </c>
      <c r="J506" s="14">
        <v>15</v>
      </c>
      <c r="K506" s="14">
        <v>135243.5</v>
      </c>
      <c r="L506" s="14" t="s">
        <v>3974</v>
      </c>
      <c r="M506" s="14" t="s">
        <v>3975</v>
      </c>
      <c r="N506" s="14" t="s">
        <v>2323</v>
      </c>
      <c r="O506" s="14" t="str">
        <f>IFERROR(INDEX(Cleaned_Products!$C$2:$C$61,MATCH(F506,Cleaned_Products!$A$2:$A$61,0)),"Unknown")</f>
        <v>Bracelets</v>
      </c>
      <c r="P506" s="14" t="str">
        <f>IFERROR(INDEX(Cleaned_Products!$D$2:$D$61,MATCH(F506,Cleaned_Products!$A$2:$A$61,0)),"Unknown")</f>
        <v>Platinum</v>
      </c>
    </row>
    <row r="507" spans="1:16" x14ac:dyDescent="0.35">
      <c r="A507" s="14" t="s">
        <v>2324</v>
      </c>
      <c r="B507" s="21">
        <v>45587</v>
      </c>
      <c r="C507" s="14" t="s">
        <v>3981</v>
      </c>
      <c r="D507" s="14">
        <v>2024</v>
      </c>
      <c r="E507" s="14" t="s">
        <v>139</v>
      </c>
      <c r="F507" s="14" t="s">
        <v>576</v>
      </c>
      <c r="G507" s="14" t="s">
        <v>126</v>
      </c>
      <c r="H507" s="14">
        <v>3</v>
      </c>
      <c r="I507" s="14">
        <v>71720</v>
      </c>
      <c r="J507" s="14">
        <v>15</v>
      </c>
      <c r="K507" s="14">
        <v>182886</v>
      </c>
      <c r="L507" s="14" t="s">
        <v>73</v>
      </c>
      <c r="M507" s="14" t="s">
        <v>3980</v>
      </c>
      <c r="N507" s="14" t="s">
        <v>3983</v>
      </c>
      <c r="O507" s="14" t="str">
        <f>IFERROR(INDEX(Cleaned_Products!$C$2:$C$61,MATCH(F507,Cleaned_Products!$A$2:$A$61,0)),"Unknown")</f>
        <v>Bangles</v>
      </c>
      <c r="P507" s="14" t="str">
        <f>IFERROR(INDEX(Cleaned_Products!$D$2:$D$61,MATCH(F507,Cleaned_Products!$A$2:$A$61,0)),"Unknown")</f>
        <v>Diamond</v>
      </c>
    </row>
    <row r="508" spans="1:16" x14ac:dyDescent="0.35">
      <c r="A508" s="14" t="s">
        <v>2329</v>
      </c>
      <c r="B508" s="21">
        <v>45213</v>
      </c>
      <c r="C508" s="14" t="s">
        <v>3990</v>
      </c>
      <c r="D508" s="14">
        <v>2023</v>
      </c>
      <c r="E508" s="14" t="s">
        <v>3995</v>
      </c>
      <c r="F508" s="14" t="s">
        <v>226</v>
      </c>
      <c r="G508" s="14" t="s">
        <v>113</v>
      </c>
      <c r="H508" s="14">
        <v>1</v>
      </c>
      <c r="I508" s="14">
        <v>17800</v>
      </c>
      <c r="J508" s="14">
        <v>10</v>
      </c>
      <c r="K508" s="14">
        <v>16020</v>
      </c>
      <c r="L508" s="14" t="s">
        <v>3974</v>
      </c>
      <c r="M508" s="14" t="s">
        <v>3980</v>
      </c>
      <c r="N508" s="14" t="s">
        <v>3983</v>
      </c>
      <c r="O508" s="14" t="str">
        <f>IFERROR(INDEX(Cleaned_Products!$C$2:$C$61,MATCH(F508,Cleaned_Products!$A$2:$A$61,0)),"Unknown")</f>
        <v>Earrings</v>
      </c>
      <c r="P508" s="14" t="str">
        <f>IFERROR(INDEX(Cleaned_Products!$D$2:$D$61,MATCH(F508,Cleaned_Products!$A$2:$A$61,0)),"Unknown")</f>
        <v>Diamond</v>
      </c>
    </row>
    <row r="509" spans="1:16" x14ac:dyDescent="0.35">
      <c r="A509" s="14" t="s">
        <v>2332</v>
      </c>
      <c r="B509" s="21">
        <v>45218</v>
      </c>
      <c r="C509" s="14" t="s">
        <v>3990</v>
      </c>
      <c r="D509" s="14">
        <v>2023</v>
      </c>
      <c r="E509" s="14" t="s">
        <v>162</v>
      </c>
      <c r="F509" s="14" t="s">
        <v>135</v>
      </c>
      <c r="G509" s="14" t="s">
        <v>101</v>
      </c>
      <c r="H509" s="14">
        <v>2</v>
      </c>
      <c r="I509" s="14">
        <v>214850</v>
      </c>
      <c r="J509" s="14">
        <v>10</v>
      </c>
      <c r="K509" s="14">
        <v>386730</v>
      </c>
      <c r="L509" s="14" t="s">
        <v>3977</v>
      </c>
      <c r="M509" s="14" t="s">
        <v>3975</v>
      </c>
      <c r="N509" s="14" t="s">
        <v>2334</v>
      </c>
      <c r="O509" s="14" t="str">
        <f>IFERROR(INDEX(Cleaned_Products!$C$2:$C$61,MATCH(F509,Cleaned_Products!$A$2:$A$61,0)),"Unknown")</f>
        <v>Necklaces</v>
      </c>
      <c r="P509" s="14" t="str">
        <f>IFERROR(INDEX(Cleaned_Products!$D$2:$D$61,MATCH(F509,Cleaned_Products!$A$2:$A$61,0)),"Unknown")</f>
        <v>Silver</v>
      </c>
    </row>
    <row r="510" spans="1:16" x14ac:dyDescent="0.35">
      <c r="A510" s="14" t="s">
        <v>2335</v>
      </c>
      <c r="B510" s="21">
        <v>45837</v>
      </c>
      <c r="C510" s="14" t="s">
        <v>3997</v>
      </c>
      <c r="D510" s="14">
        <v>2025</v>
      </c>
      <c r="E510" s="14" t="s">
        <v>294</v>
      </c>
      <c r="F510" s="14" t="s">
        <v>172</v>
      </c>
      <c r="G510" s="14" t="s">
        <v>108</v>
      </c>
      <c r="H510" s="14">
        <v>2</v>
      </c>
      <c r="I510" s="14">
        <v>139440</v>
      </c>
      <c r="J510" s="14">
        <v>0</v>
      </c>
      <c r="K510" s="14">
        <v>278880</v>
      </c>
      <c r="L510" s="14" t="s">
        <v>3977</v>
      </c>
      <c r="M510" s="14" t="s">
        <v>3975</v>
      </c>
      <c r="N510" s="14" t="s">
        <v>2338</v>
      </c>
      <c r="O510" s="14" t="str">
        <f>IFERROR(INDEX(Cleaned_Products!$C$2:$C$61,MATCH(F510,Cleaned_Products!$A$2:$A$61,0)),"Unknown")</f>
        <v>Bracelets</v>
      </c>
      <c r="P510" s="14" t="str">
        <f>IFERROR(INDEX(Cleaned_Products!$D$2:$D$61,MATCH(F510,Cleaned_Products!$A$2:$A$61,0)),"Unknown")</f>
        <v>Gold</v>
      </c>
    </row>
    <row r="511" spans="1:16" x14ac:dyDescent="0.35">
      <c r="A511" s="14" t="s">
        <v>2339</v>
      </c>
      <c r="B511" s="21">
        <v>45318</v>
      </c>
      <c r="C511" s="14" t="s">
        <v>3993</v>
      </c>
      <c r="D511" s="14">
        <v>2024</v>
      </c>
      <c r="E511" s="14" t="s">
        <v>804</v>
      </c>
      <c r="F511" s="14" t="s">
        <v>472</v>
      </c>
      <c r="G511" s="14" t="s">
        <v>126</v>
      </c>
      <c r="H511" s="14">
        <v>3</v>
      </c>
      <c r="I511" s="14">
        <v>105460</v>
      </c>
      <c r="J511" s="14">
        <v>0</v>
      </c>
      <c r="K511" s="14">
        <v>316380</v>
      </c>
      <c r="L511" s="14" t="s">
        <v>73</v>
      </c>
      <c r="M511" s="14" t="s">
        <v>3980</v>
      </c>
      <c r="N511" s="14" t="s">
        <v>3983</v>
      </c>
      <c r="O511" s="14" t="str">
        <f>IFERROR(INDEX(Cleaned_Products!$C$2:$C$61,MATCH(F511,Cleaned_Products!$A$2:$A$61,0)),"Unknown")</f>
        <v>Nose Pins</v>
      </c>
      <c r="P511" s="14" t="str">
        <f>IFERROR(INDEX(Cleaned_Products!$D$2:$D$61,MATCH(F511,Cleaned_Products!$A$2:$A$61,0)),"Unknown")</f>
        <v>Platinum</v>
      </c>
    </row>
    <row r="512" spans="1:16" x14ac:dyDescent="0.35">
      <c r="A512" s="14" t="s">
        <v>2341</v>
      </c>
      <c r="B512" s="21">
        <v>45016</v>
      </c>
      <c r="C512" s="14" t="s">
        <v>3982</v>
      </c>
      <c r="D512" s="14">
        <v>2023</v>
      </c>
      <c r="E512" s="14" t="s">
        <v>781</v>
      </c>
      <c r="F512" s="14" t="s">
        <v>576</v>
      </c>
      <c r="G512" s="14" t="s">
        <v>64</v>
      </c>
      <c r="H512" s="14">
        <v>1</v>
      </c>
      <c r="I512" s="14">
        <v>224520</v>
      </c>
      <c r="J512" s="14">
        <v>0</v>
      </c>
      <c r="K512" s="14">
        <v>224520</v>
      </c>
      <c r="L512" s="14" t="s">
        <v>73</v>
      </c>
      <c r="M512" s="14" t="s">
        <v>3980</v>
      </c>
      <c r="N512" s="14" t="s">
        <v>3983</v>
      </c>
      <c r="O512" s="14" t="str">
        <f>IFERROR(INDEX(Cleaned_Products!$C$2:$C$61,MATCH(F512,Cleaned_Products!$A$2:$A$61,0)),"Unknown")</f>
        <v>Bangles</v>
      </c>
      <c r="P512" s="14" t="str">
        <f>IFERROR(INDEX(Cleaned_Products!$D$2:$D$61,MATCH(F512,Cleaned_Products!$A$2:$A$61,0)),"Unknown")</f>
        <v>Diamond</v>
      </c>
    </row>
    <row r="513" spans="1:16" x14ac:dyDescent="0.35">
      <c r="A513" s="14" t="s">
        <v>2343</v>
      </c>
      <c r="B513" s="21">
        <v>45398</v>
      </c>
      <c r="C513" s="14" t="s">
        <v>4000</v>
      </c>
      <c r="D513" s="14">
        <v>2024</v>
      </c>
      <c r="E513" s="14" t="s">
        <v>134</v>
      </c>
      <c r="F513" s="14" t="s">
        <v>94</v>
      </c>
      <c r="G513" s="14" t="s">
        <v>72</v>
      </c>
      <c r="H513" s="14">
        <v>1</v>
      </c>
      <c r="I513" s="14">
        <v>209440</v>
      </c>
      <c r="J513" s="14">
        <v>10</v>
      </c>
      <c r="K513" s="14">
        <v>188496</v>
      </c>
      <c r="L513" s="14" t="s">
        <v>95</v>
      </c>
      <c r="M513" s="14" t="s">
        <v>3980</v>
      </c>
      <c r="N513" s="14" t="s">
        <v>2346</v>
      </c>
      <c r="O513" s="14" t="str">
        <f>IFERROR(INDEX(Cleaned_Products!$C$2:$C$61,MATCH(F513,Cleaned_Products!$A$2:$A$61,0)),"Unknown")</f>
        <v>Nose Pins</v>
      </c>
      <c r="P513" s="14" t="str">
        <f>IFERROR(INDEX(Cleaned_Products!$D$2:$D$61,MATCH(F513,Cleaned_Products!$A$2:$A$61,0)),"Unknown")</f>
        <v>Rose Gold</v>
      </c>
    </row>
    <row r="514" spans="1:16" x14ac:dyDescent="0.35">
      <c r="A514" s="14" t="s">
        <v>2353</v>
      </c>
      <c r="B514" s="21">
        <v>45068</v>
      </c>
      <c r="C514" s="14" t="s">
        <v>3973</v>
      </c>
      <c r="D514" s="14">
        <v>2023</v>
      </c>
      <c r="E514" s="14" t="s">
        <v>99</v>
      </c>
      <c r="F514" s="14" t="s">
        <v>163</v>
      </c>
      <c r="G514" s="14" t="s">
        <v>72</v>
      </c>
      <c r="H514" s="14">
        <v>1</v>
      </c>
      <c r="I514" s="14">
        <v>83950</v>
      </c>
      <c r="J514" s="14">
        <v>0</v>
      </c>
      <c r="K514" s="14">
        <v>83950</v>
      </c>
      <c r="L514" s="14" t="s">
        <v>73</v>
      </c>
      <c r="M514" s="14" t="s">
        <v>3975</v>
      </c>
      <c r="N514" s="14" t="s">
        <v>2356</v>
      </c>
      <c r="O514" s="14" t="str">
        <f>IFERROR(INDEX(Cleaned_Products!$C$2:$C$61,MATCH(F514,Cleaned_Products!$A$2:$A$61,0)),"Unknown")</f>
        <v>Earrings</v>
      </c>
      <c r="P514" s="14" t="str">
        <f>IFERROR(INDEX(Cleaned_Products!$D$2:$D$61,MATCH(F514,Cleaned_Products!$A$2:$A$61,0)),"Unknown")</f>
        <v>Diamond</v>
      </c>
    </row>
    <row r="515" spans="1:16" x14ac:dyDescent="0.35">
      <c r="A515" s="14" t="s">
        <v>2357</v>
      </c>
      <c r="B515" s="21">
        <v>45275</v>
      </c>
      <c r="C515" s="14" t="s">
        <v>4008</v>
      </c>
      <c r="D515" s="14">
        <v>2023</v>
      </c>
      <c r="E515" s="14" t="s">
        <v>134</v>
      </c>
      <c r="F515" s="14" t="s">
        <v>259</v>
      </c>
      <c r="G515" s="14" t="s">
        <v>126</v>
      </c>
      <c r="H515" s="14">
        <v>1</v>
      </c>
      <c r="I515" s="14">
        <v>194830</v>
      </c>
      <c r="J515" s="14">
        <v>0</v>
      </c>
      <c r="K515" s="14">
        <v>194830</v>
      </c>
      <c r="L515" s="14" t="s">
        <v>73</v>
      </c>
      <c r="M515" s="14" t="s">
        <v>3980</v>
      </c>
      <c r="N515" s="14" t="s">
        <v>2359</v>
      </c>
      <c r="O515" s="14" t="str">
        <f>IFERROR(INDEX(Cleaned_Products!$C$2:$C$61,MATCH(F515,Cleaned_Products!$A$2:$A$61,0)),"Unknown")</f>
        <v>Pendants</v>
      </c>
      <c r="P515" s="14" t="str">
        <f>IFERROR(INDEX(Cleaned_Products!$D$2:$D$61,MATCH(F515,Cleaned_Products!$A$2:$A$61,0)),"Unknown")</f>
        <v>Platinum</v>
      </c>
    </row>
    <row r="516" spans="1:16" x14ac:dyDescent="0.35">
      <c r="A516" s="14" t="s">
        <v>2360</v>
      </c>
      <c r="B516" s="21">
        <v>45405</v>
      </c>
      <c r="C516" s="14" t="s">
        <v>4000</v>
      </c>
      <c r="D516" s="14">
        <v>2024</v>
      </c>
      <c r="E516" s="14" t="s">
        <v>534</v>
      </c>
      <c r="F516" s="14" t="s">
        <v>196</v>
      </c>
      <c r="G516" s="14" t="s">
        <v>80</v>
      </c>
      <c r="H516" s="14">
        <v>1</v>
      </c>
      <c r="I516" s="14">
        <v>120900</v>
      </c>
      <c r="J516" s="14">
        <v>10</v>
      </c>
      <c r="K516" s="14">
        <v>108810</v>
      </c>
      <c r="L516" s="14" t="s">
        <v>3977</v>
      </c>
      <c r="M516" s="14" t="s">
        <v>3975</v>
      </c>
      <c r="N516" s="14" t="s">
        <v>2362</v>
      </c>
      <c r="O516" s="14" t="str">
        <f>IFERROR(INDEX(Cleaned_Products!$C$2:$C$61,MATCH(F516,Cleaned_Products!$A$2:$A$61,0)),"Unknown")</f>
        <v>Pendants</v>
      </c>
      <c r="P516" s="14" t="str">
        <f>IFERROR(INDEX(Cleaned_Products!$D$2:$D$61,MATCH(F516,Cleaned_Products!$A$2:$A$61,0)),"Unknown")</f>
        <v>Diamond</v>
      </c>
    </row>
    <row r="517" spans="1:16" x14ac:dyDescent="0.35">
      <c r="A517" s="14" t="s">
        <v>2363</v>
      </c>
      <c r="B517" s="21">
        <v>45637</v>
      </c>
      <c r="C517" s="14" t="s">
        <v>3986</v>
      </c>
      <c r="D517" s="14">
        <v>2024</v>
      </c>
      <c r="E517" s="14" t="s">
        <v>234</v>
      </c>
      <c r="F517" s="14" t="s">
        <v>100</v>
      </c>
      <c r="G517" s="14" t="s">
        <v>101</v>
      </c>
      <c r="H517" s="14">
        <v>2</v>
      </c>
      <c r="I517" s="14">
        <v>132680</v>
      </c>
      <c r="J517" s="14">
        <v>5</v>
      </c>
      <c r="K517" s="14">
        <v>252092</v>
      </c>
      <c r="L517" s="14" t="s">
        <v>95</v>
      </c>
      <c r="M517" s="14" t="s">
        <v>3980</v>
      </c>
      <c r="N517" s="14" t="s">
        <v>2365</v>
      </c>
      <c r="O517" s="14" t="str">
        <f>IFERROR(INDEX(Cleaned_Products!$C$2:$C$61,MATCH(F517,Cleaned_Products!$A$2:$A$61,0)),"Unknown")</f>
        <v>Nose Pins</v>
      </c>
      <c r="P517" s="14" t="str">
        <f>IFERROR(INDEX(Cleaned_Products!$D$2:$D$61,MATCH(F517,Cleaned_Products!$A$2:$A$61,0)),"Unknown")</f>
        <v>Diamond</v>
      </c>
    </row>
    <row r="518" spans="1:16" x14ac:dyDescent="0.35">
      <c r="A518" s="14" t="s">
        <v>2366</v>
      </c>
      <c r="B518" s="21">
        <v>44995</v>
      </c>
      <c r="C518" s="14" t="s">
        <v>3982</v>
      </c>
      <c r="D518" s="14">
        <v>2023</v>
      </c>
      <c r="E518" s="14" t="s">
        <v>411</v>
      </c>
      <c r="F518" s="14" t="s">
        <v>736</v>
      </c>
      <c r="G518" s="14" t="s">
        <v>64</v>
      </c>
      <c r="H518" s="14">
        <v>1</v>
      </c>
      <c r="I518" s="14">
        <v>179280</v>
      </c>
      <c r="J518" s="14">
        <v>5</v>
      </c>
      <c r="K518" s="14">
        <v>170316</v>
      </c>
      <c r="L518" s="14" t="s">
        <v>3977</v>
      </c>
      <c r="M518" s="14" t="s">
        <v>3975</v>
      </c>
      <c r="N518" s="14" t="s">
        <v>2368</v>
      </c>
      <c r="O518" s="14" t="str">
        <f>IFERROR(INDEX(Cleaned_Products!$C$2:$C$61,MATCH(F518,Cleaned_Products!$A$2:$A$61,0)),"Unknown")</f>
        <v>Rings</v>
      </c>
      <c r="P518" s="14" t="str">
        <f>IFERROR(INDEX(Cleaned_Products!$D$2:$D$61,MATCH(F518,Cleaned_Products!$A$2:$A$61,0)),"Unknown")</f>
        <v>Silver</v>
      </c>
    </row>
    <row r="519" spans="1:16" x14ac:dyDescent="0.35">
      <c r="A519" s="14" t="s">
        <v>2369</v>
      </c>
      <c r="B519" s="21">
        <v>45042</v>
      </c>
      <c r="C519" s="14" t="s">
        <v>4010</v>
      </c>
      <c r="D519" s="14">
        <v>2023</v>
      </c>
      <c r="E519" s="14" t="s">
        <v>1240</v>
      </c>
      <c r="F519" s="14" t="s">
        <v>216</v>
      </c>
      <c r="G519" s="14" t="s">
        <v>80</v>
      </c>
      <c r="H519" s="14">
        <v>1</v>
      </c>
      <c r="I519" s="14">
        <v>183630</v>
      </c>
      <c r="J519" s="14">
        <v>15</v>
      </c>
      <c r="K519" s="14">
        <v>156085.5</v>
      </c>
      <c r="L519" s="14" t="s">
        <v>3974</v>
      </c>
      <c r="M519" s="14" t="s">
        <v>3980</v>
      </c>
      <c r="N519" s="14" t="s">
        <v>3983</v>
      </c>
      <c r="O519" s="14" t="str">
        <f>IFERROR(INDEX(Cleaned_Products!$C$2:$C$61,MATCH(F519,Cleaned_Products!$A$2:$A$61,0)),"Unknown")</f>
        <v>Bracelets</v>
      </c>
      <c r="P519" s="14" t="str">
        <f>IFERROR(INDEX(Cleaned_Products!$D$2:$D$61,MATCH(F519,Cleaned_Products!$A$2:$A$61,0)),"Unknown")</f>
        <v>Silver</v>
      </c>
    </row>
    <row r="520" spans="1:16" x14ac:dyDescent="0.35">
      <c r="A520" s="14" t="s">
        <v>2371</v>
      </c>
      <c r="B520" s="21">
        <v>44967</v>
      </c>
      <c r="C520" s="14" t="s">
        <v>4001</v>
      </c>
      <c r="D520" s="14">
        <v>2023</v>
      </c>
      <c r="E520" s="14" t="s">
        <v>597</v>
      </c>
      <c r="F520" s="14" t="s">
        <v>255</v>
      </c>
      <c r="G520" s="14" t="s">
        <v>56</v>
      </c>
      <c r="H520" s="14">
        <v>1</v>
      </c>
      <c r="I520" s="14">
        <v>187670</v>
      </c>
      <c r="J520" s="14">
        <v>10</v>
      </c>
      <c r="K520" s="14">
        <v>168903</v>
      </c>
      <c r="L520" s="14" t="s">
        <v>3979</v>
      </c>
      <c r="M520" s="14" t="s">
        <v>3980</v>
      </c>
      <c r="N520" s="14" t="s">
        <v>2372</v>
      </c>
      <c r="O520" s="14" t="str">
        <f>IFERROR(INDEX(Cleaned_Products!$C$2:$C$61,MATCH(F520,Cleaned_Products!$A$2:$A$61,0)),"Unknown")</f>
        <v>Bracelets</v>
      </c>
      <c r="P520" s="14" t="str">
        <f>IFERROR(INDEX(Cleaned_Products!$D$2:$D$61,MATCH(F520,Cleaned_Products!$A$2:$A$61,0)),"Unknown")</f>
        <v>Rose Gold</v>
      </c>
    </row>
    <row r="521" spans="1:16" x14ac:dyDescent="0.35">
      <c r="A521" s="14" t="s">
        <v>2373</v>
      </c>
      <c r="B521" s="21">
        <v>44963</v>
      </c>
      <c r="C521" s="14" t="s">
        <v>4001</v>
      </c>
      <c r="D521" s="14">
        <v>2023</v>
      </c>
      <c r="E521" s="14" t="s">
        <v>277</v>
      </c>
      <c r="F521" s="14" t="s">
        <v>207</v>
      </c>
      <c r="G521" s="14" t="s">
        <v>80</v>
      </c>
      <c r="H521" s="14">
        <v>2</v>
      </c>
      <c r="I521" s="14">
        <v>13360</v>
      </c>
      <c r="J521" s="14">
        <v>0</v>
      </c>
      <c r="K521" s="14">
        <v>26720</v>
      </c>
      <c r="L521" s="14" t="s">
        <v>73</v>
      </c>
      <c r="M521" s="14" t="s">
        <v>3980</v>
      </c>
      <c r="N521" s="14" t="s">
        <v>2375</v>
      </c>
      <c r="O521" s="14" t="str">
        <f>IFERROR(INDEX(Cleaned_Products!$C$2:$C$61,MATCH(F521,Cleaned_Products!$A$2:$A$61,0)),"Unknown")</f>
        <v>Anklets</v>
      </c>
      <c r="P521" s="14" t="str">
        <f>IFERROR(INDEX(Cleaned_Products!$D$2:$D$61,MATCH(F521,Cleaned_Products!$A$2:$A$61,0)),"Unknown")</f>
        <v>Silver</v>
      </c>
    </row>
    <row r="522" spans="1:16" x14ac:dyDescent="0.35">
      <c r="A522" s="14" t="s">
        <v>2376</v>
      </c>
      <c r="B522" s="21">
        <v>45603</v>
      </c>
      <c r="C522" s="14" t="s">
        <v>3976</v>
      </c>
      <c r="D522" s="14">
        <v>2024</v>
      </c>
      <c r="E522" s="14" t="s">
        <v>2377</v>
      </c>
      <c r="F522" s="14" t="s">
        <v>240</v>
      </c>
      <c r="G522" s="14" t="s">
        <v>72</v>
      </c>
      <c r="H522" s="14">
        <v>1</v>
      </c>
      <c r="I522" s="14">
        <v>159130</v>
      </c>
      <c r="J522" s="14">
        <v>0</v>
      </c>
      <c r="K522" s="14">
        <v>159130</v>
      </c>
      <c r="L522" s="14" t="s">
        <v>73</v>
      </c>
      <c r="M522" s="14" t="s">
        <v>3980</v>
      </c>
      <c r="N522" s="14" t="s">
        <v>3983</v>
      </c>
      <c r="O522" s="14" t="str">
        <f>IFERROR(INDEX(Cleaned_Products!$C$2:$C$61,MATCH(F522,Cleaned_Products!$A$2:$A$61,0)),"Unknown")</f>
        <v>Bangles</v>
      </c>
      <c r="P522" s="14" t="str">
        <f>IFERROR(INDEX(Cleaned_Products!$D$2:$D$61,MATCH(F522,Cleaned_Products!$A$2:$A$61,0)),"Unknown")</f>
        <v>Platinum</v>
      </c>
    </row>
    <row r="523" spans="1:16" x14ac:dyDescent="0.35">
      <c r="A523" s="14" t="s">
        <v>2378</v>
      </c>
      <c r="B523" s="21">
        <v>45051</v>
      </c>
      <c r="C523" s="14" t="s">
        <v>3973</v>
      </c>
      <c r="D523" s="14">
        <v>2023</v>
      </c>
      <c r="E523" s="14" t="s">
        <v>703</v>
      </c>
      <c r="F523" s="14" t="s">
        <v>94</v>
      </c>
      <c r="G523" s="14" t="s">
        <v>64</v>
      </c>
      <c r="H523" s="14">
        <v>3</v>
      </c>
      <c r="I523" s="14">
        <v>131250</v>
      </c>
      <c r="J523" s="14">
        <v>10</v>
      </c>
      <c r="K523" s="14">
        <v>354375</v>
      </c>
      <c r="L523" s="14" t="s">
        <v>3979</v>
      </c>
      <c r="M523" s="14" t="s">
        <v>3975</v>
      </c>
      <c r="N523" s="14" t="s">
        <v>2381</v>
      </c>
      <c r="O523" s="14" t="str">
        <f>IFERROR(INDEX(Cleaned_Products!$C$2:$C$61,MATCH(F523,Cleaned_Products!$A$2:$A$61,0)),"Unknown")</f>
        <v>Nose Pins</v>
      </c>
      <c r="P523" s="14" t="str">
        <f>IFERROR(INDEX(Cleaned_Products!$D$2:$D$61,MATCH(F523,Cleaned_Products!$A$2:$A$61,0)),"Unknown")</f>
        <v>Rose Gold</v>
      </c>
    </row>
    <row r="524" spans="1:16" x14ac:dyDescent="0.35">
      <c r="A524" s="14" t="s">
        <v>2385</v>
      </c>
      <c r="B524" s="21">
        <v>45248</v>
      </c>
      <c r="C524" s="14" t="s">
        <v>3978</v>
      </c>
      <c r="D524" s="14">
        <v>2023</v>
      </c>
      <c r="E524" s="14" t="s">
        <v>254</v>
      </c>
      <c r="F524" s="14" t="s">
        <v>63</v>
      </c>
      <c r="G524" s="14" t="s">
        <v>72</v>
      </c>
      <c r="H524" s="14">
        <v>1</v>
      </c>
      <c r="I524" s="14">
        <v>145700</v>
      </c>
      <c r="J524" s="14">
        <v>10</v>
      </c>
      <c r="K524" s="14">
        <v>131130</v>
      </c>
      <c r="L524" s="14" t="s">
        <v>121</v>
      </c>
      <c r="M524" s="14" t="s">
        <v>3980</v>
      </c>
      <c r="N524" s="14" t="s">
        <v>3983</v>
      </c>
      <c r="O524" s="14" t="str">
        <f>IFERROR(INDEX(Cleaned_Products!$C$2:$C$61,MATCH(F524,Cleaned_Products!$A$2:$A$61,0)),"Unknown")</f>
        <v>Anklets</v>
      </c>
      <c r="P524" s="14" t="str">
        <f>IFERROR(INDEX(Cleaned_Products!$D$2:$D$61,MATCH(F524,Cleaned_Products!$A$2:$A$61,0)),"Unknown")</f>
        <v>Diamond</v>
      </c>
    </row>
    <row r="525" spans="1:16" x14ac:dyDescent="0.35">
      <c r="A525" s="14" t="s">
        <v>2386</v>
      </c>
      <c r="B525" s="21">
        <v>45295</v>
      </c>
      <c r="C525" s="14" t="s">
        <v>3993</v>
      </c>
      <c r="D525" s="14">
        <v>2024</v>
      </c>
      <c r="E525" s="14" t="s">
        <v>306</v>
      </c>
      <c r="F525" s="14" t="s">
        <v>196</v>
      </c>
      <c r="G525" s="14" t="s">
        <v>56</v>
      </c>
      <c r="H525" s="14">
        <v>3</v>
      </c>
      <c r="I525" s="14">
        <v>8880</v>
      </c>
      <c r="J525" s="14">
        <v>10</v>
      </c>
      <c r="K525" s="14">
        <v>23976</v>
      </c>
      <c r="L525" s="14" t="s">
        <v>95</v>
      </c>
      <c r="M525" s="14" t="s">
        <v>3975</v>
      </c>
      <c r="N525" s="14" t="s">
        <v>2389</v>
      </c>
      <c r="O525" s="14" t="str">
        <f>IFERROR(INDEX(Cleaned_Products!$C$2:$C$61,MATCH(F525,Cleaned_Products!$A$2:$A$61,0)),"Unknown")</f>
        <v>Pendants</v>
      </c>
      <c r="P525" s="14" t="str">
        <f>IFERROR(INDEX(Cleaned_Products!$D$2:$D$61,MATCH(F525,Cleaned_Products!$A$2:$A$61,0)),"Unknown")</f>
        <v>Diamond</v>
      </c>
    </row>
    <row r="526" spans="1:16" x14ac:dyDescent="0.35">
      <c r="A526" s="14" t="s">
        <v>2390</v>
      </c>
      <c r="B526" s="21">
        <v>45827</v>
      </c>
      <c r="C526" s="14" t="s">
        <v>3997</v>
      </c>
      <c r="D526" s="14">
        <v>2025</v>
      </c>
      <c r="E526" s="14" t="s">
        <v>1584</v>
      </c>
      <c r="F526" s="14" t="s">
        <v>55</v>
      </c>
      <c r="G526" s="14" t="s">
        <v>126</v>
      </c>
      <c r="H526" s="14">
        <v>1</v>
      </c>
      <c r="I526" s="14">
        <v>197290</v>
      </c>
      <c r="J526" s="14">
        <v>15</v>
      </c>
      <c r="K526" s="14">
        <v>167696.5</v>
      </c>
      <c r="L526" s="14" t="s">
        <v>73</v>
      </c>
      <c r="M526" s="14" t="s">
        <v>3980</v>
      </c>
      <c r="N526" s="14" t="s">
        <v>3983</v>
      </c>
      <c r="O526" s="14" t="str">
        <f>IFERROR(INDEX(Cleaned_Products!$C$2:$C$61,MATCH(F526,Cleaned_Products!$A$2:$A$61,0)),"Unknown")</f>
        <v>Anklets</v>
      </c>
      <c r="P526" s="14" t="str">
        <f>IFERROR(INDEX(Cleaned_Products!$D$2:$D$61,MATCH(F526,Cleaned_Products!$A$2:$A$61,0)),"Unknown")</f>
        <v>Gold</v>
      </c>
    </row>
    <row r="527" spans="1:16" x14ac:dyDescent="0.35">
      <c r="A527" s="14" t="s">
        <v>2393</v>
      </c>
      <c r="B527" s="21">
        <v>45687</v>
      </c>
      <c r="C527" s="14" t="s">
        <v>4005</v>
      </c>
      <c r="D527" s="14">
        <v>2025</v>
      </c>
      <c r="E527" s="14" t="s">
        <v>162</v>
      </c>
      <c r="F527" s="14" t="s">
        <v>55</v>
      </c>
      <c r="G527" s="14" t="s">
        <v>56</v>
      </c>
      <c r="H527" s="14">
        <v>1</v>
      </c>
      <c r="I527" s="14">
        <v>104560</v>
      </c>
      <c r="J527" s="14">
        <v>0</v>
      </c>
      <c r="K527" s="14">
        <v>104560</v>
      </c>
      <c r="L527" s="14" t="s">
        <v>3974</v>
      </c>
      <c r="M527" s="14" t="s">
        <v>3980</v>
      </c>
      <c r="N527" s="14" t="s">
        <v>2396</v>
      </c>
      <c r="O527" s="14" t="str">
        <f>IFERROR(INDEX(Cleaned_Products!$C$2:$C$61,MATCH(F527,Cleaned_Products!$A$2:$A$61,0)),"Unknown")</f>
        <v>Anklets</v>
      </c>
      <c r="P527" s="14" t="str">
        <f>IFERROR(INDEX(Cleaned_Products!$D$2:$D$61,MATCH(F527,Cleaned_Products!$A$2:$A$61,0)),"Unknown")</f>
        <v>Gold</v>
      </c>
    </row>
    <row r="528" spans="1:16" x14ac:dyDescent="0.35">
      <c r="A528" s="14" t="s">
        <v>2397</v>
      </c>
      <c r="B528" s="21">
        <v>45857</v>
      </c>
      <c r="C528" s="14" t="s">
        <v>3991</v>
      </c>
      <c r="D528" s="14">
        <v>2025</v>
      </c>
      <c r="E528" s="14" t="s">
        <v>1240</v>
      </c>
      <c r="F528" s="14" t="s">
        <v>315</v>
      </c>
      <c r="G528" s="14" t="s">
        <v>126</v>
      </c>
      <c r="H528" s="14">
        <v>1</v>
      </c>
      <c r="I528" s="14">
        <v>112700</v>
      </c>
      <c r="J528" s="14">
        <v>15</v>
      </c>
      <c r="K528" s="14">
        <v>95795</v>
      </c>
      <c r="L528" s="14" t="s">
        <v>121</v>
      </c>
      <c r="M528" s="14" t="s">
        <v>3980</v>
      </c>
      <c r="N528" s="14" t="s">
        <v>2398</v>
      </c>
      <c r="O528" s="14" t="str">
        <f>IFERROR(INDEX(Cleaned_Products!$C$2:$C$61,MATCH(F528,Cleaned_Products!$A$2:$A$61,0)),"Unknown")</f>
        <v>Bracelets</v>
      </c>
      <c r="P528" s="14" t="str">
        <f>IFERROR(INDEX(Cleaned_Products!$D$2:$D$61,MATCH(F528,Cleaned_Products!$A$2:$A$61,0)),"Unknown")</f>
        <v>Rose Gold</v>
      </c>
    </row>
    <row r="529" spans="1:16" x14ac:dyDescent="0.35">
      <c r="A529" s="14" t="s">
        <v>2402</v>
      </c>
      <c r="B529" s="21">
        <v>45242</v>
      </c>
      <c r="C529" s="14" t="s">
        <v>3978</v>
      </c>
      <c r="D529" s="14">
        <v>2023</v>
      </c>
      <c r="E529" s="14" t="s">
        <v>477</v>
      </c>
      <c r="F529" s="14" t="s">
        <v>231</v>
      </c>
      <c r="G529" s="14" t="s">
        <v>113</v>
      </c>
      <c r="H529" s="14">
        <v>1</v>
      </c>
      <c r="I529" s="14">
        <v>194010</v>
      </c>
      <c r="J529" s="14">
        <v>10</v>
      </c>
      <c r="K529" s="14">
        <v>174609</v>
      </c>
      <c r="L529" s="14" t="s">
        <v>3977</v>
      </c>
      <c r="M529" s="14" t="s">
        <v>3980</v>
      </c>
      <c r="N529" s="14" t="s">
        <v>3983</v>
      </c>
      <c r="O529" s="14" t="str">
        <f>IFERROR(INDEX(Cleaned_Products!$C$2:$C$61,MATCH(F529,Cleaned_Products!$A$2:$A$61,0)),"Unknown")</f>
        <v>Nose Pins</v>
      </c>
      <c r="P529" s="14" t="str">
        <f>IFERROR(INDEX(Cleaned_Products!$D$2:$D$61,MATCH(F529,Cleaned_Products!$A$2:$A$61,0)),"Unknown")</f>
        <v>Platinum</v>
      </c>
    </row>
    <row r="530" spans="1:16" x14ac:dyDescent="0.35">
      <c r="A530" s="14" t="s">
        <v>2404</v>
      </c>
      <c r="B530" s="21">
        <v>45408</v>
      </c>
      <c r="C530" s="14" t="s">
        <v>4000</v>
      </c>
      <c r="D530" s="14">
        <v>2024</v>
      </c>
      <c r="E530" s="14" t="s">
        <v>1058</v>
      </c>
      <c r="F530" s="14" t="s">
        <v>255</v>
      </c>
      <c r="G530" s="14" t="s">
        <v>56</v>
      </c>
      <c r="H530" s="14">
        <v>3</v>
      </c>
      <c r="I530" s="14">
        <v>100450</v>
      </c>
      <c r="J530" s="14">
        <v>10</v>
      </c>
      <c r="K530" s="14">
        <v>271215</v>
      </c>
      <c r="L530" s="14" t="s">
        <v>3977</v>
      </c>
      <c r="M530" s="14" t="s">
        <v>3975</v>
      </c>
      <c r="N530" s="14" t="s">
        <v>2406</v>
      </c>
      <c r="O530" s="14" t="str">
        <f>IFERROR(INDEX(Cleaned_Products!$C$2:$C$61,MATCH(F530,Cleaned_Products!$A$2:$A$61,0)),"Unknown")</f>
        <v>Bracelets</v>
      </c>
      <c r="P530" s="14" t="str">
        <f>IFERROR(INDEX(Cleaned_Products!$D$2:$D$61,MATCH(F530,Cleaned_Products!$A$2:$A$61,0)),"Unknown")</f>
        <v>Rose Gold</v>
      </c>
    </row>
    <row r="531" spans="1:16" x14ac:dyDescent="0.35">
      <c r="A531" s="14" t="s">
        <v>2411</v>
      </c>
      <c r="B531" s="21">
        <v>45846</v>
      </c>
      <c r="C531" s="14" t="s">
        <v>3991</v>
      </c>
      <c r="D531" s="14">
        <v>2025</v>
      </c>
      <c r="E531" s="14" t="s">
        <v>786</v>
      </c>
      <c r="F531" s="14" t="s">
        <v>71</v>
      </c>
      <c r="G531" s="14" t="s">
        <v>72</v>
      </c>
      <c r="H531" s="14">
        <v>1</v>
      </c>
      <c r="I531" s="14">
        <v>76040</v>
      </c>
      <c r="J531" s="14">
        <v>15</v>
      </c>
      <c r="K531" s="14">
        <v>64634</v>
      </c>
      <c r="L531" s="14" t="s">
        <v>3977</v>
      </c>
      <c r="M531" s="14" t="s">
        <v>3975</v>
      </c>
      <c r="N531" s="14" t="s">
        <v>2414</v>
      </c>
      <c r="O531" s="14" t="str">
        <f>IFERROR(INDEX(Cleaned_Products!$C$2:$C$61,MATCH(F531,Cleaned_Products!$A$2:$A$61,0)),"Unknown")</f>
        <v>Bracelets</v>
      </c>
      <c r="P531" s="14" t="str">
        <f>IFERROR(INDEX(Cleaned_Products!$D$2:$D$61,MATCH(F531,Cleaned_Products!$A$2:$A$61,0)),"Unknown")</f>
        <v>Rose Gold</v>
      </c>
    </row>
    <row r="532" spans="1:16" x14ac:dyDescent="0.35">
      <c r="A532" s="14" t="s">
        <v>2415</v>
      </c>
      <c r="B532" s="21">
        <v>45313</v>
      </c>
      <c r="C532" s="14" t="s">
        <v>3993</v>
      </c>
      <c r="D532" s="14">
        <v>2024</v>
      </c>
      <c r="E532" s="14" t="s">
        <v>831</v>
      </c>
      <c r="F532" s="14" t="s">
        <v>163</v>
      </c>
      <c r="G532" s="14" t="s">
        <v>80</v>
      </c>
      <c r="H532" s="14">
        <v>1</v>
      </c>
      <c r="I532" s="14">
        <v>47230</v>
      </c>
      <c r="J532" s="14">
        <v>15</v>
      </c>
      <c r="K532" s="14">
        <v>40145.5</v>
      </c>
      <c r="L532" s="14" t="s">
        <v>95</v>
      </c>
      <c r="M532" s="14" t="s">
        <v>3980</v>
      </c>
      <c r="N532" s="14" t="s">
        <v>2417</v>
      </c>
      <c r="O532" s="14" t="str">
        <f>IFERROR(INDEX(Cleaned_Products!$C$2:$C$61,MATCH(F532,Cleaned_Products!$A$2:$A$61,0)),"Unknown")</f>
        <v>Earrings</v>
      </c>
      <c r="P532" s="14" t="str">
        <f>IFERROR(INDEX(Cleaned_Products!$D$2:$D$61,MATCH(F532,Cleaned_Products!$A$2:$A$61,0)),"Unknown")</f>
        <v>Diamond</v>
      </c>
    </row>
    <row r="533" spans="1:16" x14ac:dyDescent="0.35">
      <c r="A533" s="14" t="s">
        <v>2418</v>
      </c>
      <c r="B533" s="21">
        <v>45576</v>
      </c>
      <c r="C533" s="14" t="s">
        <v>3981</v>
      </c>
      <c r="D533" s="14">
        <v>2024</v>
      </c>
      <c r="E533" s="14" t="s">
        <v>411</v>
      </c>
      <c r="F533" s="14" t="s">
        <v>1309</v>
      </c>
      <c r="G533" s="14" t="s">
        <v>56</v>
      </c>
      <c r="H533" s="14">
        <v>1</v>
      </c>
      <c r="I533" s="14">
        <v>67090</v>
      </c>
      <c r="J533" s="14">
        <v>0</v>
      </c>
      <c r="K533" s="14">
        <v>67090</v>
      </c>
      <c r="L533" s="14" t="s">
        <v>121</v>
      </c>
      <c r="M533" s="14" t="s">
        <v>3980</v>
      </c>
      <c r="N533" s="14" t="s">
        <v>3983</v>
      </c>
      <c r="O533" s="14" t="str">
        <f>IFERROR(INDEX(Cleaned_Products!$C$2:$C$61,MATCH(F533,Cleaned_Products!$A$2:$A$61,0)),"Unknown")</f>
        <v>Rings</v>
      </c>
      <c r="P533" s="14" t="str">
        <f>IFERROR(INDEX(Cleaned_Products!$D$2:$D$61,MATCH(F533,Cleaned_Products!$A$2:$A$61,0)),"Unknown")</f>
        <v>Platinum</v>
      </c>
    </row>
    <row r="534" spans="1:16" x14ac:dyDescent="0.35">
      <c r="A534" s="14" t="s">
        <v>2420</v>
      </c>
      <c r="B534" s="21">
        <v>45167</v>
      </c>
      <c r="C534" s="14" t="s">
        <v>3998</v>
      </c>
      <c r="D534" s="14">
        <v>2023</v>
      </c>
      <c r="E534" s="14" t="s">
        <v>1244</v>
      </c>
      <c r="F534" s="14" t="s">
        <v>948</v>
      </c>
      <c r="G534" s="14" t="s">
        <v>113</v>
      </c>
      <c r="H534" s="14">
        <v>1</v>
      </c>
      <c r="I534" s="14">
        <v>218890</v>
      </c>
      <c r="J534" s="14">
        <v>0</v>
      </c>
      <c r="K534" s="14">
        <v>218890</v>
      </c>
      <c r="L534" s="14" t="s">
        <v>95</v>
      </c>
      <c r="M534" s="14" t="s">
        <v>3980</v>
      </c>
      <c r="N534" s="14" t="s">
        <v>3983</v>
      </c>
      <c r="O534" s="14" t="str">
        <f>IFERROR(INDEX(Cleaned_Products!$C$2:$C$61,MATCH(F534,Cleaned_Products!$A$2:$A$61,0)),"Unknown")</f>
        <v>Anklets</v>
      </c>
      <c r="P534" s="14" t="str">
        <f>IFERROR(INDEX(Cleaned_Products!$D$2:$D$61,MATCH(F534,Cleaned_Products!$A$2:$A$61,0)),"Unknown")</f>
        <v>Diamond</v>
      </c>
    </row>
    <row r="535" spans="1:16" x14ac:dyDescent="0.35">
      <c r="A535" s="14" t="s">
        <v>2424</v>
      </c>
      <c r="B535" s="21">
        <v>45273</v>
      </c>
      <c r="C535" s="14" t="s">
        <v>4008</v>
      </c>
      <c r="D535" s="14">
        <v>2023</v>
      </c>
      <c r="E535" s="14" t="s">
        <v>3995</v>
      </c>
      <c r="F535" s="14" t="s">
        <v>550</v>
      </c>
      <c r="G535" s="14" t="s">
        <v>72</v>
      </c>
      <c r="H535" s="14">
        <v>1</v>
      </c>
      <c r="I535" s="14">
        <v>61290</v>
      </c>
      <c r="J535" s="14">
        <v>0</v>
      </c>
      <c r="K535" s="14">
        <v>61290</v>
      </c>
      <c r="L535" s="14" t="s">
        <v>3977</v>
      </c>
      <c r="M535" s="14" t="s">
        <v>3975</v>
      </c>
      <c r="N535" s="14" t="s">
        <v>2425</v>
      </c>
      <c r="O535" s="14" t="str">
        <f>IFERROR(INDEX(Cleaned_Products!$C$2:$C$61,MATCH(F535,Cleaned_Products!$A$2:$A$61,0)),"Unknown")</f>
        <v>Bracelets</v>
      </c>
      <c r="P535" s="14" t="str">
        <f>IFERROR(INDEX(Cleaned_Products!$D$2:$D$61,MATCH(F535,Cleaned_Products!$A$2:$A$61,0)),"Unknown")</f>
        <v>Silver</v>
      </c>
    </row>
    <row r="536" spans="1:16" x14ac:dyDescent="0.35">
      <c r="A536" s="14" t="s">
        <v>2426</v>
      </c>
      <c r="B536" s="21">
        <v>45427</v>
      </c>
      <c r="C536" s="14" t="s">
        <v>4007</v>
      </c>
      <c r="D536" s="14">
        <v>2024</v>
      </c>
      <c r="E536" s="14" t="s">
        <v>87</v>
      </c>
      <c r="F536" s="14" t="s">
        <v>342</v>
      </c>
      <c r="G536" s="14" t="s">
        <v>108</v>
      </c>
      <c r="H536" s="14">
        <v>1</v>
      </c>
      <c r="I536" s="14">
        <v>218120</v>
      </c>
      <c r="J536" s="14">
        <v>15</v>
      </c>
      <c r="K536" s="14">
        <v>185402</v>
      </c>
      <c r="L536" s="14" t="s">
        <v>95</v>
      </c>
      <c r="M536" s="14" t="s">
        <v>3975</v>
      </c>
      <c r="N536" s="14" t="s">
        <v>2428</v>
      </c>
      <c r="O536" s="14" t="str">
        <f>IFERROR(INDEX(Cleaned_Products!$C$2:$C$61,MATCH(F536,Cleaned_Products!$A$2:$A$61,0)),"Unknown")</f>
        <v>Necklaces</v>
      </c>
      <c r="P536" s="14" t="str">
        <f>IFERROR(INDEX(Cleaned_Products!$D$2:$D$61,MATCH(F536,Cleaned_Products!$A$2:$A$61,0)),"Unknown")</f>
        <v>Diamond</v>
      </c>
    </row>
    <row r="537" spans="1:16" x14ac:dyDescent="0.35">
      <c r="A537" s="14" t="s">
        <v>2429</v>
      </c>
      <c r="B537" s="21">
        <v>45264</v>
      </c>
      <c r="C537" s="14" t="s">
        <v>4008</v>
      </c>
      <c r="D537" s="14">
        <v>2023</v>
      </c>
      <c r="E537" s="14" t="s">
        <v>1470</v>
      </c>
      <c r="F537" s="14" t="s">
        <v>63</v>
      </c>
      <c r="G537" s="14" t="s">
        <v>108</v>
      </c>
      <c r="H537" s="14">
        <v>2</v>
      </c>
      <c r="I537" s="14">
        <v>96380</v>
      </c>
      <c r="J537" s="14">
        <v>0</v>
      </c>
      <c r="K537" s="14">
        <v>192760</v>
      </c>
      <c r="L537" s="14" t="s">
        <v>3979</v>
      </c>
      <c r="M537" s="14" t="s">
        <v>3980</v>
      </c>
      <c r="N537" s="14" t="s">
        <v>3983</v>
      </c>
      <c r="O537" s="14" t="str">
        <f>IFERROR(INDEX(Cleaned_Products!$C$2:$C$61,MATCH(F537,Cleaned_Products!$A$2:$A$61,0)),"Unknown")</f>
        <v>Anklets</v>
      </c>
      <c r="P537" s="14" t="str">
        <f>IFERROR(INDEX(Cleaned_Products!$D$2:$D$61,MATCH(F537,Cleaned_Products!$A$2:$A$61,0)),"Unknown")</f>
        <v>Diamond</v>
      </c>
    </row>
    <row r="538" spans="1:16" x14ac:dyDescent="0.35">
      <c r="A538" s="14" t="s">
        <v>2431</v>
      </c>
      <c r="B538" s="21">
        <v>45262</v>
      </c>
      <c r="C538" s="14" t="s">
        <v>4008</v>
      </c>
      <c r="D538" s="14">
        <v>2023</v>
      </c>
      <c r="E538" s="14" t="s">
        <v>477</v>
      </c>
      <c r="F538" s="14" t="s">
        <v>107</v>
      </c>
      <c r="G538" s="14" t="s">
        <v>56</v>
      </c>
      <c r="H538" s="14">
        <v>1</v>
      </c>
      <c r="I538" s="14">
        <v>213470</v>
      </c>
      <c r="J538" s="14">
        <v>0</v>
      </c>
      <c r="K538" s="14">
        <v>213470</v>
      </c>
      <c r="L538" s="14" t="s">
        <v>121</v>
      </c>
      <c r="M538" s="14" t="s">
        <v>3975</v>
      </c>
      <c r="N538" s="14" t="s">
        <v>2433</v>
      </c>
      <c r="O538" s="14" t="str">
        <f>IFERROR(INDEX(Cleaned_Products!$C$2:$C$61,MATCH(F538,Cleaned_Products!$A$2:$A$61,0)),"Unknown")</f>
        <v>Earrings</v>
      </c>
      <c r="P538" s="14" t="str">
        <f>IFERROR(INDEX(Cleaned_Products!$D$2:$D$61,MATCH(F538,Cleaned_Products!$A$2:$A$61,0)),"Unknown")</f>
        <v>Platinum</v>
      </c>
    </row>
    <row r="539" spans="1:16" x14ac:dyDescent="0.35">
      <c r="A539" s="14" t="s">
        <v>2436</v>
      </c>
      <c r="B539" s="21">
        <v>45148</v>
      </c>
      <c r="C539" s="14" t="s">
        <v>3998</v>
      </c>
      <c r="D539" s="14">
        <v>2023</v>
      </c>
      <c r="E539" s="14" t="s">
        <v>1321</v>
      </c>
      <c r="F539" s="14" t="s">
        <v>576</v>
      </c>
      <c r="G539" s="14" t="s">
        <v>64</v>
      </c>
      <c r="H539" s="14">
        <v>1</v>
      </c>
      <c r="I539" s="14">
        <v>57960</v>
      </c>
      <c r="J539" s="14">
        <v>5</v>
      </c>
      <c r="K539" s="14">
        <v>55062</v>
      </c>
      <c r="L539" s="14" t="s">
        <v>95</v>
      </c>
      <c r="M539" s="14" t="s">
        <v>3975</v>
      </c>
      <c r="N539" s="14" t="s">
        <v>2438</v>
      </c>
      <c r="O539" s="14" t="str">
        <f>IFERROR(INDEX(Cleaned_Products!$C$2:$C$61,MATCH(F539,Cleaned_Products!$A$2:$A$61,0)),"Unknown")</f>
        <v>Bangles</v>
      </c>
      <c r="P539" s="14" t="str">
        <f>IFERROR(INDEX(Cleaned_Products!$D$2:$D$61,MATCH(F539,Cleaned_Products!$A$2:$A$61,0)),"Unknown")</f>
        <v>Diamond</v>
      </c>
    </row>
    <row r="540" spans="1:16" x14ac:dyDescent="0.35">
      <c r="A540" s="14" t="s">
        <v>2439</v>
      </c>
      <c r="B540" s="21">
        <v>45430</v>
      </c>
      <c r="C540" s="14" t="s">
        <v>4007</v>
      </c>
      <c r="D540" s="14">
        <v>2024</v>
      </c>
      <c r="E540" s="14" t="s">
        <v>106</v>
      </c>
      <c r="F540" s="14" t="s">
        <v>295</v>
      </c>
      <c r="G540" s="14" t="s">
        <v>64</v>
      </c>
      <c r="H540" s="14">
        <v>1</v>
      </c>
      <c r="I540" s="14">
        <v>33330</v>
      </c>
      <c r="J540" s="14">
        <v>0</v>
      </c>
      <c r="K540" s="14">
        <v>33330</v>
      </c>
      <c r="L540" s="14" t="s">
        <v>73</v>
      </c>
      <c r="M540" s="14" t="s">
        <v>3980</v>
      </c>
      <c r="N540" s="14" t="s">
        <v>2441</v>
      </c>
      <c r="O540" s="14" t="str">
        <f>IFERROR(INDEX(Cleaned_Products!$C$2:$C$61,MATCH(F540,Cleaned_Products!$A$2:$A$61,0)),"Unknown")</f>
        <v>Necklaces</v>
      </c>
      <c r="P540" s="14" t="str">
        <f>IFERROR(INDEX(Cleaned_Products!$D$2:$D$61,MATCH(F540,Cleaned_Products!$A$2:$A$61,0)),"Unknown")</f>
        <v>Silver</v>
      </c>
    </row>
    <row r="541" spans="1:16" x14ac:dyDescent="0.35">
      <c r="A541" s="14" t="s">
        <v>2442</v>
      </c>
      <c r="B541" s="21">
        <v>45347</v>
      </c>
      <c r="C541" s="14" t="s">
        <v>3999</v>
      </c>
      <c r="D541" s="14">
        <v>2024</v>
      </c>
      <c r="E541" s="14" t="s">
        <v>54</v>
      </c>
      <c r="F541" s="14" t="s">
        <v>948</v>
      </c>
      <c r="G541" s="14" t="s">
        <v>64</v>
      </c>
      <c r="H541" s="14">
        <v>1</v>
      </c>
      <c r="I541" s="14">
        <v>208590</v>
      </c>
      <c r="J541" s="14">
        <v>10</v>
      </c>
      <c r="K541" s="14">
        <v>187731</v>
      </c>
      <c r="L541" s="14" t="s">
        <v>3979</v>
      </c>
      <c r="M541" s="14" t="s">
        <v>3980</v>
      </c>
      <c r="N541" s="14" t="s">
        <v>2445</v>
      </c>
      <c r="O541" s="14" t="str">
        <f>IFERROR(INDEX(Cleaned_Products!$C$2:$C$61,MATCH(F541,Cleaned_Products!$A$2:$A$61,0)),"Unknown")</f>
        <v>Anklets</v>
      </c>
      <c r="P541" s="14" t="str">
        <f>IFERROR(INDEX(Cleaned_Products!$D$2:$D$61,MATCH(F541,Cleaned_Products!$A$2:$A$61,0)),"Unknown")</f>
        <v>Diamond</v>
      </c>
    </row>
    <row r="542" spans="1:16" x14ac:dyDescent="0.35">
      <c r="A542" s="14" t="s">
        <v>2446</v>
      </c>
      <c r="B542" s="21">
        <v>45015</v>
      </c>
      <c r="C542" s="14" t="s">
        <v>3982</v>
      </c>
      <c r="D542" s="14">
        <v>2023</v>
      </c>
      <c r="E542" s="14" t="s">
        <v>355</v>
      </c>
      <c r="F542" s="14" t="s">
        <v>112</v>
      </c>
      <c r="G542" s="14" t="s">
        <v>101</v>
      </c>
      <c r="H542" s="14">
        <v>3</v>
      </c>
      <c r="I542" s="14">
        <v>231480</v>
      </c>
      <c r="J542" s="14">
        <v>0</v>
      </c>
      <c r="K542" s="14">
        <v>694440</v>
      </c>
      <c r="L542" s="14" t="s">
        <v>95</v>
      </c>
      <c r="M542" s="14" t="s">
        <v>3980</v>
      </c>
      <c r="N542" s="14" t="s">
        <v>2448</v>
      </c>
      <c r="O542" s="14" t="str">
        <f>IFERROR(INDEX(Cleaned_Products!$C$2:$C$61,MATCH(F542,Cleaned_Products!$A$2:$A$61,0)),"Unknown")</f>
        <v>Bangles</v>
      </c>
      <c r="P542" s="14" t="str">
        <f>IFERROR(INDEX(Cleaned_Products!$D$2:$D$61,MATCH(F542,Cleaned_Products!$A$2:$A$61,0)),"Unknown")</f>
        <v>Rose Gold</v>
      </c>
    </row>
    <row r="543" spans="1:16" x14ac:dyDescent="0.35">
      <c r="A543" s="14" t="s">
        <v>2449</v>
      </c>
      <c r="B543" s="21">
        <v>45591</v>
      </c>
      <c r="C543" s="14" t="s">
        <v>3981</v>
      </c>
      <c r="D543" s="14">
        <v>2024</v>
      </c>
      <c r="E543" s="14" t="s">
        <v>129</v>
      </c>
      <c r="F543" s="14" t="s">
        <v>154</v>
      </c>
      <c r="G543" s="14" t="s">
        <v>113</v>
      </c>
      <c r="H543" s="14">
        <v>1</v>
      </c>
      <c r="I543" s="14">
        <v>29510</v>
      </c>
      <c r="J543" s="14">
        <v>0</v>
      </c>
      <c r="K543" s="14">
        <v>29510</v>
      </c>
      <c r="L543" s="14" t="s">
        <v>95</v>
      </c>
      <c r="M543" s="14" t="s">
        <v>3980</v>
      </c>
      <c r="N543" s="14" t="s">
        <v>2450</v>
      </c>
      <c r="O543" s="14" t="str">
        <f>IFERROR(INDEX(Cleaned_Products!$C$2:$C$61,MATCH(F543,Cleaned_Products!$A$2:$A$61,0)),"Unknown")</f>
        <v>Rings</v>
      </c>
      <c r="P543" s="14" t="str">
        <f>IFERROR(INDEX(Cleaned_Products!$D$2:$D$61,MATCH(F543,Cleaned_Products!$A$2:$A$61,0)),"Unknown")</f>
        <v>Silver</v>
      </c>
    </row>
    <row r="544" spans="1:16" x14ac:dyDescent="0.35">
      <c r="A544" s="14" t="s">
        <v>2451</v>
      </c>
      <c r="B544" s="21">
        <v>45871</v>
      </c>
      <c r="C544" s="14" t="s">
        <v>4011</v>
      </c>
      <c r="D544" s="14">
        <v>2025</v>
      </c>
      <c r="E544" s="14" t="s">
        <v>1006</v>
      </c>
      <c r="F544" s="14" t="s">
        <v>79</v>
      </c>
      <c r="G544" s="14" t="s">
        <v>113</v>
      </c>
      <c r="H544" s="14">
        <v>2</v>
      </c>
      <c r="I544" s="14">
        <v>105810</v>
      </c>
      <c r="J544" s="14">
        <v>10</v>
      </c>
      <c r="K544" s="14">
        <v>190458</v>
      </c>
      <c r="L544" s="14" t="s">
        <v>3977</v>
      </c>
      <c r="M544" s="14" t="s">
        <v>3975</v>
      </c>
      <c r="N544" s="14" t="s">
        <v>2453</v>
      </c>
      <c r="O544" s="14" t="str">
        <f>IFERROR(INDEX(Cleaned_Products!$C$2:$C$61,MATCH(F544,Cleaned_Products!$A$2:$A$61,0)),"Unknown")</f>
        <v>Rings</v>
      </c>
      <c r="P544" s="14" t="str">
        <f>IFERROR(INDEX(Cleaned_Products!$D$2:$D$61,MATCH(F544,Cleaned_Products!$A$2:$A$61,0)),"Unknown")</f>
        <v>Rose Gold</v>
      </c>
    </row>
    <row r="545" spans="1:16" x14ac:dyDescent="0.35">
      <c r="A545" s="14" t="s">
        <v>2454</v>
      </c>
      <c r="B545" s="21">
        <v>45644</v>
      </c>
      <c r="C545" s="14" t="s">
        <v>3986</v>
      </c>
      <c r="D545" s="14">
        <v>2024</v>
      </c>
      <c r="E545" s="14" t="s">
        <v>139</v>
      </c>
      <c r="F545" s="14" t="s">
        <v>529</v>
      </c>
      <c r="G545" s="14" t="s">
        <v>72</v>
      </c>
      <c r="H545" s="14">
        <v>3</v>
      </c>
      <c r="I545" s="14">
        <v>13950</v>
      </c>
      <c r="J545" s="14">
        <v>0</v>
      </c>
      <c r="K545" s="14">
        <v>41850</v>
      </c>
      <c r="L545" s="14" t="s">
        <v>73</v>
      </c>
      <c r="M545" s="14" t="s">
        <v>3975</v>
      </c>
      <c r="N545" s="14" t="s">
        <v>2456</v>
      </c>
      <c r="O545" s="14" t="str">
        <f>IFERROR(INDEX(Cleaned_Products!$C$2:$C$61,MATCH(F545,Cleaned_Products!$A$2:$A$61,0)),"Unknown")</f>
        <v>Bangles</v>
      </c>
      <c r="P545" s="14" t="str">
        <f>IFERROR(INDEX(Cleaned_Products!$D$2:$D$61,MATCH(F545,Cleaned_Products!$A$2:$A$61,0)),"Unknown")</f>
        <v>Silver</v>
      </c>
    </row>
    <row r="546" spans="1:16" x14ac:dyDescent="0.35">
      <c r="A546" s="14" t="s">
        <v>2457</v>
      </c>
      <c r="B546" s="21">
        <v>44927</v>
      </c>
      <c r="C546" s="14" t="s">
        <v>3987</v>
      </c>
      <c r="D546" s="14">
        <v>2023</v>
      </c>
      <c r="E546" s="14" t="s">
        <v>674</v>
      </c>
      <c r="F546" s="14" t="s">
        <v>1309</v>
      </c>
      <c r="G546" s="14" t="s">
        <v>72</v>
      </c>
      <c r="H546" s="14">
        <v>3</v>
      </c>
      <c r="I546" s="14">
        <v>168740</v>
      </c>
      <c r="J546" s="14">
        <v>10</v>
      </c>
      <c r="K546" s="14">
        <v>455598</v>
      </c>
      <c r="L546" s="14" t="s">
        <v>95</v>
      </c>
      <c r="M546" s="14" t="s">
        <v>3980</v>
      </c>
      <c r="N546" s="14" t="s">
        <v>2459</v>
      </c>
      <c r="O546" s="14" t="str">
        <f>IFERROR(INDEX(Cleaned_Products!$C$2:$C$61,MATCH(F546,Cleaned_Products!$A$2:$A$61,0)),"Unknown")</f>
        <v>Rings</v>
      </c>
      <c r="P546" s="14" t="str">
        <f>IFERROR(INDEX(Cleaned_Products!$D$2:$D$61,MATCH(F546,Cleaned_Products!$A$2:$A$61,0)),"Unknown")</f>
        <v>Platinum</v>
      </c>
    </row>
    <row r="547" spans="1:16" x14ac:dyDescent="0.35">
      <c r="A547" s="14" t="s">
        <v>2460</v>
      </c>
      <c r="B547" s="21">
        <v>45247</v>
      </c>
      <c r="C547" s="14" t="s">
        <v>3978</v>
      </c>
      <c r="D547" s="14">
        <v>2023</v>
      </c>
      <c r="E547" s="14" t="s">
        <v>621</v>
      </c>
      <c r="F547" s="14" t="s">
        <v>144</v>
      </c>
      <c r="G547" s="14" t="s">
        <v>80</v>
      </c>
      <c r="H547" s="14">
        <v>3</v>
      </c>
      <c r="I547" s="14">
        <v>190990</v>
      </c>
      <c r="J547" s="14">
        <v>0</v>
      </c>
      <c r="K547" s="14">
        <v>572970</v>
      </c>
      <c r="L547" s="14" t="s">
        <v>3979</v>
      </c>
      <c r="M547" s="14" t="s">
        <v>3980</v>
      </c>
      <c r="N547" s="14" t="s">
        <v>3983</v>
      </c>
      <c r="O547" s="14" t="str">
        <f>IFERROR(INDEX(Cleaned_Products!$C$2:$C$61,MATCH(F547,Cleaned_Products!$A$2:$A$61,0)),"Unknown")</f>
        <v>Necklaces</v>
      </c>
      <c r="P547" s="14" t="str">
        <f>IFERROR(INDEX(Cleaned_Products!$D$2:$D$61,MATCH(F547,Cleaned_Products!$A$2:$A$61,0)),"Unknown")</f>
        <v>Gold</v>
      </c>
    </row>
    <row r="548" spans="1:16" x14ac:dyDescent="0.35">
      <c r="A548" s="14" t="s">
        <v>2466</v>
      </c>
      <c r="B548" s="21">
        <v>45171</v>
      </c>
      <c r="C548" s="14" t="s">
        <v>3996</v>
      </c>
      <c r="D548" s="14">
        <v>2023</v>
      </c>
      <c r="E548" s="14" t="s">
        <v>143</v>
      </c>
      <c r="F548" s="14" t="s">
        <v>948</v>
      </c>
      <c r="G548" s="14" t="s">
        <v>72</v>
      </c>
      <c r="H548" s="14">
        <v>2</v>
      </c>
      <c r="I548" s="14">
        <v>102480</v>
      </c>
      <c r="J548" s="14">
        <v>0</v>
      </c>
      <c r="K548" s="14">
        <v>204960</v>
      </c>
      <c r="L548" s="14" t="s">
        <v>3977</v>
      </c>
      <c r="M548" s="14" t="s">
        <v>3980</v>
      </c>
      <c r="N548" s="14" t="s">
        <v>3983</v>
      </c>
      <c r="O548" s="14" t="str">
        <f>IFERROR(INDEX(Cleaned_Products!$C$2:$C$61,MATCH(F548,Cleaned_Products!$A$2:$A$61,0)),"Unknown")</f>
        <v>Anklets</v>
      </c>
      <c r="P548" s="14" t="str">
        <f>IFERROR(INDEX(Cleaned_Products!$D$2:$D$61,MATCH(F548,Cleaned_Products!$A$2:$A$61,0)),"Unknown")</f>
        <v>Diamond</v>
      </c>
    </row>
    <row r="549" spans="1:16" x14ac:dyDescent="0.35">
      <c r="A549" s="14" t="s">
        <v>2468</v>
      </c>
      <c r="B549" s="21">
        <v>45153</v>
      </c>
      <c r="C549" s="14" t="s">
        <v>3998</v>
      </c>
      <c r="D549" s="14">
        <v>2023</v>
      </c>
      <c r="E549" s="14" t="s">
        <v>791</v>
      </c>
      <c r="F549" s="14" t="s">
        <v>684</v>
      </c>
      <c r="G549" s="14" t="s">
        <v>101</v>
      </c>
      <c r="H549" s="14">
        <v>1</v>
      </c>
      <c r="I549" s="14">
        <v>229740</v>
      </c>
      <c r="J549" s="14">
        <v>0</v>
      </c>
      <c r="K549" s="14">
        <v>229740</v>
      </c>
      <c r="L549" s="14" t="s">
        <v>121</v>
      </c>
      <c r="M549" s="14" t="s">
        <v>3975</v>
      </c>
      <c r="N549" s="14" t="s">
        <v>2471</v>
      </c>
      <c r="O549" s="14" t="str">
        <f>IFERROR(INDEX(Cleaned_Products!$C$2:$C$61,MATCH(F549,Cleaned_Products!$A$2:$A$61,0)),"Unknown")</f>
        <v>Nose Pins</v>
      </c>
      <c r="P549" s="14" t="str">
        <f>IFERROR(INDEX(Cleaned_Products!$D$2:$D$61,MATCH(F549,Cleaned_Products!$A$2:$A$61,0)),"Unknown")</f>
        <v>Silver</v>
      </c>
    </row>
    <row r="550" spans="1:16" x14ac:dyDescent="0.35">
      <c r="A550" s="14" t="s">
        <v>2472</v>
      </c>
      <c r="B550" s="21">
        <v>45574</v>
      </c>
      <c r="C550" s="14" t="s">
        <v>3981</v>
      </c>
      <c r="D550" s="14">
        <v>2024</v>
      </c>
      <c r="E550" s="14" t="s">
        <v>831</v>
      </c>
      <c r="F550" s="14" t="s">
        <v>638</v>
      </c>
      <c r="G550" s="14" t="s">
        <v>101</v>
      </c>
      <c r="H550" s="14">
        <v>1</v>
      </c>
      <c r="I550" s="14">
        <v>220390</v>
      </c>
      <c r="J550" s="14">
        <v>0</v>
      </c>
      <c r="K550" s="14">
        <v>220390</v>
      </c>
      <c r="L550" s="14" t="s">
        <v>121</v>
      </c>
      <c r="M550" s="14" t="s">
        <v>3975</v>
      </c>
      <c r="N550" s="14" t="s">
        <v>2475</v>
      </c>
      <c r="O550" s="14" t="str">
        <f>IFERROR(INDEX(Cleaned_Products!$C$2:$C$61,MATCH(F550,Cleaned_Products!$A$2:$A$61,0)),"Unknown")</f>
        <v>Nose Pins</v>
      </c>
      <c r="P550" s="14" t="str">
        <f>IFERROR(INDEX(Cleaned_Products!$D$2:$D$61,MATCH(F550,Cleaned_Products!$A$2:$A$61,0)),"Unknown")</f>
        <v>Diamond</v>
      </c>
    </row>
    <row r="551" spans="1:16" x14ac:dyDescent="0.35">
      <c r="A551" s="14" t="s">
        <v>2479</v>
      </c>
      <c r="B551" s="21">
        <v>45280</v>
      </c>
      <c r="C551" s="14" t="s">
        <v>4008</v>
      </c>
      <c r="D551" s="14">
        <v>2023</v>
      </c>
      <c r="E551" s="14" t="s">
        <v>396</v>
      </c>
      <c r="F551" s="14" t="s">
        <v>249</v>
      </c>
      <c r="G551" s="14" t="s">
        <v>64</v>
      </c>
      <c r="H551" s="14">
        <v>1</v>
      </c>
      <c r="I551" s="14">
        <v>22830</v>
      </c>
      <c r="J551" s="14">
        <v>5</v>
      </c>
      <c r="K551" s="14">
        <v>21688.5</v>
      </c>
      <c r="L551" s="14" t="s">
        <v>95</v>
      </c>
      <c r="M551" s="14" t="s">
        <v>3975</v>
      </c>
      <c r="N551" s="14" t="s">
        <v>2481</v>
      </c>
      <c r="O551" s="14" t="str">
        <f>IFERROR(INDEX(Cleaned_Products!$C$2:$C$61,MATCH(F551,Cleaned_Products!$A$2:$A$61,0)),"Unknown")</f>
        <v>Pendants</v>
      </c>
      <c r="P551" s="14" t="str">
        <f>IFERROR(INDEX(Cleaned_Products!$D$2:$D$61,MATCH(F551,Cleaned_Products!$A$2:$A$61,0)),"Unknown")</f>
        <v>Rose Gold</v>
      </c>
    </row>
    <row r="552" spans="1:16" x14ac:dyDescent="0.35">
      <c r="A552" s="14" t="s">
        <v>2488</v>
      </c>
      <c r="B552" s="21">
        <v>45452</v>
      </c>
      <c r="C552" s="14" t="s">
        <v>3984</v>
      </c>
      <c r="D552" s="14">
        <v>2024</v>
      </c>
      <c r="E552" s="14" t="s">
        <v>389</v>
      </c>
      <c r="F552" s="14" t="s">
        <v>1544</v>
      </c>
      <c r="G552" s="14" t="s">
        <v>113</v>
      </c>
      <c r="H552" s="14">
        <v>1</v>
      </c>
      <c r="I552" s="14">
        <v>107810</v>
      </c>
      <c r="J552" s="14">
        <v>0</v>
      </c>
      <c r="K552" s="14">
        <v>107810</v>
      </c>
      <c r="L552" s="14" t="s">
        <v>3977</v>
      </c>
      <c r="M552" s="14" t="s">
        <v>3975</v>
      </c>
      <c r="N552" s="14" t="s">
        <v>2491</v>
      </c>
      <c r="O552" s="14" t="str">
        <f>IFERROR(INDEX(Cleaned_Products!$C$2:$C$61,MATCH(F552,Cleaned_Products!$A$2:$A$61,0)),"Unknown")</f>
        <v>Bracelets</v>
      </c>
      <c r="P552" s="14" t="str">
        <f>IFERROR(INDEX(Cleaned_Products!$D$2:$D$61,MATCH(F552,Cleaned_Products!$A$2:$A$61,0)),"Unknown")</f>
        <v>Platinum</v>
      </c>
    </row>
    <row r="553" spans="1:16" x14ac:dyDescent="0.35">
      <c r="A553" s="14" t="s">
        <v>2492</v>
      </c>
      <c r="B553" s="21">
        <v>45569</v>
      </c>
      <c r="C553" s="14" t="s">
        <v>3981</v>
      </c>
      <c r="D553" s="14">
        <v>2024</v>
      </c>
      <c r="E553" s="14" t="s">
        <v>2494</v>
      </c>
      <c r="F553" s="14" t="s">
        <v>212</v>
      </c>
      <c r="G553" s="14" t="s">
        <v>113</v>
      </c>
      <c r="H553" s="14">
        <v>1</v>
      </c>
      <c r="I553" s="14">
        <v>137420</v>
      </c>
      <c r="J553" s="14">
        <v>0</v>
      </c>
      <c r="K553" s="14">
        <v>137420</v>
      </c>
      <c r="L553" s="14" t="s">
        <v>121</v>
      </c>
      <c r="M553" s="14" t="s">
        <v>3975</v>
      </c>
      <c r="N553" s="14" t="s">
        <v>2495</v>
      </c>
      <c r="O553" s="14" t="str">
        <f>IFERROR(INDEX(Cleaned_Products!$C$2:$C$61,MATCH(F553,Cleaned_Products!$A$2:$A$61,0)),"Unknown")</f>
        <v>Nose Pins</v>
      </c>
      <c r="P553" s="14" t="str">
        <f>IFERROR(INDEX(Cleaned_Products!$D$2:$D$61,MATCH(F553,Cleaned_Products!$A$2:$A$61,0)),"Unknown")</f>
        <v>Platinum</v>
      </c>
    </row>
    <row r="554" spans="1:16" x14ac:dyDescent="0.35">
      <c r="A554" s="14" t="s">
        <v>2496</v>
      </c>
      <c r="B554" s="21">
        <v>45636</v>
      </c>
      <c r="C554" s="14" t="s">
        <v>3986</v>
      </c>
      <c r="D554" s="14">
        <v>2024</v>
      </c>
      <c r="E554" s="14" t="s">
        <v>573</v>
      </c>
      <c r="F554" s="14" t="s">
        <v>264</v>
      </c>
      <c r="G554" s="14" t="s">
        <v>72</v>
      </c>
      <c r="H554" s="14">
        <v>3</v>
      </c>
      <c r="I554" s="14">
        <v>23600</v>
      </c>
      <c r="J554" s="14">
        <v>0</v>
      </c>
      <c r="K554" s="14">
        <v>70800</v>
      </c>
      <c r="L554" s="14" t="s">
        <v>3977</v>
      </c>
      <c r="M554" s="14" t="s">
        <v>3975</v>
      </c>
      <c r="N554" s="14" t="s">
        <v>2498</v>
      </c>
      <c r="O554" s="14" t="str">
        <f>IFERROR(INDEX(Cleaned_Products!$C$2:$C$61,MATCH(F554,Cleaned_Products!$A$2:$A$61,0)),"Unknown")</f>
        <v>Pendants</v>
      </c>
      <c r="P554" s="14" t="str">
        <f>IFERROR(INDEX(Cleaned_Products!$D$2:$D$61,MATCH(F554,Cleaned_Products!$A$2:$A$61,0)),"Unknown")</f>
        <v>Silver</v>
      </c>
    </row>
    <row r="555" spans="1:16" x14ac:dyDescent="0.35">
      <c r="A555" s="14" t="s">
        <v>2499</v>
      </c>
      <c r="B555" s="21">
        <v>45859</v>
      </c>
      <c r="C555" s="14" t="s">
        <v>3991</v>
      </c>
      <c r="D555" s="14">
        <v>2025</v>
      </c>
      <c r="E555" s="14" t="s">
        <v>444</v>
      </c>
      <c r="F555" s="14" t="s">
        <v>432</v>
      </c>
      <c r="G555" s="14" t="s">
        <v>72</v>
      </c>
      <c r="H555" s="14">
        <v>2</v>
      </c>
      <c r="I555" s="14">
        <v>58990</v>
      </c>
      <c r="J555" s="14">
        <v>0</v>
      </c>
      <c r="K555" s="14">
        <v>117980</v>
      </c>
      <c r="L555" s="14" t="s">
        <v>3979</v>
      </c>
      <c r="M555" s="14" t="s">
        <v>3975</v>
      </c>
      <c r="N555" s="14" t="s">
        <v>2501</v>
      </c>
      <c r="O555" s="14" t="str">
        <f>IFERROR(INDEX(Cleaned_Products!$C$2:$C$61,MATCH(F555,Cleaned_Products!$A$2:$A$61,0)),"Unknown")</f>
        <v>Earrings</v>
      </c>
      <c r="P555" s="14" t="str">
        <f>IFERROR(INDEX(Cleaned_Products!$D$2:$D$61,MATCH(F555,Cleaned_Products!$A$2:$A$61,0)),"Unknown")</f>
        <v>Gold</v>
      </c>
    </row>
    <row r="556" spans="1:16" x14ac:dyDescent="0.35">
      <c r="A556" s="14" t="s">
        <v>2502</v>
      </c>
      <c r="B556" s="21">
        <v>45503</v>
      </c>
      <c r="C556" s="14" t="s">
        <v>4009</v>
      </c>
      <c r="D556" s="14">
        <v>2024</v>
      </c>
      <c r="E556" s="14" t="s">
        <v>753</v>
      </c>
      <c r="F556" s="14" t="s">
        <v>638</v>
      </c>
      <c r="G556" s="14" t="s">
        <v>80</v>
      </c>
      <c r="H556" s="14">
        <v>2</v>
      </c>
      <c r="I556" s="14">
        <v>191500</v>
      </c>
      <c r="J556" s="14">
        <v>0</v>
      </c>
      <c r="K556" s="14">
        <v>383000</v>
      </c>
      <c r="L556" s="14" t="s">
        <v>3979</v>
      </c>
      <c r="M556" s="14" t="s">
        <v>3975</v>
      </c>
      <c r="N556" s="14" t="s">
        <v>2505</v>
      </c>
      <c r="O556" s="14" t="str">
        <f>IFERROR(INDEX(Cleaned_Products!$C$2:$C$61,MATCH(F556,Cleaned_Products!$A$2:$A$61,0)),"Unknown")</f>
        <v>Nose Pins</v>
      </c>
      <c r="P556" s="14" t="str">
        <f>IFERROR(INDEX(Cleaned_Products!$D$2:$D$61,MATCH(F556,Cleaned_Products!$A$2:$A$61,0)),"Unknown")</f>
        <v>Diamond</v>
      </c>
    </row>
    <row r="557" spans="1:16" x14ac:dyDescent="0.35">
      <c r="A557" s="14" t="s">
        <v>2506</v>
      </c>
      <c r="B557" s="21">
        <v>45039</v>
      </c>
      <c r="C557" s="14" t="s">
        <v>4010</v>
      </c>
      <c r="D557" s="14">
        <v>2023</v>
      </c>
      <c r="E557" s="14" t="s">
        <v>314</v>
      </c>
      <c r="F557" s="14" t="s">
        <v>216</v>
      </c>
      <c r="G557" s="14" t="s">
        <v>80</v>
      </c>
      <c r="H557" s="14">
        <v>2</v>
      </c>
      <c r="I557" s="14">
        <v>122610</v>
      </c>
      <c r="J557" s="14">
        <v>0</v>
      </c>
      <c r="K557" s="14">
        <v>245220</v>
      </c>
      <c r="L557" s="14" t="s">
        <v>73</v>
      </c>
      <c r="M557" s="14" t="s">
        <v>3975</v>
      </c>
      <c r="N557" s="14" t="s">
        <v>2509</v>
      </c>
      <c r="O557" s="14" t="str">
        <f>IFERROR(INDEX(Cleaned_Products!$C$2:$C$61,MATCH(F557,Cleaned_Products!$A$2:$A$61,0)),"Unknown")</f>
        <v>Bracelets</v>
      </c>
      <c r="P557" s="14" t="str">
        <f>IFERROR(INDEX(Cleaned_Products!$D$2:$D$61,MATCH(F557,Cleaned_Products!$A$2:$A$61,0)),"Unknown")</f>
        <v>Silver</v>
      </c>
    </row>
    <row r="558" spans="1:16" x14ac:dyDescent="0.35">
      <c r="A558" s="14" t="s">
        <v>2510</v>
      </c>
      <c r="B558" s="21">
        <v>45352</v>
      </c>
      <c r="C558" s="14" t="s">
        <v>3985</v>
      </c>
      <c r="D558" s="14">
        <v>2024</v>
      </c>
      <c r="E558" s="14" t="s">
        <v>524</v>
      </c>
      <c r="F558" s="14" t="s">
        <v>342</v>
      </c>
      <c r="G558" s="14" t="s">
        <v>64</v>
      </c>
      <c r="H558" s="14">
        <v>2</v>
      </c>
      <c r="I558" s="14">
        <v>96320</v>
      </c>
      <c r="J558" s="14">
        <v>0</v>
      </c>
      <c r="K558" s="14">
        <v>192640</v>
      </c>
      <c r="L558" s="14" t="s">
        <v>95</v>
      </c>
      <c r="M558" s="14" t="s">
        <v>3980</v>
      </c>
      <c r="N558" s="14" t="s">
        <v>3983</v>
      </c>
      <c r="O558" s="14" t="str">
        <f>IFERROR(INDEX(Cleaned_Products!$C$2:$C$61,MATCH(F558,Cleaned_Products!$A$2:$A$61,0)),"Unknown")</f>
        <v>Necklaces</v>
      </c>
      <c r="P558" s="14" t="str">
        <f>IFERROR(INDEX(Cleaned_Products!$D$2:$D$61,MATCH(F558,Cleaned_Products!$A$2:$A$61,0)),"Unknown")</f>
        <v>Diamond</v>
      </c>
    </row>
    <row r="559" spans="1:16" x14ac:dyDescent="0.35">
      <c r="A559" s="14" t="s">
        <v>2512</v>
      </c>
      <c r="B559" s="21">
        <v>45569</v>
      </c>
      <c r="C559" s="14" t="s">
        <v>3981</v>
      </c>
      <c r="D559" s="14">
        <v>2024</v>
      </c>
      <c r="E559" s="14" t="s">
        <v>1378</v>
      </c>
      <c r="F559" s="14" t="s">
        <v>196</v>
      </c>
      <c r="G559" s="14" t="s">
        <v>56</v>
      </c>
      <c r="H559" s="14">
        <v>1</v>
      </c>
      <c r="I559" s="14">
        <v>20770</v>
      </c>
      <c r="J559" s="14">
        <v>10</v>
      </c>
      <c r="K559" s="14">
        <v>18693</v>
      </c>
      <c r="L559" s="14" t="s">
        <v>3979</v>
      </c>
      <c r="M559" s="14" t="s">
        <v>3980</v>
      </c>
      <c r="N559" s="14" t="s">
        <v>3983</v>
      </c>
      <c r="O559" s="14" t="str">
        <f>IFERROR(INDEX(Cleaned_Products!$C$2:$C$61,MATCH(F559,Cleaned_Products!$A$2:$A$61,0)),"Unknown")</f>
        <v>Pendants</v>
      </c>
      <c r="P559" s="14" t="str">
        <f>IFERROR(INDEX(Cleaned_Products!$D$2:$D$61,MATCH(F559,Cleaned_Products!$A$2:$A$61,0)),"Unknown")</f>
        <v>Diamond</v>
      </c>
    </row>
    <row r="560" spans="1:16" x14ac:dyDescent="0.35">
      <c r="A560" s="14" t="s">
        <v>2514</v>
      </c>
      <c r="B560" s="21">
        <v>45636</v>
      </c>
      <c r="C560" s="14" t="s">
        <v>3986</v>
      </c>
      <c r="D560" s="14">
        <v>2024</v>
      </c>
      <c r="E560" s="14" t="s">
        <v>753</v>
      </c>
      <c r="F560" s="14" t="s">
        <v>278</v>
      </c>
      <c r="G560" s="14" t="s">
        <v>113</v>
      </c>
      <c r="H560" s="14">
        <v>2</v>
      </c>
      <c r="I560" s="14">
        <v>23140</v>
      </c>
      <c r="J560" s="14">
        <v>5</v>
      </c>
      <c r="K560" s="14">
        <v>43966</v>
      </c>
      <c r="L560" s="14" t="s">
        <v>3977</v>
      </c>
      <c r="M560" s="14" t="s">
        <v>3975</v>
      </c>
      <c r="N560" s="14" t="s">
        <v>2516</v>
      </c>
      <c r="O560" s="14" t="str">
        <f>IFERROR(INDEX(Cleaned_Products!$C$2:$C$61,MATCH(F560,Cleaned_Products!$A$2:$A$61,0)),"Unknown")</f>
        <v>Earrings</v>
      </c>
      <c r="P560" s="14" t="str">
        <f>IFERROR(INDEX(Cleaned_Products!$D$2:$D$61,MATCH(F560,Cleaned_Products!$A$2:$A$61,0)),"Unknown")</f>
        <v>Diamond</v>
      </c>
    </row>
    <row r="561" spans="1:16" x14ac:dyDescent="0.35">
      <c r="A561" s="14" t="s">
        <v>2520</v>
      </c>
      <c r="B561" s="21">
        <v>45256</v>
      </c>
      <c r="C561" s="14" t="s">
        <v>3978</v>
      </c>
      <c r="D561" s="14">
        <v>2023</v>
      </c>
      <c r="E561" s="14" t="s">
        <v>1240</v>
      </c>
      <c r="F561" s="14" t="s">
        <v>310</v>
      </c>
      <c r="G561" s="14" t="s">
        <v>80</v>
      </c>
      <c r="H561" s="14">
        <v>1</v>
      </c>
      <c r="I561" s="14">
        <v>108720</v>
      </c>
      <c r="J561" s="14">
        <v>5</v>
      </c>
      <c r="K561" s="14">
        <v>103284</v>
      </c>
      <c r="L561" s="14" t="s">
        <v>3979</v>
      </c>
      <c r="M561" s="14" t="s">
        <v>3980</v>
      </c>
      <c r="N561" s="14" t="s">
        <v>3983</v>
      </c>
      <c r="O561" s="14" t="str">
        <f>IFERROR(INDEX(Cleaned_Products!$C$2:$C$61,MATCH(F561,Cleaned_Products!$A$2:$A$61,0)),"Unknown")</f>
        <v>Pendants</v>
      </c>
      <c r="P561" s="14" t="str">
        <f>IFERROR(INDEX(Cleaned_Products!$D$2:$D$61,MATCH(F561,Cleaned_Products!$A$2:$A$61,0)),"Unknown")</f>
        <v>Gold</v>
      </c>
    </row>
    <row r="562" spans="1:16" x14ac:dyDescent="0.35">
      <c r="A562" s="14" t="s">
        <v>2523</v>
      </c>
      <c r="B562" s="21">
        <v>45114</v>
      </c>
      <c r="C562" s="14" t="s">
        <v>3988</v>
      </c>
      <c r="D562" s="14">
        <v>2023</v>
      </c>
      <c r="E562" s="14" t="s">
        <v>462</v>
      </c>
      <c r="F562" s="14" t="s">
        <v>948</v>
      </c>
      <c r="G562" s="14" t="s">
        <v>64</v>
      </c>
      <c r="H562" s="14">
        <v>2</v>
      </c>
      <c r="I562" s="14">
        <v>71850</v>
      </c>
      <c r="J562" s="14">
        <v>10</v>
      </c>
      <c r="K562" s="14">
        <v>129330</v>
      </c>
      <c r="L562" s="14" t="s">
        <v>3977</v>
      </c>
      <c r="M562" s="14" t="s">
        <v>3980</v>
      </c>
      <c r="N562" s="14" t="s">
        <v>3983</v>
      </c>
      <c r="O562" s="14" t="str">
        <f>IFERROR(INDEX(Cleaned_Products!$C$2:$C$61,MATCH(F562,Cleaned_Products!$A$2:$A$61,0)),"Unknown")</f>
        <v>Anklets</v>
      </c>
      <c r="P562" s="14" t="str">
        <f>IFERROR(INDEX(Cleaned_Products!$D$2:$D$61,MATCH(F562,Cleaned_Products!$A$2:$A$61,0)),"Unknown")</f>
        <v>Diamond</v>
      </c>
    </row>
    <row r="563" spans="1:16" x14ac:dyDescent="0.35">
      <c r="A563" s="14" t="s">
        <v>2525</v>
      </c>
      <c r="B563" s="21">
        <v>45135</v>
      </c>
      <c r="C563" s="14" t="s">
        <v>3988</v>
      </c>
      <c r="D563" s="14">
        <v>2023</v>
      </c>
      <c r="E563" s="14" t="s">
        <v>1861</v>
      </c>
      <c r="F563" s="14" t="s">
        <v>342</v>
      </c>
      <c r="G563" s="14" t="s">
        <v>64</v>
      </c>
      <c r="H563" s="14">
        <v>1</v>
      </c>
      <c r="I563" s="14">
        <v>230540</v>
      </c>
      <c r="J563" s="14">
        <v>10</v>
      </c>
      <c r="K563" s="14">
        <v>207486</v>
      </c>
      <c r="L563" s="14" t="s">
        <v>3977</v>
      </c>
      <c r="M563" s="14" t="s">
        <v>3975</v>
      </c>
      <c r="N563" s="14" t="s">
        <v>2528</v>
      </c>
      <c r="O563" s="14" t="str">
        <f>IFERROR(INDEX(Cleaned_Products!$C$2:$C$61,MATCH(F563,Cleaned_Products!$A$2:$A$61,0)),"Unknown")</f>
        <v>Necklaces</v>
      </c>
      <c r="P563" s="14" t="str">
        <f>IFERROR(INDEX(Cleaned_Products!$D$2:$D$61,MATCH(F563,Cleaned_Products!$A$2:$A$61,0)),"Unknown")</f>
        <v>Diamond</v>
      </c>
    </row>
    <row r="564" spans="1:16" x14ac:dyDescent="0.35">
      <c r="A564" s="14" t="s">
        <v>2529</v>
      </c>
      <c r="B564" s="21">
        <v>45669</v>
      </c>
      <c r="C564" s="14" t="s">
        <v>4005</v>
      </c>
      <c r="D564" s="14">
        <v>2025</v>
      </c>
      <c r="E564" s="14" t="s">
        <v>678</v>
      </c>
      <c r="F564" s="14" t="s">
        <v>231</v>
      </c>
      <c r="G564" s="14" t="s">
        <v>80</v>
      </c>
      <c r="H564" s="14">
        <v>2</v>
      </c>
      <c r="I564" s="14">
        <v>237960</v>
      </c>
      <c r="J564" s="14">
        <v>10</v>
      </c>
      <c r="K564" s="14">
        <v>428328</v>
      </c>
      <c r="L564" s="14" t="s">
        <v>3977</v>
      </c>
      <c r="M564" s="14" t="s">
        <v>3975</v>
      </c>
      <c r="N564" s="14" t="s">
        <v>2531</v>
      </c>
      <c r="O564" s="14" t="str">
        <f>IFERROR(INDEX(Cleaned_Products!$C$2:$C$61,MATCH(F564,Cleaned_Products!$A$2:$A$61,0)),"Unknown")</f>
        <v>Nose Pins</v>
      </c>
      <c r="P564" s="14" t="str">
        <f>IFERROR(INDEX(Cleaned_Products!$D$2:$D$61,MATCH(F564,Cleaned_Products!$A$2:$A$61,0)),"Unknown")</f>
        <v>Platinum</v>
      </c>
    </row>
    <row r="565" spans="1:16" x14ac:dyDescent="0.35">
      <c r="A565" s="14" t="s">
        <v>2532</v>
      </c>
      <c r="B565" s="21">
        <v>45773</v>
      </c>
      <c r="C565" s="14" t="s">
        <v>4006</v>
      </c>
      <c r="D565" s="14">
        <v>2025</v>
      </c>
      <c r="E565" s="14" t="s">
        <v>211</v>
      </c>
      <c r="F565" s="14" t="s">
        <v>1309</v>
      </c>
      <c r="G565" s="14" t="s">
        <v>108</v>
      </c>
      <c r="H565" s="14">
        <v>1</v>
      </c>
      <c r="I565" s="14">
        <v>135470</v>
      </c>
      <c r="J565" s="14">
        <v>5</v>
      </c>
      <c r="K565" s="14">
        <v>128696.5</v>
      </c>
      <c r="L565" s="14" t="s">
        <v>3979</v>
      </c>
      <c r="M565" s="14" t="s">
        <v>3975</v>
      </c>
      <c r="N565" s="14" t="s">
        <v>2534</v>
      </c>
      <c r="O565" s="14" t="str">
        <f>IFERROR(INDEX(Cleaned_Products!$C$2:$C$61,MATCH(F565,Cleaned_Products!$A$2:$A$61,0)),"Unknown")</f>
        <v>Rings</v>
      </c>
      <c r="P565" s="14" t="str">
        <f>IFERROR(INDEX(Cleaned_Products!$D$2:$D$61,MATCH(F565,Cleaned_Products!$A$2:$A$61,0)),"Unknown")</f>
        <v>Platinum</v>
      </c>
    </row>
    <row r="566" spans="1:16" x14ac:dyDescent="0.35">
      <c r="A566" s="14" t="s">
        <v>2535</v>
      </c>
      <c r="B566" s="21">
        <v>45583</v>
      </c>
      <c r="C566" s="14" t="s">
        <v>3981</v>
      </c>
      <c r="D566" s="14">
        <v>2024</v>
      </c>
      <c r="E566" s="14" t="s">
        <v>1470</v>
      </c>
      <c r="F566" s="14" t="s">
        <v>179</v>
      </c>
      <c r="G566" s="14" t="s">
        <v>113</v>
      </c>
      <c r="H566" s="14">
        <v>1</v>
      </c>
      <c r="I566" s="14">
        <v>112260</v>
      </c>
      <c r="J566" s="14">
        <v>5</v>
      </c>
      <c r="K566" s="14">
        <v>106647</v>
      </c>
      <c r="L566" s="14" t="s">
        <v>3974</v>
      </c>
      <c r="M566" s="14" t="s">
        <v>3975</v>
      </c>
      <c r="N566" s="14" t="s">
        <v>2537</v>
      </c>
      <c r="O566" s="14" t="str">
        <f>IFERROR(INDEX(Cleaned_Products!$C$2:$C$61,MATCH(F566,Cleaned_Products!$A$2:$A$61,0)),"Unknown")</f>
        <v>Bracelets</v>
      </c>
      <c r="P566" s="14" t="str">
        <f>IFERROR(INDEX(Cleaned_Products!$D$2:$D$61,MATCH(F566,Cleaned_Products!$A$2:$A$61,0)),"Unknown")</f>
        <v>Rose Gold</v>
      </c>
    </row>
    <row r="567" spans="1:16" x14ac:dyDescent="0.35">
      <c r="A567" s="14" t="s">
        <v>2538</v>
      </c>
      <c r="B567" s="21">
        <v>45488</v>
      </c>
      <c r="C567" s="14" t="s">
        <v>4009</v>
      </c>
      <c r="D567" s="14">
        <v>2024</v>
      </c>
      <c r="E567" s="14" t="s">
        <v>1305</v>
      </c>
      <c r="F567" s="14" t="s">
        <v>1309</v>
      </c>
      <c r="G567" s="14" t="s">
        <v>64</v>
      </c>
      <c r="H567" s="14">
        <v>3</v>
      </c>
      <c r="I567" s="14">
        <v>94020</v>
      </c>
      <c r="J567" s="14">
        <v>10</v>
      </c>
      <c r="K567" s="14">
        <v>253854</v>
      </c>
      <c r="L567" s="14" t="s">
        <v>3974</v>
      </c>
      <c r="M567" s="14" t="s">
        <v>3975</v>
      </c>
      <c r="N567" s="14" t="s">
        <v>2540</v>
      </c>
      <c r="O567" s="14" t="str">
        <f>IFERROR(INDEX(Cleaned_Products!$C$2:$C$61,MATCH(F567,Cleaned_Products!$A$2:$A$61,0)),"Unknown")</f>
        <v>Rings</v>
      </c>
      <c r="P567" s="14" t="str">
        <f>IFERROR(INDEX(Cleaned_Products!$D$2:$D$61,MATCH(F567,Cleaned_Products!$A$2:$A$61,0)),"Unknown")</f>
        <v>Platinum</v>
      </c>
    </row>
    <row r="568" spans="1:16" x14ac:dyDescent="0.35">
      <c r="A568" s="14" t="s">
        <v>2541</v>
      </c>
      <c r="B568" s="21">
        <v>45018</v>
      </c>
      <c r="C568" s="14" t="s">
        <v>4010</v>
      </c>
      <c r="D568" s="14">
        <v>2023</v>
      </c>
      <c r="E568" s="14" t="s">
        <v>637</v>
      </c>
      <c r="F568" s="14" t="s">
        <v>342</v>
      </c>
      <c r="G568" s="14" t="s">
        <v>72</v>
      </c>
      <c r="H568" s="14">
        <v>1</v>
      </c>
      <c r="I568" s="14">
        <v>20030</v>
      </c>
      <c r="J568" s="14">
        <v>10</v>
      </c>
      <c r="K568" s="14">
        <v>18027</v>
      </c>
      <c r="L568" s="14" t="s">
        <v>3974</v>
      </c>
      <c r="M568" s="14" t="s">
        <v>3980</v>
      </c>
      <c r="N568" s="14" t="s">
        <v>3983</v>
      </c>
      <c r="O568" s="14" t="str">
        <f>IFERROR(INDEX(Cleaned_Products!$C$2:$C$61,MATCH(F568,Cleaned_Products!$A$2:$A$61,0)),"Unknown")</f>
        <v>Necklaces</v>
      </c>
      <c r="P568" s="14" t="str">
        <f>IFERROR(INDEX(Cleaned_Products!$D$2:$D$61,MATCH(F568,Cleaned_Products!$A$2:$A$61,0)),"Unknown")</f>
        <v>Diamond</v>
      </c>
    </row>
    <row r="569" spans="1:16" x14ac:dyDescent="0.35">
      <c r="A569" s="14" t="s">
        <v>2544</v>
      </c>
      <c r="B569" s="21">
        <v>45811</v>
      </c>
      <c r="C569" s="14" t="s">
        <v>3997</v>
      </c>
      <c r="D569" s="14">
        <v>2025</v>
      </c>
      <c r="E569" s="14" t="s">
        <v>562</v>
      </c>
      <c r="F569" s="14" t="s">
        <v>167</v>
      </c>
      <c r="G569" s="14" t="s">
        <v>72</v>
      </c>
      <c r="H569" s="14">
        <v>3</v>
      </c>
      <c r="I569" s="14">
        <v>196120</v>
      </c>
      <c r="J569" s="14">
        <v>0</v>
      </c>
      <c r="K569" s="14">
        <v>588360</v>
      </c>
      <c r="L569" s="14" t="s">
        <v>3979</v>
      </c>
      <c r="M569" s="14" t="s">
        <v>3975</v>
      </c>
      <c r="N569" s="14" t="s">
        <v>2547</v>
      </c>
      <c r="O569" s="14" t="str">
        <f>IFERROR(INDEX(Cleaned_Products!$C$2:$C$61,MATCH(F569,Cleaned_Products!$A$2:$A$61,0)),"Unknown")</f>
        <v>Nose Pins</v>
      </c>
      <c r="P569" s="14" t="str">
        <f>IFERROR(INDEX(Cleaned_Products!$D$2:$D$61,MATCH(F569,Cleaned_Products!$A$2:$A$61,0)),"Unknown")</f>
        <v>Rose Gold</v>
      </c>
    </row>
    <row r="570" spans="1:16" x14ac:dyDescent="0.35">
      <c r="A570" s="14" t="s">
        <v>2551</v>
      </c>
      <c r="B570" s="21">
        <v>45400</v>
      </c>
      <c r="C570" s="14" t="s">
        <v>4000</v>
      </c>
      <c r="D570" s="14">
        <v>2024</v>
      </c>
      <c r="E570" s="14" t="s">
        <v>791</v>
      </c>
      <c r="F570" s="14" t="s">
        <v>458</v>
      </c>
      <c r="G570" s="14" t="s">
        <v>113</v>
      </c>
      <c r="H570" s="14">
        <v>1</v>
      </c>
      <c r="I570" s="14">
        <v>17450</v>
      </c>
      <c r="J570" s="14">
        <v>0</v>
      </c>
      <c r="K570" s="14">
        <v>17450</v>
      </c>
      <c r="L570" s="14" t="s">
        <v>3977</v>
      </c>
      <c r="M570" s="14" t="s">
        <v>3980</v>
      </c>
      <c r="N570" s="14" t="s">
        <v>2553</v>
      </c>
      <c r="O570" s="14" t="str">
        <f>IFERROR(INDEX(Cleaned_Products!$C$2:$C$61,MATCH(F570,Cleaned_Products!$A$2:$A$61,0)),"Unknown")</f>
        <v>Bangles</v>
      </c>
      <c r="P570" s="14" t="str">
        <f>IFERROR(INDEX(Cleaned_Products!$D$2:$D$61,MATCH(F570,Cleaned_Products!$A$2:$A$61,0)),"Unknown")</f>
        <v>Silver</v>
      </c>
    </row>
    <row r="571" spans="1:16" x14ac:dyDescent="0.35">
      <c r="A571" s="14" t="s">
        <v>2554</v>
      </c>
      <c r="B571" s="21">
        <v>45077</v>
      </c>
      <c r="C571" s="14" t="s">
        <v>3973</v>
      </c>
      <c r="D571" s="14">
        <v>2023</v>
      </c>
      <c r="E571" s="14" t="s">
        <v>750</v>
      </c>
      <c r="F571" s="14" t="s">
        <v>1544</v>
      </c>
      <c r="G571" s="14" t="s">
        <v>80</v>
      </c>
      <c r="H571" s="14">
        <v>1</v>
      </c>
      <c r="I571" s="14">
        <v>49330</v>
      </c>
      <c r="J571" s="14">
        <v>0</v>
      </c>
      <c r="K571" s="14">
        <v>49330</v>
      </c>
      <c r="L571" s="14" t="s">
        <v>95</v>
      </c>
      <c r="M571" s="14" t="s">
        <v>3980</v>
      </c>
      <c r="N571" s="14" t="s">
        <v>3983</v>
      </c>
      <c r="O571" s="14" t="str">
        <f>IFERROR(INDEX(Cleaned_Products!$C$2:$C$61,MATCH(F571,Cleaned_Products!$A$2:$A$61,0)),"Unknown")</f>
        <v>Bracelets</v>
      </c>
      <c r="P571" s="14" t="str">
        <f>IFERROR(INDEX(Cleaned_Products!$D$2:$D$61,MATCH(F571,Cleaned_Products!$A$2:$A$61,0)),"Unknown")</f>
        <v>Platinum</v>
      </c>
    </row>
    <row r="572" spans="1:16" x14ac:dyDescent="0.35">
      <c r="A572" s="14" t="s">
        <v>2556</v>
      </c>
      <c r="B572" s="21">
        <v>45626</v>
      </c>
      <c r="C572" s="14" t="s">
        <v>3976</v>
      </c>
      <c r="D572" s="14">
        <v>2024</v>
      </c>
      <c r="E572" s="14" t="s">
        <v>579</v>
      </c>
      <c r="F572" s="14" t="s">
        <v>255</v>
      </c>
      <c r="G572" s="14" t="s">
        <v>56</v>
      </c>
      <c r="H572" s="14">
        <v>3</v>
      </c>
      <c r="I572" s="14">
        <v>104810</v>
      </c>
      <c r="J572" s="14">
        <v>0</v>
      </c>
      <c r="K572" s="14">
        <v>314430</v>
      </c>
      <c r="L572" s="14" t="s">
        <v>95</v>
      </c>
      <c r="M572" s="14" t="s">
        <v>3980</v>
      </c>
      <c r="N572" s="14" t="s">
        <v>3983</v>
      </c>
      <c r="O572" s="14" t="str">
        <f>IFERROR(INDEX(Cleaned_Products!$C$2:$C$61,MATCH(F572,Cleaned_Products!$A$2:$A$61,0)),"Unknown")</f>
        <v>Bracelets</v>
      </c>
      <c r="P572" s="14" t="str">
        <f>IFERROR(INDEX(Cleaned_Products!$D$2:$D$61,MATCH(F572,Cleaned_Products!$A$2:$A$61,0)),"Unknown")</f>
        <v>Rose Gold</v>
      </c>
    </row>
    <row r="573" spans="1:16" x14ac:dyDescent="0.35">
      <c r="A573" s="14" t="s">
        <v>2559</v>
      </c>
      <c r="B573" s="21">
        <v>45481</v>
      </c>
      <c r="C573" s="14" t="s">
        <v>4009</v>
      </c>
      <c r="D573" s="14">
        <v>2024</v>
      </c>
      <c r="E573" s="14" t="s">
        <v>1009</v>
      </c>
      <c r="F573" s="14" t="s">
        <v>163</v>
      </c>
      <c r="G573" s="14" t="s">
        <v>126</v>
      </c>
      <c r="H573" s="14">
        <v>1</v>
      </c>
      <c r="I573" s="14">
        <v>7990</v>
      </c>
      <c r="J573" s="14">
        <v>10</v>
      </c>
      <c r="K573" s="14">
        <v>7191</v>
      </c>
      <c r="L573" s="14" t="s">
        <v>121</v>
      </c>
      <c r="M573" s="14" t="s">
        <v>3980</v>
      </c>
      <c r="N573" s="14" t="s">
        <v>3983</v>
      </c>
      <c r="O573" s="14" t="str">
        <f>IFERROR(INDEX(Cleaned_Products!$C$2:$C$61,MATCH(F573,Cleaned_Products!$A$2:$A$61,0)),"Unknown")</f>
        <v>Earrings</v>
      </c>
      <c r="P573" s="14" t="str">
        <f>IFERROR(INDEX(Cleaned_Products!$D$2:$D$61,MATCH(F573,Cleaned_Products!$A$2:$A$61,0)),"Unknown")</f>
        <v>Diamond</v>
      </c>
    </row>
    <row r="574" spans="1:16" x14ac:dyDescent="0.35">
      <c r="A574" s="14" t="s">
        <v>2562</v>
      </c>
      <c r="B574" s="21">
        <v>45036</v>
      </c>
      <c r="C574" s="14" t="s">
        <v>4010</v>
      </c>
      <c r="D574" s="14">
        <v>2023</v>
      </c>
      <c r="E574" s="14" t="s">
        <v>62</v>
      </c>
      <c r="F574" s="14" t="s">
        <v>520</v>
      </c>
      <c r="G574" s="14" t="s">
        <v>56</v>
      </c>
      <c r="H574" s="14">
        <v>2</v>
      </c>
      <c r="I574" s="14">
        <v>222120</v>
      </c>
      <c r="J574" s="14">
        <v>10</v>
      </c>
      <c r="K574" s="14">
        <v>399816</v>
      </c>
      <c r="L574" s="14" t="s">
        <v>3974</v>
      </c>
      <c r="M574" s="14" t="s">
        <v>3980</v>
      </c>
      <c r="N574" s="14" t="s">
        <v>3983</v>
      </c>
      <c r="O574" s="14" t="str">
        <f>IFERROR(INDEX(Cleaned_Products!$C$2:$C$61,MATCH(F574,Cleaned_Products!$A$2:$A$61,0)),"Unknown")</f>
        <v>Earrings</v>
      </c>
      <c r="P574" s="14">
        <f>IFERROR(INDEX(Cleaned_Products!$D$2:$D$61,MATCH(F574,Cleaned_Products!$A$2:$A$61,0)),"Unknown")</f>
        <v>0</v>
      </c>
    </row>
    <row r="575" spans="1:16" x14ac:dyDescent="0.35">
      <c r="A575" s="14" t="s">
        <v>2570</v>
      </c>
      <c r="B575" s="21">
        <v>45722</v>
      </c>
      <c r="C575" s="14" t="s">
        <v>4002</v>
      </c>
      <c r="D575" s="14">
        <v>2025</v>
      </c>
      <c r="E575" s="14" t="s">
        <v>562</v>
      </c>
      <c r="F575" s="14" t="s">
        <v>472</v>
      </c>
      <c r="G575" s="14" t="s">
        <v>80</v>
      </c>
      <c r="H575" s="14">
        <v>1</v>
      </c>
      <c r="I575" s="14">
        <v>169250</v>
      </c>
      <c r="J575" s="14">
        <v>10</v>
      </c>
      <c r="K575" s="14">
        <v>152325</v>
      </c>
      <c r="L575" s="14" t="s">
        <v>121</v>
      </c>
      <c r="M575" s="14" t="s">
        <v>3975</v>
      </c>
      <c r="N575" s="14" t="s">
        <v>2572</v>
      </c>
      <c r="O575" s="14" t="str">
        <f>IFERROR(INDEX(Cleaned_Products!$C$2:$C$61,MATCH(F575,Cleaned_Products!$A$2:$A$61,0)),"Unknown")</f>
        <v>Nose Pins</v>
      </c>
      <c r="P575" s="14" t="str">
        <f>IFERROR(INDEX(Cleaned_Products!$D$2:$D$61,MATCH(F575,Cleaned_Products!$A$2:$A$61,0)),"Unknown")</f>
        <v>Platinum</v>
      </c>
    </row>
    <row r="576" spans="1:16" x14ac:dyDescent="0.35">
      <c r="A576" s="14" t="s">
        <v>2573</v>
      </c>
      <c r="B576" s="21">
        <v>44933</v>
      </c>
      <c r="C576" s="14" t="s">
        <v>3987</v>
      </c>
      <c r="D576" s="14">
        <v>2023</v>
      </c>
      <c r="E576" s="14" t="s">
        <v>915</v>
      </c>
      <c r="F576" s="14" t="s">
        <v>348</v>
      </c>
      <c r="G576" s="14" t="s">
        <v>80</v>
      </c>
      <c r="H576" s="14">
        <v>1</v>
      </c>
      <c r="I576" s="14">
        <v>194340</v>
      </c>
      <c r="J576" s="14">
        <v>0</v>
      </c>
      <c r="K576" s="14">
        <v>194340</v>
      </c>
      <c r="L576" s="14" t="s">
        <v>73</v>
      </c>
      <c r="M576" s="14" t="s">
        <v>3975</v>
      </c>
      <c r="N576" s="14" t="s">
        <v>2574</v>
      </c>
      <c r="O576" s="14" t="str">
        <f>IFERROR(INDEX(Cleaned_Products!$C$2:$C$61,MATCH(F576,Cleaned_Products!$A$2:$A$61,0)),"Unknown")</f>
        <v>Rings</v>
      </c>
      <c r="P576" s="14" t="str">
        <f>IFERROR(INDEX(Cleaned_Products!$D$2:$D$61,MATCH(F576,Cleaned_Products!$A$2:$A$61,0)),"Unknown")</f>
        <v>Gold</v>
      </c>
    </row>
    <row r="577" spans="1:16" x14ac:dyDescent="0.35">
      <c r="A577" s="14" t="s">
        <v>2575</v>
      </c>
      <c r="B577" s="21">
        <v>45054</v>
      </c>
      <c r="C577" s="14" t="s">
        <v>3973</v>
      </c>
      <c r="D577" s="14">
        <v>2023</v>
      </c>
      <c r="E577" s="14" t="s">
        <v>187</v>
      </c>
      <c r="F577" s="14" t="s">
        <v>255</v>
      </c>
      <c r="G577" s="14" t="s">
        <v>80</v>
      </c>
      <c r="H577" s="14">
        <v>3</v>
      </c>
      <c r="I577" s="14">
        <v>219310</v>
      </c>
      <c r="J577" s="14">
        <v>0</v>
      </c>
      <c r="K577" s="14">
        <v>657930</v>
      </c>
      <c r="L577" s="14" t="s">
        <v>3974</v>
      </c>
      <c r="M577" s="14" t="s">
        <v>3980</v>
      </c>
      <c r="N577" s="14" t="s">
        <v>3983</v>
      </c>
      <c r="O577" s="14" t="str">
        <f>IFERROR(INDEX(Cleaned_Products!$C$2:$C$61,MATCH(F577,Cleaned_Products!$A$2:$A$61,0)),"Unknown")</f>
        <v>Bracelets</v>
      </c>
      <c r="P577" s="14" t="str">
        <f>IFERROR(INDEX(Cleaned_Products!$D$2:$D$61,MATCH(F577,Cleaned_Products!$A$2:$A$61,0)),"Unknown")</f>
        <v>Rose Gold</v>
      </c>
    </row>
    <row r="578" spans="1:16" x14ac:dyDescent="0.35">
      <c r="A578" s="14" t="s">
        <v>2577</v>
      </c>
      <c r="B578" s="21">
        <v>45236</v>
      </c>
      <c r="C578" s="14" t="s">
        <v>3978</v>
      </c>
      <c r="D578" s="14">
        <v>2023</v>
      </c>
      <c r="E578" s="14" t="s">
        <v>1058</v>
      </c>
      <c r="F578" s="14" t="s">
        <v>360</v>
      </c>
      <c r="G578" s="14" t="s">
        <v>64</v>
      </c>
      <c r="H578" s="14">
        <v>2</v>
      </c>
      <c r="I578" s="14">
        <v>179600</v>
      </c>
      <c r="J578" s="14">
        <v>0</v>
      </c>
      <c r="K578" s="14">
        <v>359200</v>
      </c>
      <c r="L578" s="14" t="s">
        <v>3979</v>
      </c>
      <c r="M578" s="14" t="s">
        <v>3980</v>
      </c>
      <c r="N578" s="14" t="s">
        <v>2579</v>
      </c>
      <c r="O578" s="14" t="str">
        <f>IFERROR(INDEX(Cleaned_Products!$C$2:$C$61,MATCH(F578,Cleaned_Products!$A$2:$A$61,0)),"Unknown")</f>
        <v>Pendants</v>
      </c>
      <c r="P578" s="14" t="str">
        <f>IFERROR(INDEX(Cleaned_Products!$D$2:$D$61,MATCH(F578,Cleaned_Products!$A$2:$A$61,0)),"Unknown")</f>
        <v>Diamond</v>
      </c>
    </row>
    <row r="579" spans="1:16" x14ac:dyDescent="0.35">
      <c r="A579" s="14" t="s">
        <v>2580</v>
      </c>
      <c r="B579" s="21">
        <v>45044</v>
      </c>
      <c r="C579" s="14" t="s">
        <v>4010</v>
      </c>
      <c r="D579" s="14">
        <v>2023</v>
      </c>
      <c r="E579" s="14" t="s">
        <v>309</v>
      </c>
      <c r="F579" s="14" t="s">
        <v>192</v>
      </c>
      <c r="G579" s="14" t="s">
        <v>64</v>
      </c>
      <c r="H579" s="14">
        <v>1</v>
      </c>
      <c r="I579" s="14">
        <v>49110</v>
      </c>
      <c r="J579" s="14">
        <v>15</v>
      </c>
      <c r="K579" s="14">
        <v>41743.5</v>
      </c>
      <c r="L579" s="14" t="s">
        <v>73</v>
      </c>
      <c r="M579" s="14" t="s">
        <v>3975</v>
      </c>
      <c r="N579" s="14" t="s">
        <v>2583</v>
      </c>
      <c r="O579" s="14" t="str">
        <f>IFERROR(INDEX(Cleaned_Products!$C$2:$C$61,MATCH(F579,Cleaned_Products!$A$2:$A$61,0)),"Unknown")</f>
        <v>Bangles</v>
      </c>
      <c r="P579" s="14" t="str">
        <f>IFERROR(INDEX(Cleaned_Products!$D$2:$D$61,MATCH(F579,Cleaned_Products!$A$2:$A$61,0)),"Unknown")</f>
        <v>Silver</v>
      </c>
    </row>
    <row r="580" spans="1:16" x14ac:dyDescent="0.35">
      <c r="A580" s="14" t="s">
        <v>2584</v>
      </c>
      <c r="B580" s="21">
        <v>45543</v>
      </c>
      <c r="C580" s="14" t="s">
        <v>4003</v>
      </c>
      <c r="D580" s="14">
        <v>2024</v>
      </c>
      <c r="E580" s="14" t="s">
        <v>1075</v>
      </c>
      <c r="F580" s="14" t="s">
        <v>100</v>
      </c>
      <c r="G580" s="14" t="s">
        <v>80</v>
      </c>
      <c r="H580" s="14">
        <v>2</v>
      </c>
      <c r="I580" s="14">
        <v>180200</v>
      </c>
      <c r="J580" s="14">
        <v>0</v>
      </c>
      <c r="K580" s="14">
        <v>360400</v>
      </c>
      <c r="L580" s="14" t="s">
        <v>95</v>
      </c>
      <c r="M580" s="14" t="s">
        <v>3975</v>
      </c>
      <c r="N580" s="14" t="s">
        <v>2585</v>
      </c>
      <c r="O580" s="14" t="str">
        <f>IFERROR(INDEX(Cleaned_Products!$C$2:$C$61,MATCH(F580,Cleaned_Products!$A$2:$A$61,0)),"Unknown")</f>
        <v>Nose Pins</v>
      </c>
      <c r="P580" s="14" t="str">
        <f>IFERROR(INDEX(Cleaned_Products!$D$2:$D$61,MATCH(F580,Cleaned_Products!$A$2:$A$61,0)),"Unknown")</f>
        <v>Diamond</v>
      </c>
    </row>
    <row r="581" spans="1:16" x14ac:dyDescent="0.35">
      <c r="A581" s="14" t="s">
        <v>2586</v>
      </c>
      <c r="B581" s="21">
        <v>45246</v>
      </c>
      <c r="C581" s="14" t="s">
        <v>3978</v>
      </c>
      <c r="D581" s="14">
        <v>2023</v>
      </c>
      <c r="E581" s="14" t="s">
        <v>220</v>
      </c>
      <c r="F581" s="14" t="s">
        <v>71</v>
      </c>
      <c r="G581" s="14" t="s">
        <v>101</v>
      </c>
      <c r="H581" s="14">
        <v>1</v>
      </c>
      <c r="I581" s="14">
        <v>10860</v>
      </c>
      <c r="J581" s="14">
        <v>15</v>
      </c>
      <c r="K581" s="14">
        <v>9231</v>
      </c>
      <c r="L581" s="14" t="s">
        <v>121</v>
      </c>
      <c r="M581" s="14" t="s">
        <v>3975</v>
      </c>
      <c r="N581" s="14" t="s">
        <v>2588</v>
      </c>
      <c r="O581" s="14" t="str">
        <f>IFERROR(INDEX(Cleaned_Products!$C$2:$C$61,MATCH(F581,Cleaned_Products!$A$2:$A$61,0)),"Unknown")</f>
        <v>Bracelets</v>
      </c>
      <c r="P581" s="14" t="str">
        <f>IFERROR(INDEX(Cleaned_Products!$D$2:$D$61,MATCH(F581,Cleaned_Products!$A$2:$A$61,0)),"Unknown")</f>
        <v>Rose Gold</v>
      </c>
    </row>
    <row r="582" spans="1:16" x14ac:dyDescent="0.35">
      <c r="A582" s="14" t="s">
        <v>2589</v>
      </c>
      <c r="B582" s="21">
        <v>44952</v>
      </c>
      <c r="C582" s="14" t="s">
        <v>3987</v>
      </c>
      <c r="D582" s="14">
        <v>2023</v>
      </c>
      <c r="E582" s="14" t="s">
        <v>573</v>
      </c>
      <c r="F582" s="14" t="s">
        <v>295</v>
      </c>
      <c r="G582" s="14" t="s">
        <v>113</v>
      </c>
      <c r="H582" s="14">
        <v>1</v>
      </c>
      <c r="I582" s="14">
        <v>77780</v>
      </c>
      <c r="J582" s="14">
        <v>5</v>
      </c>
      <c r="K582" s="14">
        <v>73891</v>
      </c>
      <c r="L582" s="14" t="s">
        <v>121</v>
      </c>
      <c r="M582" s="14" t="s">
        <v>3975</v>
      </c>
      <c r="N582" s="14" t="s">
        <v>2591</v>
      </c>
      <c r="O582" s="14" t="str">
        <f>IFERROR(INDEX(Cleaned_Products!$C$2:$C$61,MATCH(F582,Cleaned_Products!$A$2:$A$61,0)),"Unknown")</f>
        <v>Necklaces</v>
      </c>
      <c r="P582" s="14" t="str">
        <f>IFERROR(INDEX(Cleaned_Products!$D$2:$D$61,MATCH(F582,Cleaned_Products!$A$2:$A$61,0)),"Unknown")</f>
        <v>Silver</v>
      </c>
    </row>
    <row r="583" spans="1:16" x14ac:dyDescent="0.35">
      <c r="A583" s="14" t="s">
        <v>2592</v>
      </c>
      <c r="B583" s="21">
        <v>45845</v>
      </c>
      <c r="C583" s="14" t="s">
        <v>3991</v>
      </c>
      <c r="D583" s="14">
        <v>2025</v>
      </c>
      <c r="E583" s="14" t="s">
        <v>1013</v>
      </c>
      <c r="F583" s="14" t="s">
        <v>432</v>
      </c>
      <c r="G583" s="14" t="s">
        <v>113</v>
      </c>
      <c r="H583" s="14">
        <v>1</v>
      </c>
      <c r="I583" s="14">
        <v>167490</v>
      </c>
      <c r="J583" s="14">
        <v>10</v>
      </c>
      <c r="K583" s="14">
        <v>150741</v>
      </c>
      <c r="L583" s="14" t="s">
        <v>3974</v>
      </c>
      <c r="M583" s="14" t="s">
        <v>3980</v>
      </c>
      <c r="N583" s="14" t="s">
        <v>3983</v>
      </c>
      <c r="O583" s="14" t="str">
        <f>IFERROR(INDEX(Cleaned_Products!$C$2:$C$61,MATCH(F583,Cleaned_Products!$A$2:$A$61,0)),"Unknown")</f>
        <v>Earrings</v>
      </c>
      <c r="P583" s="14" t="str">
        <f>IFERROR(INDEX(Cleaned_Products!$D$2:$D$61,MATCH(F583,Cleaned_Products!$A$2:$A$61,0)),"Unknown")</f>
        <v>Gold</v>
      </c>
    </row>
    <row r="584" spans="1:16" x14ac:dyDescent="0.35">
      <c r="A584" s="14" t="s">
        <v>2595</v>
      </c>
      <c r="B584" s="21">
        <v>45167</v>
      </c>
      <c r="C584" s="14" t="s">
        <v>3998</v>
      </c>
      <c r="D584" s="14">
        <v>2023</v>
      </c>
      <c r="E584" s="14" t="s">
        <v>178</v>
      </c>
      <c r="F584" s="14" t="s">
        <v>576</v>
      </c>
      <c r="G584" s="14" t="s">
        <v>56</v>
      </c>
      <c r="H584" s="14">
        <v>2</v>
      </c>
      <c r="I584" s="14">
        <v>60390</v>
      </c>
      <c r="J584" s="14">
        <v>10</v>
      </c>
      <c r="K584" s="14">
        <v>108702</v>
      </c>
      <c r="L584" s="14" t="s">
        <v>121</v>
      </c>
      <c r="M584" s="14" t="s">
        <v>3980</v>
      </c>
      <c r="N584" s="14" t="s">
        <v>2596</v>
      </c>
      <c r="O584" s="14" t="str">
        <f>IFERROR(INDEX(Cleaned_Products!$C$2:$C$61,MATCH(F584,Cleaned_Products!$A$2:$A$61,0)),"Unknown")</f>
        <v>Bangles</v>
      </c>
      <c r="P584" s="14" t="str">
        <f>IFERROR(INDEX(Cleaned_Products!$D$2:$D$61,MATCH(F584,Cleaned_Products!$A$2:$A$61,0)),"Unknown")</f>
        <v>Diamond</v>
      </c>
    </row>
    <row r="585" spans="1:16" x14ac:dyDescent="0.35">
      <c r="A585" s="14" t="s">
        <v>2597</v>
      </c>
      <c r="B585" s="21">
        <v>45232</v>
      </c>
      <c r="C585" s="14" t="s">
        <v>3978</v>
      </c>
      <c r="D585" s="14">
        <v>2023</v>
      </c>
      <c r="E585" s="14" t="s">
        <v>1861</v>
      </c>
      <c r="F585" s="14" t="s">
        <v>112</v>
      </c>
      <c r="G585" s="14" t="s">
        <v>113</v>
      </c>
      <c r="H585" s="14">
        <v>2</v>
      </c>
      <c r="I585" s="14">
        <v>243430</v>
      </c>
      <c r="J585" s="14">
        <v>0</v>
      </c>
      <c r="K585" s="14">
        <v>486860</v>
      </c>
      <c r="L585" s="14" t="s">
        <v>3977</v>
      </c>
      <c r="M585" s="14" t="s">
        <v>3980</v>
      </c>
      <c r="N585" s="14" t="s">
        <v>2600</v>
      </c>
      <c r="O585" s="14" t="str">
        <f>IFERROR(INDEX(Cleaned_Products!$C$2:$C$61,MATCH(F585,Cleaned_Products!$A$2:$A$61,0)),"Unknown")</f>
        <v>Bangles</v>
      </c>
      <c r="P585" s="14" t="str">
        <f>IFERROR(INDEX(Cleaned_Products!$D$2:$D$61,MATCH(F585,Cleaned_Products!$A$2:$A$61,0)),"Unknown")</f>
        <v>Rose Gold</v>
      </c>
    </row>
    <row r="586" spans="1:16" x14ac:dyDescent="0.35">
      <c r="A586" s="14" t="s">
        <v>2601</v>
      </c>
      <c r="B586" s="21">
        <v>45017</v>
      </c>
      <c r="C586" s="14" t="s">
        <v>4010</v>
      </c>
      <c r="D586" s="14">
        <v>2023</v>
      </c>
      <c r="E586" s="14" t="s">
        <v>400</v>
      </c>
      <c r="F586" s="14" t="s">
        <v>94</v>
      </c>
      <c r="G586" s="14" t="s">
        <v>64</v>
      </c>
      <c r="H586" s="14">
        <v>1</v>
      </c>
      <c r="I586" s="14">
        <v>95820</v>
      </c>
      <c r="J586" s="14">
        <v>5</v>
      </c>
      <c r="K586" s="14">
        <v>91029</v>
      </c>
      <c r="L586" s="14" t="s">
        <v>3977</v>
      </c>
      <c r="M586" s="14" t="s">
        <v>3975</v>
      </c>
      <c r="N586" s="14" t="s">
        <v>2603</v>
      </c>
      <c r="O586" s="14" t="str">
        <f>IFERROR(INDEX(Cleaned_Products!$C$2:$C$61,MATCH(F586,Cleaned_Products!$A$2:$A$61,0)),"Unknown")</f>
        <v>Nose Pins</v>
      </c>
      <c r="P586" s="14" t="str">
        <f>IFERROR(INDEX(Cleaned_Products!$D$2:$D$61,MATCH(F586,Cleaned_Products!$A$2:$A$61,0)),"Unknown")</f>
        <v>Rose Gold</v>
      </c>
    </row>
    <row r="587" spans="1:16" x14ac:dyDescent="0.35">
      <c r="A587" s="14" t="s">
        <v>2604</v>
      </c>
      <c r="B587" s="21">
        <v>45385</v>
      </c>
      <c r="C587" s="14" t="s">
        <v>4000</v>
      </c>
      <c r="D587" s="14">
        <v>2024</v>
      </c>
      <c r="E587" s="14" t="s">
        <v>915</v>
      </c>
      <c r="F587" s="14" t="s">
        <v>163</v>
      </c>
      <c r="G587" s="14" t="s">
        <v>108</v>
      </c>
      <c r="H587" s="14">
        <v>3</v>
      </c>
      <c r="I587" s="14">
        <v>247000</v>
      </c>
      <c r="J587" s="14">
        <v>0</v>
      </c>
      <c r="K587" s="14">
        <v>741000</v>
      </c>
      <c r="L587" s="14" t="s">
        <v>121</v>
      </c>
      <c r="M587" s="14" t="s">
        <v>3975</v>
      </c>
      <c r="N587" s="14" t="s">
        <v>2606</v>
      </c>
      <c r="O587" s="14" t="str">
        <f>IFERROR(INDEX(Cleaned_Products!$C$2:$C$61,MATCH(F587,Cleaned_Products!$A$2:$A$61,0)),"Unknown")</f>
        <v>Earrings</v>
      </c>
      <c r="P587" s="14" t="str">
        <f>IFERROR(INDEX(Cleaned_Products!$D$2:$D$61,MATCH(F587,Cleaned_Products!$A$2:$A$61,0)),"Unknown")</f>
        <v>Diamond</v>
      </c>
    </row>
    <row r="588" spans="1:16" x14ac:dyDescent="0.35">
      <c r="A588" s="14" t="s">
        <v>2607</v>
      </c>
      <c r="B588" s="21">
        <v>45692</v>
      </c>
      <c r="C588" s="14" t="s">
        <v>3989</v>
      </c>
      <c r="D588" s="14">
        <v>2025</v>
      </c>
      <c r="E588" s="14" t="s">
        <v>1829</v>
      </c>
      <c r="F588" s="14" t="s">
        <v>463</v>
      </c>
      <c r="G588" s="14" t="s">
        <v>108</v>
      </c>
      <c r="H588" s="14">
        <v>2</v>
      </c>
      <c r="I588" s="14">
        <v>82760</v>
      </c>
      <c r="J588" s="14">
        <v>5</v>
      </c>
      <c r="K588" s="14">
        <v>157244</v>
      </c>
      <c r="L588" s="14" t="s">
        <v>3977</v>
      </c>
      <c r="M588" s="14" t="s">
        <v>3980</v>
      </c>
      <c r="N588" s="14" t="s">
        <v>3983</v>
      </c>
      <c r="O588" s="14" t="str">
        <f>IFERROR(INDEX(Cleaned_Products!$C$2:$C$61,MATCH(F588,Cleaned_Products!$A$2:$A$61,0)),"Unknown")</f>
        <v>Bracelets</v>
      </c>
      <c r="P588" s="14" t="str">
        <f>IFERROR(INDEX(Cleaned_Products!$D$2:$D$61,MATCH(F588,Cleaned_Products!$A$2:$A$61,0)),"Unknown")</f>
        <v>Gold</v>
      </c>
    </row>
    <row r="589" spans="1:16" x14ac:dyDescent="0.35">
      <c r="A589" s="14" t="s">
        <v>2608</v>
      </c>
      <c r="B589" s="21">
        <v>45642</v>
      </c>
      <c r="C589" s="14" t="s">
        <v>3986</v>
      </c>
      <c r="D589" s="14">
        <v>2024</v>
      </c>
      <c r="E589" s="14" t="s">
        <v>791</v>
      </c>
      <c r="F589" s="14" t="s">
        <v>216</v>
      </c>
      <c r="G589" s="14" t="s">
        <v>113</v>
      </c>
      <c r="H589" s="14">
        <v>1</v>
      </c>
      <c r="I589" s="14">
        <v>169830</v>
      </c>
      <c r="J589" s="14">
        <v>0</v>
      </c>
      <c r="K589" s="14">
        <v>169830</v>
      </c>
      <c r="L589" s="14" t="s">
        <v>3977</v>
      </c>
      <c r="M589" s="14" t="s">
        <v>3975</v>
      </c>
      <c r="N589" s="14" t="s">
        <v>2610</v>
      </c>
      <c r="O589" s="14" t="str">
        <f>IFERROR(INDEX(Cleaned_Products!$C$2:$C$61,MATCH(F589,Cleaned_Products!$A$2:$A$61,0)),"Unknown")</f>
        <v>Bracelets</v>
      </c>
      <c r="P589" s="14" t="str">
        <f>IFERROR(INDEX(Cleaned_Products!$D$2:$D$61,MATCH(F589,Cleaned_Products!$A$2:$A$61,0)),"Unknown")</f>
        <v>Silver</v>
      </c>
    </row>
    <row r="590" spans="1:16" x14ac:dyDescent="0.35">
      <c r="A590" s="14" t="s">
        <v>2611</v>
      </c>
      <c r="B590" s="21">
        <v>45492</v>
      </c>
      <c r="C590" s="14" t="s">
        <v>4009</v>
      </c>
      <c r="D590" s="14">
        <v>2024</v>
      </c>
      <c r="E590" s="14" t="s">
        <v>1502</v>
      </c>
      <c r="F590" s="14" t="s">
        <v>472</v>
      </c>
      <c r="G590" s="14" t="s">
        <v>101</v>
      </c>
      <c r="H590" s="14">
        <v>1</v>
      </c>
      <c r="I590" s="14">
        <v>148690</v>
      </c>
      <c r="J590" s="14">
        <v>5</v>
      </c>
      <c r="K590" s="14">
        <v>141255.5</v>
      </c>
      <c r="L590" s="14" t="s">
        <v>3977</v>
      </c>
      <c r="M590" s="14" t="s">
        <v>3980</v>
      </c>
      <c r="N590" s="14" t="s">
        <v>3983</v>
      </c>
      <c r="O590" s="14" t="str">
        <f>IFERROR(INDEX(Cleaned_Products!$C$2:$C$61,MATCH(F590,Cleaned_Products!$A$2:$A$61,0)),"Unknown")</f>
        <v>Nose Pins</v>
      </c>
      <c r="P590" s="14" t="str">
        <f>IFERROR(INDEX(Cleaned_Products!$D$2:$D$61,MATCH(F590,Cleaned_Products!$A$2:$A$61,0)),"Unknown")</f>
        <v>Platinum</v>
      </c>
    </row>
    <row r="591" spans="1:16" x14ac:dyDescent="0.35">
      <c r="A591" s="14" t="s">
        <v>2613</v>
      </c>
      <c r="B591" s="21">
        <v>45787</v>
      </c>
      <c r="C591" s="14" t="s">
        <v>4004</v>
      </c>
      <c r="D591" s="14">
        <v>2025</v>
      </c>
      <c r="E591" s="14" t="s">
        <v>306</v>
      </c>
      <c r="F591" s="14" t="s">
        <v>144</v>
      </c>
      <c r="G591" s="14" t="s">
        <v>56</v>
      </c>
      <c r="H591" s="14">
        <v>1</v>
      </c>
      <c r="I591" s="14">
        <v>119810</v>
      </c>
      <c r="J591" s="14">
        <v>5</v>
      </c>
      <c r="K591" s="14">
        <v>113819.5</v>
      </c>
      <c r="L591" s="14" t="s">
        <v>73</v>
      </c>
      <c r="M591" s="14" t="s">
        <v>3980</v>
      </c>
      <c r="N591" s="14" t="s">
        <v>3983</v>
      </c>
      <c r="O591" s="14" t="str">
        <f>IFERROR(INDEX(Cleaned_Products!$C$2:$C$61,MATCH(F591,Cleaned_Products!$A$2:$A$61,0)),"Unknown")</f>
        <v>Necklaces</v>
      </c>
      <c r="P591" s="14" t="str">
        <f>IFERROR(INDEX(Cleaned_Products!$D$2:$D$61,MATCH(F591,Cleaned_Products!$A$2:$A$61,0)),"Unknown")</f>
        <v>Gold</v>
      </c>
    </row>
    <row r="592" spans="1:16" x14ac:dyDescent="0.35">
      <c r="A592" s="14" t="s">
        <v>2619</v>
      </c>
      <c r="B592" s="21">
        <v>45738</v>
      </c>
      <c r="C592" s="14" t="s">
        <v>4002</v>
      </c>
      <c r="D592" s="14">
        <v>2025</v>
      </c>
      <c r="E592" s="14" t="s">
        <v>234</v>
      </c>
      <c r="F592" s="14" t="s">
        <v>255</v>
      </c>
      <c r="G592" s="14" t="s">
        <v>108</v>
      </c>
      <c r="H592" s="14">
        <v>1</v>
      </c>
      <c r="I592" s="14">
        <v>192780</v>
      </c>
      <c r="J592" s="14">
        <v>10</v>
      </c>
      <c r="K592" s="14">
        <v>173502</v>
      </c>
      <c r="L592" s="14" t="s">
        <v>3974</v>
      </c>
      <c r="M592" s="14" t="s">
        <v>3980</v>
      </c>
      <c r="N592" s="14" t="s">
        <v>3983</v>
      </c>
      <c r="O592" s="14" t="str">
        <f>IFERROR(INDEX(Cleaned_Products!$C$2:$C$61,MATCH(F592,Cleaned_Products!$A$2:$A$61,0)),"Unknown")</f>
        <v>Bracelets</v>
      </c>
      <c r="P592" s="14" t="str">
        <f>IFERROR(INDEX(Cleaned_Products!$D$2:$D$61,MATCH(F592,Cleaned_Products!$A$2:$A$61,0)),"Unknown")</f>
        <v>Rose Gold</v>
      </c>
    </row>
    <row r="593" spans="1:16" x14ac:dyDescent="0.35">
      <c r="A593" s="14" t="s">
        <v>2622</v>
      </c>
      <c r="B593" s="21">
        <v>45025</v>
      </c>
      <c r="C593" s="14" t="s">
        <v>4010</v>
      </c>
      <c r="D593" s="14">
        <v>2023</v>
      </c>
      <c r="E593" s="14" t="s">
        <v>1486</v>
      </c>
      <c r="F593" s="14" t="s">
        <v>100</v>
      </c>
      <c r="G593" s="14" t="s">
        <v>113</v>
      </c>
      <c r="H593" s="14">
        <v>1</v>
      </c>
      <c r="I593" s="14">
        <v>6420</v>
      </c>
      <c r="J593" s="14">
        <v>15</v>
      </c>
      <c r="K593" s="14">
        <v>5457</v>
      </c>
      <c r="L593" s="14" t="s">
        <v>3977</v>
      </c>
      <c r="M593" s="14" t="s">
        <v>3980</v>
      </c>
      <c r="N593" s="14" t="s">
        <v>3983</v>
      </c>
      <c r="O593" s="14" t="str">
        <f>IFERROR(INDEX(Cleaned_Products!$C$2:$C$61,MATCH(F593,Cleaned_Products!$A$2:$A$61,0)),"Unknown")</f>
        <v>Nose Pins</v>
      </c>
      <c r="P593" s="14" t="str">
        <f>IFERROR(INDEX(Cleaned_Products!$D$2:$D$61,MATCH(F593,Cleaned_Products!$A$2:$A$61,0)),"Unknown")</f>
        <v>Diamond</v>
      </c>
    </row>
    <row r="594" spans="1:16" x14ac:dyDescent="0.35">
      <c r="A594" s="14" t="s">
        <v>2625</v>
      </c>
      <c r="B594" s="21">
        <v>45230</v>
      </c>
      <c r="C594" s="14" t="s">
        <v>3990</v>
      </c>
      <c r="D594" s="14">
        <v>2023</v>
      </c>
      <c r="E594" s="14" t="s">
        <v>1584</v>
      </c>
      <c r="F594" s="14" t="s">
        <v>342</v>
      </c>
      <c r="G594" s="14" t="s">
        <v>80</v>
      </c>
      <c r="H594" s="14">
        <v>1</v>
      </c>
      <c r="I594" s="14">
        <v>59090</v>
      </c>
      <c r="J594" s="14">
        <v>15</v>
      </c>
      <c r="K594" s="14">
        <v>50226.5</v>
      </c>
      <c r="L594" s="14" t="s">
        <v>3979</v>
      </c>
      <c r="M594" s="14" t="s">
        <v>3975</v>
      </c>
      <c r="N594" s="14" t="s">
        <v>2627</v>
      </c>
      <c r="O594" s="14" t="str">
        <f>IFERROR(INDEX(Cleaned_Products!$C$2:$C$61,MATCH(F594,Cleaned_Products!$A$2:$A$61,0)),"Unknown")</f>
        <v>Necklaces</v>
      </c>
      <c r="P594" s="14" t="str">
        <f>IFERROR(INDEX(Cleaned_Products!$D$2:$D$61,MATCH(F594,Cleaned_Products!$A$2:$A$61,0)),"Unknown")</f>
        <v>Diamond</v>
      </c>
    </row>
    <row r="595" spans="1:16" x14ac:dyDescent="0.35">
      <c r="A595" s="14" t="s">
        <v>2635</v>
      </c>
      <c r="B595" s="21">
        <v>45754</v>
      </c>
      <c r="C595" s="14" t="s">
        <v>4006</v>
      </c>
      <c r="D595" s="14">
        <v>2025</v>
      </c>
      <c r="E595" s="14" t="s">
        <v>444</v>
      </c>
      <c r="F595" s="14" t="s">
        <v>163</v>
      </c>
      <c r="G595" s="14" t="s">
        <v>113</v>
      </c>
      <c r="H595" s="14">
        <v>3</v>
      </c>
      <c r="I595" s="14">
        <v>89590</v>
      </c>
      <c r="J595" s="14">
        <v>0</v>
      </c>
      <c r="K595" s="14">
        <v>268770</v>
      </c>
      <c r="L595" s="14" t="s">
        <v>3979</v>
      </c>
      <c r="M595" s="14" t="s">
        <v>3980</v>
      </c>
      <c r="N595" s="14" t="s">
        <v>3983</v>
      </c>
      <c r="O595" s="14" t="str">
        <f>IFERROR(INDEX(Cleaned_Products!$C$2:$C$61,MATCH(F595,Cleaned_Products!$A$2:$A$61,0)),"Unknown")</f>
        <v>Earrings</v>
      </c>
      <c r="P595" s="14" t="str">
        <f>IFERROR(INDEX(Cleaned_Products!$D$2:$D$61,MATCH(F595,Cleaned_Products!$A$2:$A$61,0)),"Unknown")</f>
        <v>Diamond</v>
      </c>
    </row>
    <row r="596" spans="1:16" x14ac:dyDescent="0.35">
      <c r="A596" s="14" t="s">
        <v>2637</v>
      </c>
      <c r="B596" s="21">
        <v>45657</v>
      </c>
      <c r="C596" s="14" t="s">
        <v>3986</v>
      </c>
      <c r="D596" s="14">
        <v>2024</v>
      </c>
      <c r="E596" s="14" t="s">
        <v>298</v>
      </c>
      <c r="F596" s="14" t="s">
        <v>550</v>
      </c>
      <c r="G596" s="14" t="s">
        <v>72</v>
      </c>
      <c r="H596" s="14">
        <v>3</v>
      </c>
      <c r="I596" s="14">
        <v>115070</v>
      </c>
      <c r="J596" s="14">
        <v>5</v>
      </c>
      <c r="K596" s="14">
        <v>327949.5</v>
      </c>
      <c r="L596" s="14" t="s">
        <v>3977</v>
      </c>
      <c r="M596" s="14" t="s">
        <v>3975</v>
      </c>
      <c r="N596" s="14" t="s">
        <v>2639</v>
      </c>
      <c r="O596" s="14" t="str">
        <f>IFERROR(INDEX(Cleaned_Products!$C$2:$C$61,MATCH(F596,Cleaned_Products!$A$2:$A$61,0)),"Unknown")</f>
        <v>Bracelets</v>
      </c>
      <c r="P596" s="14" t="str">
        <f>IFERROR(INDEX(Cleaned_Products!$D$2:$D$61,MATCH(F596,Cleaned_Products!$A$2:$A$61,0)),"Unknown")</f>
        <v>Silver</v>
      </c>
    </row>
    <row r="597" spans="1:16" x14ac:dyDescent="0.35">
      <c r="A597" s="14" t="s">
        <v>2640</v>
      </c>
      <c r="B597" s="21">
        <v>45645</v>
      </c>
      <c r="C597" s="14" t="s">
        <v>3986</v>
      </c>
      <c r="D597" s="14">
        <v>2024</v>
      </c>
      <c r="E597" s="14" t="s">
        <v>78</v>
      </c>
      <c r="F597" s="14" t="s">
        <v>55</v>
      </c>
      <c r="G597" s="14" t="s">
        <v>108</v>
      </c>
      <c r="H597" s="14">
        <v>2</v>
      </c>
      <c r="I597" s="14">
        <v>45070</v>
      </c>
      <c r="J597" s="14">
        <v>15</v>
      </c>
      <c r="K597" s="14">
        <v>76619</v>
      </c>
      <c r="L597" s="14" t="s">
        <v>73</v>
      </c>
      <c r="M597" s="14" t="s">
        <v>3980</v>
      </c>
      <c r="N597" s="14" t="s">
        <v>2642</v>
      </c>
      <c r="O597" s="14" t="str">
        <f>IFERROR(INDEX(Cleaned_Products!$C$2:$C$61,MATCH(F597,Cleaned_Products!$A$2:$A$61,0)),"Unknown")</f>
        <v>Anklets</v>
      </c>
      <c r="P597" s="14" t="str">
        <f>IFERROR(INDEX(Cleaned_Products!$D$2:$D$61,MATCH(F597,Cleaned_Products!$A$2:$A$61,0)),"Unknown")</f>
        <v>Gold</v>
      </c>
    </row>
    <row r="598" spans="1:16" x14ac:dyDescent="0.35">
      <c r="A598" s="14" t="s">
        <v>2646</v>
      </c>
      <c r="B598" s="21">
        <v>45294</v>
      </c>
      <c r="C598" s="14" t="s">
        <v>3993</v>
      </c>
      <c r="D598" s="14">
        <v>2024</v>
      </c>
      <c r="E598" s="14" t="s">
        <v>277</v>
      </c>
      <c r="F598" s="14" t="s">
        <v>154</v>
      </c>
      <c r="G598" s="14" t="s">
        <v>64</v>
      </c>
      <c r="H598" s="14">
        <v>3</v>
      </c>
      <c r="I598" s="14">
        <v>49260</v>
      </c>
      <c r="J598" s="14">
        <v>0</v>
      </c>
      <c r="K598" s="14">
        <v>147780</v>
      </c>
      <c r="L598" s="14" t="s">
        <v>121</v>
      </c>
      <c r="M598" s="14" t="s">
        <v>3980</v>
      </c>
      <c r="N598" s="14" t="s">
        <v>3983</v>
      </c>
      <c r="O598" s="14" t="str">
        <f>IFERROR(INDEX(Cleaned_Products!$C$2:$C$61,MATCH(F598,Cleaned_Products!$A$2:$A$61,0)),"Unknown")</f>
        <v>Rings</v>
      </c>
      <c r="P598" s="14" t="str">
        <f>IFERROR(INDEX(Cleaned_Products!$D$2:$D$61,MATCH(F598,Cleaned_Products!$A$2:$A$61,0)),"Unknown")</f>
        <v>Silver</v>
      </c>
    </row>
    <row r="599" spans="1:16" x14ac:dyDescent="0.35">
      <c r="A599" s="14" t="s">
        <v>2648</v>
      </c>
      <c r="B599" s="21">
        <v>44985</v>
      </c>
      <c r="C599" s="14" t="s">
        <v>4001</v>
      </c>
      <c r="D599" s="14">
        <v>2023</v>
      </c>
      <c r="E599" s="14" t="s">
        <v>106</v>
      </c>
      <c r="F599" s="14" t="s">
        <v>576</v>
      </c>
      <c r="G599" s="14" t="s">
        <v>56</v>
      </c>
      <c r="H599" s="14">
        <v>2</v>
      </c>
      <c r="I599" s="14">
        <v>226560</v>
      </c>
      <c r="J599" s="14">
        <v>10</v>
      </c>
      <c r="K599" s="14">
        <v>407808</v>
      </c>
      <c r="L599" s="14" t="s">
        <v>3974</v>
      </c>
      <c r="M599" s="14" t="s">
        <v>3975</v>
      </c>
      <c r="N599" s="14" t="s">
        <v>2650</v>
      </c>
      <c r="O599" s="14" t="str">
        <f>IFERROR(INDEX(Cleaned_Products!$C$2:$C$61,MATCH(F599,Cleaned_Products!$A$2:$A$61,0)),"Unknown")</f>
        <v>Bangles</v>
      </c>
      <c r="P599" s="14" t="str">
        <f>IFERROR(INDEX(Cleaned_Products!$D$2:$D$61,MATCH(F599,Cleaned_Products!$A$2:$A$61,0)),"Unknown")</f>
        <v>Diamond</v>
      </c>
    </row>
    <row r="600" spans="1:16" x14ac:dyDescent="0.35">
      <c r="A600" s="14" t="s">
        <v>2651</v>
      </c>
      <c r="B600" s="21">
        <v>45731</v>
      </c>
      <c r="C600" s="14" t="s">
        <v>4002</v>
      </c>
      <c r="D600" s="14">
        <v>2025</v>
      </c>
      <c r="E600" s="14" t="s">
        <v>341</v>
      </c>
      <c r="F600" s="14" t="s">
        <v>94</v>
      </c>
      <c r="G600" s="14" t="s">
        <v>113</v>
      </c>
      <c r="H600" s="14">
        <v>3</v>
      </c>
      <c r="I600" s="14">
        <v>23730</v>
      </c>
      <c r="J600" s="14">
        <v>5</v>
      </c>
      <c r="K600" s="14">
        <v>67630.5</v>
      </c>
      <c r="L600" s="14" t="s">
        <v>3979</v>
      </c>
      <c r="M600" s="14" t="s">
        <v>3975</v>
      </c>
      <c r="N600" s="14" t="s">
        <v>2653</v>
      </c>
      <c r="O600" s="14" t="str">
        <f>IFERROR(INDEX(Cleaned_Products!$C$2:$C$61,MATCH(F600,Cleaned_Products!$A$2:$A$61,0)),"Unknown")</f>
        <v>Nose Pins</v>
      </c>
      <c r="P600" s="14" t="str">
        <f>IFERROR(INDEX(Cleaned_Products!$D$2:$D$61,MATCH(F600,Cleaned_Products!$A$2:$A$61,0)),"Unknown")</f>
        <v>Rose Gold</v>
      </c>
    </row>
    <row r="601" spans="1:16" x14ac:dyDescent="0.35">
      <c r="A601" s="14" t="s">
        <v>2654</v>
      </c>
      <c r="B601" s="21">
        <v>45012</v>
      </c>
      <c r="C601" s="14" t="s">
        <v>3982</v>
      </c>
      <c r="D601" s="14">
        <v>2023</v>
      </c>
      <c r="E601" s="14" t="s">
        <v>248</v>
      </c>
      <c r="F601" s="14" t="s">
        <v>79</v>
      </c>
      <c r="G601" s="14" t="s">
        <v>64</v>
      </c>
      <c r="H601" s="14">
        <v>2</v>
      </c>
      <c r="I601" s="14">
        <v>148100</v>
      </c>
      <c r="J601" s="14">
        <v>0</v>
      </c>
      <c r="K601" s="14">
        <v>296200</v>
      </c>
      <c r="L601" s="14" t="s">
        <v>73</v>
      </c>
      <c r="M601" s="14" t="s">
        <v>3980</v>
      </c>
      <c r="N601" s="14" t="s">
        <v>2657</v>
      </c>
      <c r="O601" s="14" t="str">
        <f>IFERROR(INDEX(Cleaned_Products!$C$2:$C$61,MATCH(F601,Cleaned_Products!$A$2:$A$61,0)),"Unknown")</f>
        <v>Rings</v>
      </c>
      <c r="P601" s="14" t="str">
        <f>IFERROR(INDEX(Cleaned_Products!$D$2:$D$61,MATCH(F601,Cleaned_Products!$A$2:$A$61,0)),"Unknown")</f>
        <v>Rose Gold</v>
      </c>
    </row>
    <row r="602" spans="1:16" x14ac:dyDescent="0.35">
      <c r="A602" s="14" t="s">
        <v>2662</v>
      </c>
      <c r="B602" s="21">
        <v>45676</v>
      </c>
      <c r="C602" s="14" t="s">
        <v>4005</v>
      </c>
      <c r="D602" s="14">
        <v>2025</v>
      </c>
      <c r="E602" s="14" t="s">
        <v>341</v>
      </c>
      <c r="F602" s="14" t="s">
        <v>120</v>
      </c>
      <c r="G602" s="14" t="s">
        <v>108</v>
      </c>
      <c r="H602" s="14">
        <v>1</v>
      </c>
      <c r="I602" s="14">
        <v>15740</v>
      </c>
      <c r="J602" s="14">
        <v>0</v>
      </c>
      <c r="K602" s="14">
        <v>15740</v>
      </c>
      <c r="L602" s="14" t="s">
        <v>3974</v>
      </c>
      <c r="M602" s="14" t="s">
        <v>3980</v>
      </c>
      <c r="N602" s="14" t="s">
        <v>3983</v>
      </c>
      <c r="O602" s="14" t="str">
        <f>IFERROR(INDEX(Cleaned_Products!$C$2:$C$61,MATCH(F602,Cleaned_Products!$A$2:$A$61,0)),"Unknown")</f>
        <v>Necklaces</v>
      </c>
      <c r="P602" s="14" t="str">
        <f>IFERROR(INDEX(Cleaned_Products!$D$2:$D$61,MATCH(F602,Cleaned_Products!$A$2:$A$61,0)),"Unknown")</f>
        <v>Platinum</v>
      </c>
    </row>
    <row r="603" spans="1:16" x14ac:dyDescent="0.35">
      <c r="A603" s="14" t="s">
        <v>2671</v>
      </c>
      <c r="B603" s="21">
        <v>45554</v>
      </c>
      <c r="C603" s="14" t="s">
        <v>4003</v>
      </c>
      <c r="D603" s="14">
        <v>2024</v>
      </c>
      <c r="E603" s="14" t="s">
        <v>70</v>
      </c>
      <c r="F603" s="14" t="s">
        <v>329</v>
      </c>
      <c r="G603" s="14" t="s">
        <v>64</v>
      </c>
      <c r="H603" s="14">
        <v>1</v>
      </c>
      <c r="I603" s="14">
        <v>184630</v>
      </c>
      <c r="J603" s="14">
        <v>10</v>
      </c>
      <c r="K603" s="14">
        <v>166167</v>
      </c>
      <c r="L603" s="14" t="s">
        <v>73</v>
      </c>
      <c r="M603" s="14" t="s">
        <v>3980</v>
      </c>
      <c r="N603" s="14" t="s">
        <v>3983</v>
      </c>
      <c r="O603" s="14" t="str">
        <f>IFERROR(INDEX(Cleaned_Products!$C$2:$C$61,MATCH(F603,Cleaned_Products!$A$2:$A$61,0)),"Unknown")</f>
        <v>Nose Pins</v>
      </c>
      <c r="P603" s="14" t="str">
        <f>IFERROR(INDEX(Cleaned_Products!$D$2:$D$61,MATCH(F603,Cleaned_Products!$A$2:$A$61,0)),"Unknown")</f>
        <v>Gold</v>
      </c>
    </row>
    <row r="604" spans="1:16" x14ac:dyDescent="0.35">
      <c r="A604" s="14" t="s">
        <v>2677</v>
      </c>
      <c r="B604" s="21">
        <v>44965</v>
      </c>
      <c r="C604" s="14" t="s">
        <v>4001</v>
      </c>
      <c r="D604" s="14">
        <v>2023</v>
      </c>
      <c r="E604" s="14" t="s">
        <v>162</v>
      </c>
      <c r="F604" s="14" t="s">
        <v>196</v>
      </c>
      <c r="G604" s="14" t="s">
        <v>72</v>
      </c>
      <c r="H604" s="14">
        <v>2</v>
      </c>
      <c r="I604" s="14">
        <v>179060</v>
      </c>
      <c r="J604" s="14">
        <v>5</v>
      </c>
      <c r="K604" s="14">
        <v>340214</v>
      </c>
      <c r="L604" s="14" t="s">
        <v>73</v>
      </c>
      <c r="M604" s="14" t="s">
        <v>3975</v>
      </c>
      <c r="N604" s="14" t="s">
        <v>2679</v>
      </c>
      <c r="O604" s="14" t="str">
        <f>IFERROR(INDEX(Cleaned_Products!$C$2:$C$61,MATCH(F604,Cleaned_Products!$A$2:$A$61,0)),"Unknown")</f>
        <v>Pendants</v>
      </c>
      <c r="P604" s="14" t="str">
        <f>IFERROR(INDEX(Cleaned_Products!$D$2:$D$61,MATCH(F604,Cleaned_Products!$A$2:$A$61,0)),"Unknown")</f>
        <v>Diamond</v>
      </c>
    </row>
    <row r="605" spans="1:16" x14ac:dyDescent="0.35">
      <c r="A605" s="14" t="s">
        <v>2680</v>
      </c>
      <c r="B605" s="21">
        <v>45360</v>
      </c>
      <c r="C605" s="14" t="s">
        <v>3985</v>
      </c>
      <c r="D605" s="14">
        <v>2024</v>
      </c>
      <c r="E605" s="14" t="s">
        <v>359</v>
      </c>
      <c r="F605" s="14" t="s">
        <v>163</v>
      </c>
      <c r="G605" s="14" t="s">
        <v>72</v>
      </c>
      <c r="H605" s="14">
        <v>1</v>
      </c>
      <c r="I605" s="14">
        <v>186810</v>
      </c>
      <c r="J605" s="14">
        <v>0</v>
      </c>
      <c r="K605" s="14">
        <v>186810</v>
      </c>
      <c r="L605" s="14" t="s">
        <v>121</v>
      </c>
      <c r="M605" s="14" t="s">
        <v>3980</v>
      </c>
      <c r="N605" s="14" t="s">
        <v>2682</v>
      </c>
      <c r="O605" s="14" t="str">
        <f>IFERROR(INDEX(Cleaned_Products!$C$2:$C$61,MATCH(F605,Cleaned_Products!$A$2:$A$61,0)),"Unknown")</f>
        <v>Earrings</v>
      </c>
      <c r="P605" s="14" t="str">
        <f>IFERROR(INDEX(Cleaned_Products!$D$2:$D$61,MATCH(F605,Cleaned_Products!$A$2:$A$61,0)),"Unknown")</f>
        <v>Diamond</v>
      </c>
    </row>
    <row r="606" spans="1:16" x14ac:dyDescent="0.35">
      <c r="A606" s="14" t="s">
        <v>2683</v>
      </c>
      <c r="B606" s="21">
        <v>45217</v>
      </c>
      <c r="C606" s="14" t="s">
        <v>3990</v>
      </c>
      <c r="D606" s="14">
        <v>2023</v>
      </c>
      <c r="E606" s="14" t="s">
        <v>359</v>
      </c>
      <c r="F606" s="14" t="s">
        <v>135</v>
      </c>
      <c r="G606" s="14" t="s">
        <v>64</v>
      </c>
      <c r="H606" s="14">
        <v>1</v>
      </c>
      <c r="I606" s="14">
        <v>20380</v>
      </c>
      <c r="J606" s="14">
        <v>10</v>
      </c>
      <c r="K606" s="14">
        <v>18342</v>
      </c>
      <c r="L606" s="14" t="s">
        <v>3979</v>
      </c>
      <c r="M606" s="14" t="s">
        <v>3975</v>
      </c>
      <c r="N606" s="14" t="s">
        <v>2685</v>
      </c>
      <c r="O606" s="14" t="str">
        <f>IFERROR(INDEX(Cleaned_Products!$C$2:$C$61,MATCH(F606,Cleaned_Products!$A$2:$A$61,0)),"Unknown")</f>
        <v>Necklaces</v>
      </c>
      <c r="P606" s="14" t="str">
        <f>IFERROR(INDEX(Cleaned_Products!$D$2:$D$61,MATCH(F606,Cleaned_Products!$A$2:$A$61,0)),"Unknown")</f>
        <v>Silver</v>
      </c>
    </row>
    <row r="607" spans="1:16" x14ac:dyDescent="0.35">
      <c r="A607" s="14" t="s">
        <v>2686</v>
      </c>
      <c r="B607" s="21">
        <v>45159</v>
      </c>
      <c r="C607" s="14" t="s">
        <v>3998</v>
      </c>
      <c r="D607" s="14">
        <v>2023</v>
      </c>
      <c r="E607" s="14" t="s">
        <v>254</v>
      </c>
      <c r="F607" s="14" t="s">
        <v>360</v>
      </c>
      <c r="G607" s="14" t="s">
        <v>64</v>
      </c>
      <c r="H607" s="14">
        <v>1</v>
      </c>
      <c r="I607" s="14">
        <v>132870</v>
      </c>
      <c r="J607" s="14">
        <v>0</v>
      </c>
      <c r="K607" s="14">
        <v>132870</v>
      </c>
      <c r="L607" s="14" t="s">
        <v>95</v>
      </c>
      <c r="M607" s="14" t="s">
        <v>3975</v>
      </c>
      <c r="N607" s="14" t="s">
        <v>2689</v>
      </c>
      <c r="O607" s="14" t="str">
        <f>IFERROR(INDEX(Cleaned_Products!$C$2:$C$61,MATCH(F607,Cleaned_Products!$A$2:$A$61,0)),"Unknown")</f>
        <v>Pendants</v>
      </c>
      <c r="P607" s="14" t="str">
        <f>IFERROR(INDEX(Cleaned_Products!$D$2:$D$61,MATCH(F607,Cleaned_Products!$A$2:$A$61,0)),"Unknown")</f>
        <v>Diamond</v>
      </c>
    </row>
    <row r="608" spans="1:16" x14ac:dyDescent="0.35">
      <c r="A608" s="14" t="s">
        <v>2693</v>
      </c>
      <c r="B608" s="21">
        <v>45537</v>
      </c>
      <c r="C608" s="14" t="s">
        <v>4003</v>
      </c>
      <c r="D608" s="14">
        <v>2024</v>
      </c>
      <c r="E608" s="14" t="s">
        <v>645</v>
      </c>
      <c r="F608" s="14" t="s">
        <v>342</v>
      </c>
      <c r="G608" s="14" t="s">
        <v>80</v>
      </c>
      <c r="H608" s="14">
        <v>2</v>
      </c>
      <c r="I608" s="14">
        <v>55670</v>
      </c>
      <c r="J608" s="14">
        <v>10</v>
      </c>
      <c r="K608" s="14">
        <v>100206</v>
      </c>
      <c r="L608" s="14" t="s">
        <v>121</v>
      </c>
      <c r="M608" s="14" t="s">
        <v>3980</v>
      </c>
      <c r="N608" s="14" t="s">
        <v>3983</v>
      </c>
      <c r="O608" s="14" t="str">
        <f>IFERROR(INDEX(Cleaned_Products!$C$2:$C$61,MATCH(F608,Cleaned_Products!$A$2:$A$61,0)),"Unknown")</f>
        <v>Necklaces</v>
      </c>
      <c r="P608" s="14" t="str">
        <f>IFERROR(INDEX(Cleaned_Products!$D$2:$D$61,MATCH(F608,Cleaned_Products!$A$2:$A$61,0)),"Unknown")</f>
        <v>Diamond</v>
      </c>
    </row>
    <row r="609" spans="1:16" x14ac:dyDescent="0.35">
      <c r="A609" s="14" t="s">
        <v>2700</v>
      </c>
      <c r="B609" s="21">
        <v>45619</v>
      </c>
      <c r="C609" s="14" t="s">
        <v>3976</v>
      </c>
      <c r="D609" s="14">
        <v>2024</v>
      </c>
      <c r="E609" s="14" t="s">
        <v>162</v>
      </c>
      <c r="F609" s="14" t="s">
        <v>255</v>
      </c>
      <c r="G609" s="14" t="s">
        <v>113</v>
      </c>
      <c r="H609" s="14">
        <v>1</v>
      </c>
      <c r="I609" s="14">
        <v>162280</v>
      </c>
      <c r="J609" s="14">
        <v>0</v>
      </c>
      <c r="K609" s="14">
        <v>162280</v>
      </c>
      <c r="L609" s="14" t="s">
        <v>3974</v>
      </c>
      <c r="M609" s="14" t="s">
        <v>3980</v>
      </c>
      <c r="N609" s="14" t="s">
        <v>3983</v>
      </c>
      <c r="O609" s="14" t="str">
        <f>IFERROR(INDEX(Cleaned_Products!$C$2:$C$61,MATCH(F609,Cleaned_Products!$A$2:$A$61,0)),"Unknown")</f>
        <v>Bracelets</v>
      </c>
      <c r="P609" s="14" t="str">
        <f>IFERROR(INDEX(Cleaned_Products!$D$2:$D$61,MATCH(F609,Cleaned_Products!$A$2:$A$61,0)),"Unknown")</f>
        <v>Rose Gold</v>
      </c>
    </row>
    <row r="610" spans="1:16" x14ac:dyDescent="0.35">
      <c r="A610" s="14" t="s">
        <v>2703</v>
      </c>
      <c r="B610" s="21">
        <v>45515</v>
      </c>
      <c r="C610" s="14" t="s">
        <v>3992</v>
      </c>
      <c r="D610" s="14">
        <v>2024</v>
      </c>
      <c r="E610" s="14" t="s">
        <v>162</v>
      </c>
      <c r="F610" s="14" t="s">
        <v>472</v>
      </c>
      <c r="G610" s="14" t="s">
        <v>64</v>
      </c>
      <c r="H610" s="14">
        <v>1</v>
      </c>
      <c r="I610" s="14">
        <v>123590</v>
      </c>
      <c r="J610" s="14">
        <v>0</v>
      </c>
      <c r="K610" s="14">
        <v>123590</v>
      </c>
      <c r="L610" s="14" t="s">
        <v>3974</v>
      </c>
      <c r="M610" s="14" t="s">
        <v>3975</v>
      </c>
      <c r="N610" s="14" t="s">
        <v>2705</v>
      </c>
      <c r="O610" s="14" t="str">
        <f>IFERROR(INDEX(Cleaned_Products!$C$2:$C$61,MATCH(F610,Cleaned_Products!$A$2:$A$61,0)),"Unknown")</f>
        <v>Nose Pins</v>
      </c>
      <c r="P610" s="14" t="str">
        <f>IFERROR(INDEX(Cleaned_Products!$D$2:$D$61,MATCH(F610,Cleaned_Products!$A$2:$A$61,0)),"Unknown")</f>
        <v>Platinum</v>
      </c>
    </row>
    <row r="611" spans="1:16" x14ac:dyDescent="0.35">
      <c r="A611" s="14" t="s">
        <v>2706</v>
      </c>
      <c r="B611" s="21">
        <v>45494</v>
      </c>
      <c r="C611" s="14" t="s">
        <v>4009</v>
      </c>
      <c r="D611" s="14">
        <v>2024</v>
      </c>
      <c r="E611" s="14" t="s">
        <v>211</v>
      </c>
      <c r="F611" s="14" t="s">
        <v>736</v>
      </c>
      <c r="G611" s="14" t="s">
        <v>80</v>
      </c>
      <c r="H611" s="14">
        <v>2</v>
      </c>
      <c r="I611" s="14">
        <v>143400</v>
      </c>
      <c r="J611" s="14">
        <v>5</v>
      </c>
      <c r="K611" s="14">
        <v>272460</v>
      </c>
      <c r="L611" s="14" t="s">
        <v>3974</v>
      </c>
      <c r="M611" s="14" t="s">
        <v>3980</v>
      </c>
      <c r="N611" s="14" t="s">
        <v>2708</v>
      </c>
      <c r="O611" s="14" t="str">
        <f>IFERROR(INDEX(Cleaned_Products!$C$2:$C$61,MATCH(F611,Cleaned_Products!$A$2:$A$61,0)),"Unknown")</f>
        <v>Rings</v>
      </c>
      <c r="P611" s="14" t="str">
        <f>IFERROR(INDEX(Cleaned_Products!$D$2:$D$61,MATCH(F611,Cleaned_Products!$A$2:$A$61,0)),"Unknown")</f>
        <v>Silver</v>
      </c>
    </row>
    <row r="612" spans="1:16" x14ac:dyDescent="0.35">
      <c r="A612" s="14" t="s">
        <v>2711</v>
      </c>
      <c r="B612" s="21">
        <v>45533</v>
      </c>
      <c r="C612" s="14" t="s">
        <v>3992</v>
      </c>
      <c r="D612" s="14">
        <v>2024</v>
      </c>
      <c r="E612" s="14" t="s">
        <v>153</v>
      </c>
      <c r="F612" s="14" t="s">
        <v>329</v>
      </c>
      <c r="G612" s="14" t="s">
        <v>101</v>
      </c>
      <c r="H612" s="14">
        <v>2</v>
      </c>
      <c r="I612" s="14">
        <v>75750</v>
      </c>
      <c r="J612" s="14">
        <v>0</v>
      </c>
      <c r="K612" s="14">
        <v>151500</v>
      </c>
      <c r="L612" s="14" t="s">
        <v>73</v>
      </c>
      <c r="M612" s="14" t="s">
        <v>3975</v>
      </c>
      <c r="N612" s="14" t="s">
        <v>2713</v>
      </c>
      <c r="O612" s="14" t="str">
        <f>IFERROR(INDEX(Cleaned_Products!$C$2:$C$61,MATCH(F612,Cleaned_Products!$A$2:$A$61,0)),"Unknown")</f>
        <v>Nose Pins</v>
      </c>
      <c r="P612" s="14" t="str">
        <f>IFERROR(INDEX(Cleaned_Products!$D$2:$D$61,MATCH(F612,Cleaned_Products!$A$2:$A$61,0)),"Unknown")</f>
        <v>Gold</v>
      </c>
    </row>
    <row r="613" spans="1:16" x14ac:dyDescent="0.35">
      <c r="A613" s="14" t="s">
        <v>2714</v>
      </c>
      <c r="B613" s="21">
        <v>45678</v>
      </c>
      <c r="C613" s="14" t="s">
        <v>4005</v>
      </c>
      <c r="D613" s="14">
        <v>2025</v>
      </c>
      <c r="E613" s="14" t="s">
        <v>3995</v>
      </c>
      <c r="F613" s="14" t="s">
        <v>638</v>
      </c>
      <c r="G613" s="14" t="s">
        <v>126</v>
      </c>
      <c r="H613" s="14">
        <v>3</v>
      </c>
      <c r="I613" s="14">
        <v>170720</v>
      </c>
      <c r="J613" s="14">
        <v>10</v>
      </c>
      <c r="K613" s="14">
        <v>460944</v>
      </c>
      <c r="L613" s="14" t="s">
        <v>95</v>
      </c>
      <c r="M613" s="14" t="s">
        <v>3980</v>
      </c>
      <c r="N613" s="14" t="s">
        <v>3983</v>
      </c>
      <c r="O613" s="14" t="str">
        <f>IFERROR(INDEX(Cleaned_Products!$C$2:$C$61,MATCH(F613,Cleaned_Products!$A$2:$A$61,0)),"Unknown")</f>
        <v>Nose Pins</v>
      </c>
      <c r="P613" s="14" t="str">
        <f>IFERROR(INDEX(Cleaned_Products!$D$2:$D$61,MATCH(F613,Cleaned_Products!$A$2:$A$61,0)),"Unknown")</f>
        <v>Diamond</v>
      </c>
    </row>
    <row r="614" spans="1:16" x14ac:dyDescent="0.35">
      <c r="A614" s="14" t="s">
        <v>2715</v>
      </c>
      <c r="B614" s="21">
        <v>45349</v>
      </c>
      <c r="C614" s="14" t="s">
        <v>3999</v>
      </c>
      <c r="D614" s="14">
        <v>2024</v>
      </c>
      <c r="E614" s="14" t="s">
        <v>1829</v>
      </c>
      <c r="F614" s="14" t="s">
        <v>278</v>
      </c>
      <c r="G614" s="14" t="s">
        <v>108</v>
      </c>
      <c r="H614" s="14">
        <v>2</v>
      </c>
      <c r="I614" s="14">
        <v>142530</v>
      </c>
      <c r="J614" s="14">
        <v>15</v>
      </c>
      <c r="K614" s="14">
        <v>242301</v>
      </c>
      <c r="L614" s="14" t="s">
        <v>3977</v>
      </c>
      <c r="M614" s="14" t="s">
        <v>3975</v>
      </c>
      <c r="N614" s="14" t="s">
        <v>2718</v>
      </c>
      <c r="O614" s="14" t="str">
        <f>IFERROR(INDEX(Cleaned_Products!$C$2:$C$61,MATCH(F614,Cleaned_Products!$A$2:$A$61,0)),"Unknown")</f>
        <v>Earrings</v>
      </c>
      <c r="P614" s="14" t="str">
        <f>IFERROR(INDEX(Cleaned_Products!$D$2:$D$61,MATCH(F614,Cleaned_Products!$A$2:$A$61,0)),"Unknown")</f>
        <v>Diamond</v>
      </c>
    </row>
    <row r="615" spans="1:16" x14ac:dyDescent="0.35">
      <c r="A615" s="14" t="s">
        <v>2719</v>
      </c>
      <c r="B615" s="21">
        <v>45317</v>
      </c>
      <c r="C615" s="14" t="s">
        <v>3993</v>
      </c>
      <c r="D615" s="14">
        <v>2024</v>
      </c>
      <c r="E615" s="14" t="s">
        <v>267</v>
      </c>
      <c r="F615" s="14" t="s">
        <v>179</v>
      </c>
      <c r="G615" s="14" t="s">
        <v>72</v>
      </c>
      <c r="H615" s="14">
        <v>2</v>
      </c>
      <c r="I615" s="14">
        <v>120800</v>
      </c>
      <c r="J615" s="14">
        <v>0</v>
      </c>
      <c r="K615" s="14">
        <v>241600</v>
      </c>
      <c r="L615" s="14" t="s">
        <v>73</v>
      </c>
      <c r="M615" s="14" t="s">
        <v>3980</v>
      </c>
      <c r="N615" s="14" t="s">
        <v>3983</v>
      </c>
      <c r="O615" s="14" t="str">
        <f>IFERROR(INDEX(Cleaned_Products!$C$2:$C$61,MATCH(F615,Cleaned_Products!$A$2:$A$61,0)),"Unknown")</f>
        <v>Bracelets</v>
      </c>
      <c r="P615" s="14" t="str">
        <f>IFERROR(INDEX(Cleaned_Products!$D$2:$D$61,MATCH(F615,Cleaned_Products!$A$2:$A$61,0)),"Unknown")</f>
        <v>Rose Gold</v>
      </c>
    </row>
    <row r="616" spans="1:16" x14ac:dyDescent="0.35">
      <c r="A616" s="14" t="s">
        <v>2725</v>
      </c>
      <c r="B616" s="21">
        <v>45577</v>
      </c>
      <c r="C616" s="14" t="s">
        <v>3981</v>
      </c>
      <c r="D616" s="14">
        <v>2024</v>
      </c>
      <c r="E616" s="14" t="s">
        <v>491</v>
      </c>
      <c r="F616" s="14" t="s">
        <v>255</v>
      </c>
      <c r="G616" s="14" t="s">
        <v>80</v>
      </c>
      <c r="H616" s="14">
        <v>2</v>
      </c>
      <c r="I616" s="14">
        <v>103650</v>
      </c>
      <c r="J616" s="14">
        <v>0</v>
      </c>
      <c r="K616" s="14">
        <v>207300</v>
      </c>
      <c r="L616" s="14" t="s">
        <v>3974</v>
      </c>
      <c r="M616" s="14" t="s">
        <v>3980</v>
      </c>
      <c r="N616" s="14" t="s">
        <v>3983</v>
      </c>
      <c r="O616" s="14" t="str">
        <f>IFERROR(INDEX(Cleaned_Products!$C$2:$C$61,MATCH(F616,Cleaned_Products!$A$2:$A$61,0)),"Unknown")</f>
        <v>Bracelets</v>
      </c>
      <c r="P616" s="14" t="str">
        <f>IFERROR(INDEX(Cleaned_Products!$D$2:$D$61,MATCH(F616,Cleaned_Products!$A$2:$A$61,0)),"Unknown")</f>
        <v>Rose Gold</v>
      </c>
    </row>
    <row r="617" spans="1:16" x14ac:dyDescent="0.35">
      <c r="A617" s="14" t="s">
        <v>2728</v>
      </c>
      <c r="B617" s="21">
        <v>45724</v>
      </c>
      <c r="C617" s="14" t="s">
        <v>4002</v>
      </c>
      <c r="D617" s="14">
        <v>2025</v>
      </c>
      <c r="E617" s="14" t="s">
        <v>411</v>
      </c>
      <c r="F617" s="14" t="s">
        <v>360</v>
      </c>
      <c r="G617" s="14" t="s">
        <v>101</v>
      </c>
      <c r="H617" s="14">
        <v>1</v>
      </c>
      <c r="I617" s="14">
        <v>57600</v>
      </c>
      <c r="J617" s="14">
        <v>10</v>
      </c>
      <c r="K617" s="14">
        <v>51840</v>
      </c>
      <c r="L617" s="14" t="s">
        <v>95</v>
      </c>
      <c r="M617" s="14" t="s">
        <v>3975</v>
      </c>
      <c r="N617" s="14" t="s">
        <v>2730</v>
      </c>
      <c r="O617" s="14" t="str">
        <f>IFERROR(INDEX(Cleaned_Products!$C$2:$C$61,MATCH(F617,Cleaned_Products!$A$2:$A$61,0)),"Unknown")</f>
        <v>Pendants</v>
      </c>
      <c r="P617" s="14" t="str">
        <f>IFERROR(INDEX(Cleaned_Products!$D$2:$D$61,MATCH(F617,Cleaned_Products!$A$2:$A$61,0)),"Unknown")</f>
        <v>Diamond</v>
      </c>
    </row>
    <row r="618" spans="1:16" x14ac:dyDescent="0.35">
      <c r="A618" s="14" t="s">
        <v>2731</v>
      </c>
      <c r="B618" s="21">
        <v>45715</v>
      </c>
      <c r="C618" s="14" t="s">
        <v>3989</v>
      </c>
      <c r="D618" s="14">
        <v>2025</v>
      </c>
      <c r="E618" s="14" t="s">
        <v>1378</v>
      </c>
      <c r="F618" s="14" t="s">
        <v>88</v>
      </c>
      <c r="G618" s="14" t="s">
        <v>64</v>
      </c>
      <c r="H618" s="14">
        <v>1</v>
      </c>
      <c r="I618" s="14">
        <v>112350</v>
      </c>
      <c r="J618" s="14">
        <v>10</v>
      </c>
      <c r="K618" s="14">
        <v>101115</v>
      </c>
      <c r="L618" s="14" t="s">
        <v>121</v>
      </c>
      <c r="M618" s="14" t="s">
        <v>3980</v>
      </c>
      <c r="N618" s="14" t="s">
        <v>3983</v>
      </c>
      <c r="O618" s="14" t="str">
        <f>IFERROR(INDEX(Cleaned_Products!$C$2:$C$61,MATCH(F618,Cleaned_Products!$A$2:$A$61,0)),"Unknown")</f>
        <v>Necklaces</v>
      </c>
      <c r="P618" s="14" t="str">
        <f>IFERROR(INDEX(Cleaned_Products!$D$2:$D$61,MATCH(F618,Cleaned_Products!$A$2:$A$61,0)),"Unknown")</f>
        <v>Gold</v>
      </c>
    </row>
    <row r="619" spans="1:16" x14ac:dyDescent="0.35">
      <c r="A619" s="14" t="s">
        <v>2739</v>
      </c>
      <c r="B619" s="21">
        <v>45289</v>
      </c>
      <c r="C619" s="14" t="s">
        <v>4008</v>
      </c>
      <c r="D619" s="14">
        <v>2023</v>
      </c>
      <c r="E619" s="14" t="s">
        <v>3995</v>
      </c>
      <c r="F619" s="14" t="s">
        <v>638</v>
      </c>
      <c r="G619" s="14" t="s">
        <v>101</v>
      </c>
      <c r="H619" s="14">
        <v>1</v>
      </c>
      <c r="I619" s="14">
        <v>200860</v>
      </c>
      <c r="J619" s="14">
        <v>10</v>
      </c>
      <c r="K619" s="14">
        <v>180774</v>
      </c>
      <c r="L619" s="14" t="s">
        <v>73</v>
      </c>
      <c r="M619" s="14" t="s">
        <v>3975</v>
      </c>
      <c r="N619" s="14" t="s">
        <v>2741</v>
      </c>
      <c r="O619" s="14" t="str">
        <f>IFERROR(INDEX(Cleaned_Products!$C$2:$C$61,MATCH(F619,Cleaned_Products!$A$2:$A$61,0)),"Unknown")</f>
        <v>Nose Pins</v>
      </c>
      <c r="P619" s="14" t="str">
        <f>IFERROR(INDEX(Cleaned_Products!$D$2:$D$61,MATCH(F619,Cleaned_Products!$A$2:$A$61,0)),"Unknown")</f>
        <v>Diamond</v>
      </c>
    </row>
    <row r="620" spans="1:16" x14ac:dyDescent="0.35">
      <c r="A620" s="14" t="s">
        <v>2742</v>
      </c>
      <c r="B620" s="21">
        <v>45515</v>
      </c>
      <c r="C620" s="14" t="s">
        <v>3992</v>
      </c>
      <c r="D620" s="14">
        <v>2024</v>
      </c>
      <c r="E620" s="14" t="s">
        <v>1006</v>
      </c>
      <c r="F620" s="14" t="s">
        <v>207</v>
      </c>
      <c r="G620" s="14" t="s">
        <v>108</v>
      </c>
      <c r="H620" s="14">
        <v>2</v>
      </c>
      <c r="I620" s="14">
        <v>44740</v>
      </c>
      <c r="J620" s="14">
        <v>0</v>
      </c>
      <c r="K620" s="14">
        <v>89480</v>
      </c>
      <c r="L620" s="14" t="s">
        <v>3974</v>
      </c>
      <c r="M620" s="14" t="s">
        <v>3980</v>
      </c>
      <c r="N620" s="14" t="s">
        <v>2744</v>
      </c>
      <c r="O620" s="14" t="str">
        <f>IFERROR(INDEX(Cleaned_Products!$C$2:$C$61,MATCH(F620,Cleaned_Products!$A$2:$A$61,0)),"Unknown")</f>
        <v>Anklets</v>
      </c>
      <c r="P620" s="14" t="str">
        <f>IFERROR(INDEX(Cleaned_Products!$D$2:$D$61,MATCH(F620,Cleaned_Products!$A$2:$A$61,0)),"Unknown")</f>
        <v>Silver</v>
      </c>
    </row>
    <row r="621" spans="1:16" x14ac:dyDescent="0.35">
      <c r="A621" s="14" t="s">
        <v>2745</v>
      </c>
      <c r="B621" s="21">
        <v>45725</v>
      </c>
      <c r="C621" s="14" t="s">
        <v>4002</v>
      </c>
      <c r="D621" s="14">
        <v>2025</v>
      </c>
      <c r="E621" s="14" t="s">
        <v>87</v>
      </c>
      <c r="F621" s="14" t="s">
        <v>348</v>
      </c>
      <c r="G621" s="14" t="s">
        <v>108</v>
      </c>
      <c r="H621" s="14">
        <v>1</v>
      </c>
      <c r="I621" s="14">
        <v>180330</v>
      </c>
      <c r="J621" s="14">
        <v>10</v>
      </c>
      <c r="K621" s="14">
        <v>162297</v>
      </c>
      <c r="L621" s="14" t="s">
        <v>121</v>
      </c>
      <c r="M621" s="14" t="s">
        <v>3975</v>
      </c>
      <c r="N621" s="14" t="s">
        <v>2748</v>
      </c>
      <c r="O621" s="14" t="str">
        <f>IFERROR(INDEX(Cleaned_Products!$C$2:$C$61,MATCH(F621,Cleaned_Products!$A$2:$A$61,0)),"Unknown")</f>
        <v>Rings</v>
      </c>
      <c r="P621" s="14" t="str">
        <f>IFERROR(INDEX(Cleaned_Products!$D$2:$D$61,MATCH(F621,Cleaned_Products!$A$2:$A$61,0)),"Unknown")</f>
        <v>Gold</v>
      </c>
    </row>
    <row r="622" spans="1:16" x14ac:dyDescent="0.35">
      <c r="A622" s="14" t="s">
        <v>2749</v>
      </c>
      <c r="B622" s="21">
        <v>45812</v>
      </c>
      <c r="C622" s="14" t="s">
        <v>3997</v>
      </c>
      <c r="D622" s="14">
        <v>2025</v>
      </c>
      <c r="E622" s="14" t="s">
        <v>439</v>
      </c>
      <c r="F622" s="14" t="s">
        <v>916</v>
      </c>
      <c r="G622" s="14" t="s">
        <v>101</v>
      </c>
      <c r="H622" s="14">
        <v>1</v>
      </c>
      <c r="I622" s="14">
        <v>151880</v>
      </c>
      <c r="J622" s="14">
        <v>15</v>
      </c>
      <c r="K622" s="14">
        <v>129098</v>
      </c>
      <c r="L622" s="14" t="s">
        <v>95</v>
      </c>
      <c r="M622" s="14" t="s">
        <v>3975</v>
      </c>
      <c r="N622" s="14" t="s">
        <v>2752</v>
      </c>
      <c r="O622" s="14" t="str">
        <f>IFERROR(INDEX(Cleaned_Products!$C$2:$C$61,MATCH(F622,Cleaned_Products!$A$2:$A$61,0)),"Unknown")</f>
        <v>Bracelets</v>
      </c>
      <c r="P622" s="14" t="str">
        <f>IFERROR(INDEX(Cleaned_Products!$D$2:$D$61,MATCH(F622,Cleaned_Products!$A$2:$A$61,0)),"Unknown")</f>
        <v>Rose Gold</v>
      </c>
    </row>
    <row r="623" spans="1:16" x14ac:dyDescent="0.35">
      <c r="A623" s="14" t="s">
        <v>2753</v>
      </c>
      <c r="B623" s="21">
        <v>45567</v>
      </c>
      <c r="C623" s="14" t="s">
        <v>3981</v>
      </c>
      <c r="D623" s="14">
        <v>2024</v>
      </c>
      <c r="E623" s="14" t="s">
        <v>811</v>
      </c>
      <c r="F623" s="14" t="s">
        <v>390</v>
      </c>
      <c r="G623" s="14" t="s">
        <v>80</v>
      </c>
      <c r="H623" s="14">
        <v>1</v>
      </c>
      <c r="I623" s="14">
        <v>196470</v>
      </c>
      <c r="J623" s="14">
        <v>0</v>
      </c>
      <c r="K623" s="14">
        <v>196470</v>
      </c>
      <c r="L623" s="14" t="s">
        <v>3974</v>
      </c>
      <c r="M623" s="14" t="s">
        <v>3980</v>
      </c>
      <c r="N623" s="14" t="s">
        <v>3983</v>
      </c>
      <c r="O623" s="14" t="str">
        <f>IFERROR(INDEX(Cleaned_Products!$C$2:$C$61,MATCH(F623,Cleaned_Products!$A$2:$A$61,0)),"Unknown")</f>
        <v>Bracelets</v>
      </c>
      <c r="P623" s="14" t="str">
        <f>IFERROR(INDEX(Cleaned_Products!$D$2:$D$61,MATCH(F623,Cleaned_Products!$A$2:$A$61,0)),"Unknown")</f>
        <v>Platinum</v>
      </c>
    </row>
    <row r="624" spans="1:16" x14ac:dyDescent="0.35">
      <c r="A624" s="14" t="s">
        <v>2756</v>
      </c>
      <c r="B624" s="21">
        <v>45630</v>
      </c>
      <c r="C624" s="14" t="s">
        <v>3986</v>
      </c>
      <c r="D624" s="14">
        <v>2024</v>
      </c>
      <c r="E624" s="14" t="s">
        <v>1861</v>
      </c>
      <c r="F624" s="14" t="s">
        <v>79</v>
      </c>
      <c r="G624" s="14" t="s">
        <v>108</v>
      </c>
      <c r="H624" s="14">
        <v>2</v>
      </c>
      <c r="I624" s="14">
        <v>200320</v>
      </c>
      <c r="J624" s="14">
        <v>5</v>
      </c>
      <c r="K624" s="14">
        <v>380608</v>
      </c>
      <c r="L624" s="14" t="s">
        <v>3979</v>
      </c>
      <c r="M624" s="14" t="s">
        <v>3980</v>
      </c>
      <c r="N624" s="14" t="s">
        <v>2758</v>
      </c>
      <c r="O624" s="14" t="str">
        <f>IFERROR(INDEX(Cleaned_Products!$C$2:$C$61,MATCH(F624,Cleaned_Products!$A$2:$A$61,0)),"Unknown")</f>
        <v>Rings</v>
      </c>
      <c r="P624" s="14" t="str">
        <f>IFERROR(INDEX(Cleaned_Products!$D$2:$D$61,MATCH(F624,Cleaned_Products!$A$2:$A$61,0)),"Unknown")</f>
        <v>Rose Gold</v>
      </c>
    </row>
    <row r="625" spans="1:16" x14ac:dyDescent="0.35">
      <c r="A625" s="14" t="s">
        <v>2759</v>
      </c>
      <c r="B625" s="21">
        <v>45467</v>
      </c>
      <c r="C625" s="14" t="s">
        <v>3984</v>
      </c>
      <c r="D625" s="14">
        <v>2024</v>
      </c>
      <c r="E625" s="14" t="s">
        <v>220</v>
      </c>
      <c r="F625" s="14" t="s">
        <v>163</v>
      </c>
      <c r="G625" s="14" t="s">
        <v>101</v>
      </c>
      <c r="H625" s="14">
        <v>1</v>
      </c>
      <c r="I625" s="14">
        <v>210050</v>
      </c>
      <c r="J625" s="14">
        <v>0</v>
      </c>
      <c r="K625" s="14">
        <v>210050</v>
      </c>
      <c r="L625" s="14" t="s">
        <v>3974</v>
      </c>
      <c r="M625" s="14" t="s">
        <v>3975</v>
      </c>
      <c r="N625" s="14" t="s">
        <v>2760</v>
      </c>
      <c r="O625" s="14" t="str">
        <f>IFERROR(INDEX(Cleaned_Products!$C$2:$C$61,MATCH(F625,Cleaned_Products!$A$2:$A$61,0)),"Unknown")</f>
        <v>Earrings</v>
      </c>
      <c r="P625" s="14" t="str">
        <f>IFERROR(INDEX(Cleaned_Products!$D$2:$D$61,MATCH(F625,Cleaned_Products!$A$2:$A$61,0)),"Unknown")</f>
        <v>Diamond</v>
      </c>
    </row>
    <row r="626" spans="1:16" x14ac:dyDescent="0.35">
      <c r="A626" s="14" t="s">
        <v>2761</v>
      </c>
      <c r="B626" s="21">
        <v>45487</v>
      </c>
      <c r="C626" s="14" t="s">
        <v>4009</v>
      </c>
      <c r="D626" s="14">
        <v>2024</v>
      </c>
      <c r="E626" s="14" t="s">
        <v>498</v>
      </c>
      <c r="F626" s="14" t="s">
        <v>240</v>
      </c>
      <c r="G626" s="14" t="s">
        <v>101</v>
      </c>
      <c r="H626" s="14">
        <v>2</v>
      </c>
      <c r="I626" s="14">
        <v>175020</v>
      </c>
      <c r="J626" s="14">
        <v>15</v>
      </c>
      <c r="K626" s="14">
        <v>297534</v>
      </c>
      <c r="L626" s="14" t="s">
        <v>3974</v>
      </c>
      <c r="M626" s="14" t="s">
        <v>3980</v>
      </c>
      <c r="N626" s="14" t="s">
        <v>2763</v>
      </c>
      <c r="O626" s="14" t="str">
        <f>IFERROR(INDEX(Cleaned_Products!$C$2:$C$61,MATCH(F626,Cleaned_Products!$A$2:$A$61,0)),"Unknown")</f>
        <v>Bangles</v>
      </c>
      <c r="P626" s="14" t="str">
        <f>IFERROR(INDEX(Cleaned_Products!$D$2:$D$61,MATCH(F626,Cleaned_Products!$A$2:$A$61,0)),"Unknown")</f>
        <v>Platinum</v>
      </c>
    </row>
    <row r="627" spans="1:16" x14ac:dyDescent="0.35">
      <c r="A627" s="14" t="s">
        <v>2764</v>
      </c>
      <c r="B627" s="21">
        <v>45762</v>
      </c>
      <c r="C627" s="14" t="s">
        <v>4006</v>
      </c>
      <c r="D627" s="14">
        <v>2025</v>
      </c>
      <c r="E627" s="14" t="s">
        <v>890</v>
      </c>
      <c r="F627" s="14" t="s">
        <v>360</v>
      </c>
      <c r="G627" s="14" t="s">
        <v>64</v>
      </c>
      <c r="H627" s="14">
        <v>1</v>
      </c>
      <c r="I627" s="14">
        <v>63980</v>
      </c>
      <c r="J627" s="14">
        <v>15</v>
      </c>
      <c r="K627" s="14">
        <v>54383</v>
      </c>
      <c r="L627" s="14" t="s">
        <v>73</v>
      </c>
      <c r="M627" s="14" t="s">
        <v>3980</v>
      </c>
      <c r="N627" s="14" t="s">
        <v>3983</v>
      </c>
      <c r="O627" s="14" t="str">
        <f>IFERROR(INDEX(Cleaned_Products!$C$2:$C$61,MATCH(F627,Cleaned_Products!$A$2:$A$61,0)),"Unknown")</f>
        <v>Pendants</v>
      </c>
      <c r="P627" s="14" t="str">
        <f>IFERROR(INDEX(Cleaned_Products!$D$2:$D$61,MATCH(F627,Cleaned_Products!$A$2:$A$61,0)),"Unknown")</f>
        <v>Diamond</v>
      </c>
    </row>
    <row r="628" spans="1:16" x14ac:dyDescent="0.35">
      <c r="A628" s="14" t="s">
        <v>2769</v>
      </c>
      <c r="B628" s="21">
        <v>44993</v>
      </c>
      <c r="C628" s="14" t="s">
        <v>3982</v>
      </c>
      <c r="D628" s="14">
        <v>2023</v>
      </c>
      <c r="E628" s="14" t="s">
        <v>859</v>
      </c>
      <c r="F628" s="14" t="s">
        <v>432</v>
      </c>
      <c r="G628" s="14" t="s">
        <v>56</v>
      </c>
      <c r="H628" s="14">
        <v>2</v>
      </c>
      <c r="I628" s="14">
        <v>110500</v>
      </c>
      <c r="J628" s="14">
        <v>10</v>
      </c>
      <c r="K628" s="14">
        <v>198900</v>
      </c>
      <c r="L628" s="14" t="s">
        <v>3974</v>
      </c>
      <c r="M628" s="14" t="s">
        <v>3975</v>
      </c>
      <c r="N628" s="14" t="s">
        <v>2771</v>
      </c>
      <c r="O628" s="14" t="str">
        <f>IFERROR(INDEX(Cleaned_Products!$C$2:$C$61,MATCH(F628,Cleaned_Products!$A$2:$A$61,0)),"Unknown")</f>
        <v>Earrings</v>
      </c>
      <c r="P628" s="14" t="str">
        <f>IFERROR(INDEX(Cleaned_Products!$D$2:$D$61,MATCH(F628,Cleaned_Products!$A$2:$A$61,0)),"Unknown")</f>
        <v>Gold</v>
      </c>
    </row>
    <row r="629" spans="1:16" x14ac:dyDescent="0.35">
      <c r="A629" s="14" t="s">
        <v>2772</v>
      </c>
      <c r="B629" s="21">
        <v>45274</v>
      </c>
      <c r="C629" s="14" t="s">
        <v>4008</v>
      </c>
      <c r="D629" s="14">
        <v>2023</v>
      </c>
      <c r="E629" s="14" t="s">
        <v>396</v>
      </c>
      <c r="F629" s="14" t="s">
        <v>144</v>
      </c>
      <c r="G629" s="14" t="s">
        <v>126</v>
      </c>
      <c r="H629" s="14">
        <v>1</v>
      </c>
      <c r="I629" s="14">
        <v>47320</v>
      </c>
      <c r="J629" s="14">
        <v>0</v>
      </c>
      <c r="K629" s="14">
        <v>47320</v>
      </c>
      <c r="L629" s="14" t="s">
        <v>3979</v>
      </c>
      <c r="M629" s="14" t="s">
        <v>3975</v>
      </c>
      <c r="N629" s="14" t="s">
        <v>2775</v>
      </c>
      <c r="O629" s="14" t="str">
        <f>IFERROR(INDEX(Cleaned_Products!$C$2:$C$61,MATCH(F629,Cleaned_Products!$A$2:$A$61,0)),"Unknown")</f>
        <v>Necklaces</v>
      </c>
      <c r="P629" s="14" t="str">
        <f>IFERROR(INDEX(Cleaned_Products!$D$2:$D$61,MATCH(F629,Cleaned_Products!$A$2:$A$61,0)),"Unknown")</f>
        <v>Gold</v>
      </c>
    </row>
    <row r="630" spans="1:16" x14ac:dyDescent="0.35">
      <c r="A630" s="14" t="s">
        <v>2776</v>
      </c>
      <c r="B630" s="21">
        <v>45472</v>
      </c>
      <c r="C630" s="14" t="s">
        <v>3984</v>
      </c>
      <c r="D630" s="14">
        <v>2024</v>
      </c>
      <c r="E630" s="14" t="s">
        <v>758</v>
      </c>
      <c r="F630" s="14" t="s">
        <v>172</v>
      </c>
      <c r="G630" s="14" t="s">
        <v>64</v>
      </c>
      <c r="H630" s="14">
        <v>2</v>
      </c>
      <c r="I630" s="14">
        <v>173730</v>
      </c>
      <c r="J630" s="14">
        <v>0</v>
      </c>
      <c r="K630" s="14">
        <v>347460</v>
      </c>
      <c r="L630" s="14" t="s">
        <v>73</v>
      </c>
      <c r="M630" s="14" t="s">
        <v>3975</v>
      </c>
      <c r="N630" s="14" t="s">
        <v>2778</v>
      </c>
      <c r="O630" s="14" t="str">
        <f>IFERROR(INDEX(Cleaned_Products!$C$2:$C$61,MATCH(F630,Cleaned_Products!$A$2:$A$61,0)),"Unknown")</f>
        <v>Bracelets</v>
      </c>
      <c r="P630" s="14" t="str">
        <f>IFERROR(INDEX(Cleaned_Products!$D$2:$D$61,MATCH(F630,Cleaned_Products!$A$2:$A$61,0)),"Unknown")</f>
        <v>Gold</v>
      </c>
    </row>
    <row r="631" spans="1:16" x14ac:dyDescent="0.35">
      <c r="A631" s="14" t="s">
        <v>2779</v>
      </c>
      <c r="B631" s="21">
        <v>45082</v>
      </c>
      <c r="C631" s="14" t="s">
        <v>3994</v>
      </c>
      <c r="D631" s="14">
        <v>2023</v>
      </c>
      <c r="E631" s="14" t="s">
        <v>558</v>
      </c>
      <c r="F631" s="14" t="s">
        <v>154</v>
      </c>
      <c r="G631" s="14" t="s">
        <v>101</v>
      </c>
      <c r="H631" s="14">
        <v>1</v>
      </c>
      <c r="I631" s="14">
        <v>191560</v>
      </c>
      <c r="J631" s="14">
        <v>15</v>
      </c>
      <c r="K631" s="14">
        <v>162826</v>
      </c>
      <c r="L631" s="14" t="s">
        <v>95</v>
      </c>
      <c r="M631" s="14" t="s">
        <v>3980</v>
      </c>
      <c r="N631" s="14" t="s">
        <v>2781</v>
      </c>
      <c r="O631" s="14" t="str">
        <f>IFERROR(INDEX(Cleaned_Products!$C$2:$C$61,MATCH(F631,Cleaned_Products!$A$2:$A$61,0)),"Unknown")</f>
        <v>Rings</v>
      </c>
      <c r="P631" s="14" t="str">
        <f>IFERROR(INDEX(Cleaned_Products!$D$2:$D$61,MATCH(F631,Cleaned_Products!$A$2:$A$61,0)),"Unknown")</f>
        <v>Silver</v>
      </c>
    </row>
    <row r="632" spans="1:16" x14ac:dyDescent="0.35">
      <c r="A632" s="14" t="s">
        <v>2782</v>
      </c>
      <c r="B632" s="21">
        <v>44950</v>
      </c>
      <c r="C632" s="14" t="s">
        <v>3987</v>
      </c>
      <c r="D632" s="14">
        <v>2023</v>
      </c>
      <c r="E632" s="14" t="s">
        <v>645</v>
      </c>
      <c r="F632" s="14" t="s">
        <v>550</v>
      </c>
      <c r="G632" s="14" t="s">
        <v>64</v>
      </c>
      <c r="H632" s="14">
        <v>1</v>
      </c>
      <c r="I632" s="14">
        <v>244060</v>
      </c>
      <c r="J632" s="14">
        <v>0</v>
      </c>
      <c r="K632" s="14">
        <v>244060</v>
      </c>
      <c r="L632" s="14" t="s">
        <v>3977</v>
      </c>
      <c r="M632" s="14" t="s">
        <v>3980</v>
      </c>
      <c r="N632" s="14" t="s">
        <v>3983</v>
      </c>
      <c r="O632" s="14" t="str">
        <f>IFERROR(INDEX(Cleaned_Products!$C$2:$C$61,MATCH(F632,Cleaned_Products!$A$2:$A$61,0)),"Unknown")</f>
        <v>Bracelets</v>
      </c>
      <c r="P632" s="14" t="str">
        <f>IFERROR(INDEX(Cleaned_Products!$D$2:$D$61,MATCH(F632,Cleaned_Products!$A$2:$A$61,0)),"Unknown")</f>
        <v>Silver</v>
      </c>
    </row>
    <row r="633" spans="1:16" x14ac:dyDescent="0.35">
      <c r="A633" s="14" t="s">
        <v>2787</v>
      </c>
      <c r="B633" s="21">
        <v>45796</v>
      </c>
      <c r="C633" s="14" t="s">
        <v>4004</v>
      </c>
      <c r="D633" s="14">
        <v>2025</v>
      </c>
      <c r="E633" s="14" t="s">
        <v>254</v>
      </c>
      <c r="F633" s="14" t="s">
        <v>172</v>
      </c>
      <c r="G633" s="14" t="s">
        <v>108</v>
      </c>
      <c r="H633" s="14">
        <v>2</v>
      </c>
      <c r="I633" s="14">
        <v>81120</v>
      </c>
      <c r="J633" s="14">
        <v>15</v>
      </c>
      <c r="K633" s="14">
        <v>137904</v>
      </c>
      <c r="L633" s="14" t="s">
        <v>95</v>
      </c>
      <c r="M633" s="14" t="s">
        <v>3975</v>
      </c>
      <c r="N633" s="14" t="s">
        <v>2789</v>
      </c>
      <c r="O633" s="14" t="str">
        <f>IFERROR(INDEX(Cleaned_Products!$C$2:$C$61,MATCH(F633,Cleaned_Products!$A$2:$A$61,0)),"Unknown")</f>
        <v>Bracelets</v>
      </c>
      <c r="P633" s="14" t="str">
        <f>IFERROR(INDEX(Cleaned_Products!$D$2:$D$61,MATCH(F633,Cleaned_Products!$A$2:$A$61,0)),"Unknown")</f>
        <v>Gold</v>
      </c>
    </row>
    <row r="634" spans="1:16" x14ac:dyDescent="0.35">
      <c r="A634" s="14" t="s">
        <v>2790</v>
      </c>
      <c r="B634" s="21">
        <v>45076</v>
      </c>
      <c r="C634" s="14" t="s">
        <v>3973</v>
      </c>
      <c r="D634" s="14">
        <v>2023</v>
      </c>
      <c r="E634" s="14" t="s">
        <v>301</v>
      </c>
      <c r="F634" s="14" t="s">
        <v>163</v>
      </c>
      <c r="G634" s="14" t="s">
        <v>108</v>
      </c>
      <c r="H634" s="14">
        <v>3</v>
      </c>
      <c r="I634" s="14">
        <v>43500</v>
      </c>
      <c r="J634" s="14">
        <v>10</v>
      </c>
      <c r="K634" s="14">
        <v>117450</v>
      </c>
      <c r="L634" s="14" t="s">
        <v>95</v>
      </c>
      <c r="M634" s="14" t="s">
        <v>3980</v>
      </c>
      <c r="N634" s="14" t="s">
        <v>2792</v>
      </c>
      <c r="O634" s="14" t="str">
        <f>IFERROR(INDEX(Cleaned_Products!$C$2:$C$61,MATCH(F634,Cleaned_Products!$A$2:$A$61,0)),"Unknown")</f>
        <v>Earrings</v>
      </c>
      <c r="P634" s="14" t="str">
        <f>IFERROR(INDEX(Cleaned_Products!$D$2:$D$61,MATCH(F634,Cleaned_Products!$A$2:$A$61,0)),"Unknown")</f>
        <v>Diamond</v>
      </c>
    </row>
    <row r="635" spans="1:16" x14ac:dyDescent="0.35">
      <c r="A635" s="14" t="s">
        <v>2793</v>
      </c>
      <c r="B635" s="21">
        <v>45538</v>
      </c>
      <c r="C635" s="14" t="s">
        <v>4003</v>
      </c>
      <c r="D635" s="14">
        <v>2024</v>
      </c>
      <c r="E635" s="14" t="s">
        <v>511</v>
      </c>
      <c r="F635" s="14" t="s">
        <v>342</v>
      </c>
      <c r="G635" s="14" t="s">
        <v>108</v>
      </c>
      <c r="H635" s="14">
        <v>2</v>
      </c>
      <c r="I635" s="14">
        <v>105290</v>
      </c>
      <c r="J635" s="14">
        <v>0</v>
      </c>
      <c r="K635" s="14">
        <v>210580</v>
      </c>
      <c r="L635" s="14" t="s">
        <v>121</v>
      </c>
      <c r="M635" s="14" t="s">
        <v>3975</v>
      </c>
      <c r="N635" s="14" t="s">
        <v>2795</v>
      </c>
      <c r="O635" s="14" t="str">
        <f>IFERROR(INDEX(Cleaned_Products!$C$2:$C$61,MATCH(F635,Cleaned_Products!$A$2:$A$61,0)),"Unknown")</f>
        <v>Necklaces</v>
      </c>
      <c r="P635" s="14" t="str">
        <f>IFERROR(INDEX(Cleaned_Products!$D$2:$D$61,MATCH(F635,Cleaned_Products!$A$2:$A$61,0)),"Unknown")</f>
        <v>Diamond</v>
      </c>
    </row>
    <row r="636" spans="1:16" x14ac:dyDescent="0.35">
      <c r="A636" s="14" t="s">
        <v>2796</v>
      </c>
      <c r="B636" s="21">
        <v>44951</v>
      </c>
      <c r="C636" s="14" t="s">
        <v>3987</v>
      </c>
      <c r="D636" s="14">
        <v>2023</v>
      </c>
      <c r="E636" s="14" t="s">
        <v>2494</v>
      </c>
      <c r="F636" s="14" t="s">
        <v>100</v>
      </c>
      <c r="G636" s="14" t="s">
        <v>101</v>
      </c>
      <c r="H636" s="14">
        <v>3</v>
      </c>
      <c r="I636" s="14">
        <v>54760</v>
      </c>
      <c r="J636" s="14">
        <v>0</v>
      </c>
      <c r="K636" s="14">
        <v>164280</v>
      </c>
      <c r="L636" s="14" t="s">
        <v>73</v>
      </c>
      <c r="M636" s="14" t="s">
        <v>3975</v>
      </c>
      <c r="N636" s="14" t="s">
        <v>2798</v>
      </c>
      <c r="O636" s="14" t="str">
        <f>IFERROR(INDEX(Cleaned_Products!$C$2:$C$61,MATCH(F636,Cleaned_Products!$A$2:$A$61,0)),"Unknown")</f>
        <v>Nose Pins</v>
      </c>
      <c r="P636" s="14" t="str">
        <f>IFERROR(INDEX(Cleaned_Products!$D$2:$D$61,MATCH(F636,Cleaned_Products!$A$2:$A$61,0)),"Unknown")</f>
        <v>Diamond</v>
      </c>
    </row>
    <row r="637" spans="1:16" x14ac:dyDescent="0.35">
      <c r="A637" s="14" t="s">
        <v>2799</v>
      </c>
      <c r="B637" s="21">
        <v>45518</v>
      </c>
      <c r="C637" s="14" t="s">
        <v>3992</v>
      </c>
      <c r="D637" s="14">
        <v>2024</v>
      </c>
      <c r="E637" s="14" t="s">
        <v>368</v>
      </c>
      <c r="F637" s="14" t="s">
        <v>192</v>
      </c>
      <c r="G637" s="14" t="s">
        <v>101</v>
      </c>
      <c r="H637" s="14">
        <v>3</v>
      </c>
      <c r="I637" s="14">
        <v>196270</v>
      </c>
      <c r="J637" s="14">
        <v>10</v>
      </c>
      <c r="K637" s="14">
        <v>529929</v>
      </c>
      <c r="L637" s="14" t="s">
        <v>73</v>
      </c>
      <c r="M637" s="14" t="s">
        <v>3980</v>
      </c>
      <c r="N637" s="14" t="s">
        <v>2801</v>
      </c>
      <c r="O637" s="14" t="str">
        <f>IFERROR(INDEX(Cleaned_Products!$C$2:$C$61,MATCH(F637,Cleaned_Products!$A$2:$A$61,0)),"Unknown")</f>
        <v>Bangles</v>
      </c>
      <c r="P637" s="14" t="str">
        <f>IFERROR(INDEX(Cleaned_Products!$D$2:$D$61,MATCH(F637,Cleaned_Products!$A$2:$A$61,0)),"Unknown")</f>
        <v>Silver</v>
      </c>
    </row>
    <row r="638" spans="1:16" x14ac:dyDescent="0.35">
      <c r="A638" s="14" t="s">
        <v>2802</v>
      </c>
      <c r="B638" s="21">
        <v>45220</v>
      </c>
      <c r="C638" s="14" t="s">
        <v>3990</v>
      </c>
      <c r="D638" s="14">
        <v>2023</v>
      </c>
      <c r="E638" s="14" t="s">
        <v>106</v>
      </c>
      <c r="F638" s="14" t="s">
        <v>1309</v>
      </c>
      <c r="G638" s="14" t="s">
        <v>64</v>
      </c>
      <c r="H638" s="14">
        <v>3</v>
      </c>
      <c r="I638" s="14">
        <v>233490</v>
      </c>
      <c r="J638" s="14">
        <v>0</v>
      </c>
      <c r="K638" s="14">
        <v>700470</v>
      </c>
      <c r="L638" s="14" t="s">
        <v>3979</v>
      </c>
      <c r="M638" s="14" t="s">
        <v>3980</v>
      </c>
      <c r="N638" s="14" t="s">
        <v>3983</v>
      </c>
      <c r="O638" s="14" t="str">
        <f>IFERROR(INDEX(Cleaned_Products!$C$2:$C$61,MATCH(F638,Cleaned_Products!$A$2:$A$61,0)),"Unknown")</f>
        <v>Rings</v>
      </c>
      <c r="P638" s="14" t="str">
        <f>IFERROR(INDEX(Cleaned_Products!$D$2:$D$61,MATCH(F638,Cleaned_Products!$A$2:$A$61,0)),"Unknown")</f>
        <v>Platinum</v>
      </c>
    </row>
    <row r="639" spans="1:16" x14ac:dyDescent="0.35">
      <c r="A639" s="14" t="s">
        <v>2807</v>
      </c>
      <c r="B639" s="21">
        <v>45021</v>
      </c>
      <c r="C639" s="14" t="s">
        <v>4010</v>
      </c>
      <c r="D639" s="14">
        <v>2023</v>
      </c>
      <c r="E639" s="14" t="s">
        <v>1470</v>
      </c>
      <c r="F639" s="14" t="s">
        <v>71</v>
      </c>
      <c r="G639" s="14" t="s">
        <v>72</v>
      </c>
      <c r="H639" s="14">
        <v>1</v>
      </c>
      <c r="I639" s="14">
        <v>175290</v>
      </c>
      <c r="J639" s="14">
        <v>0</v>
      </c>
      <c r="K639" s="14">
        <v>175290</v>
      </c>
      <c r="L639" s="14" t="s">
        <v>121</v>
      </c>
      <c r="M639" s="14" t="s">
        <v>3980</v>
      </c>
      <c r="N639" s="14" t="s">
        <v>2809</v>
      </c>
      <c r="O639" s="14" t="str">
        <f>IFERROR(INDEX(Cleaned_Products!$C$2:$C$61,MATCH(F639,Cleaned_Products!$A$2:$A$61,0)),"Unknown")</f>
        <v>Bracelets</v>
      </c>
      <c r="P639" s="14" t="str">
        <f>IFERROR(INDEX(Cleaned_Products!$D$2:$D$61,MATCH(F639,Cleaned_Products!$A$2:$A$61,0)),"Unknown")</f>
        <v>Rose Gold</v>
      </c>
    </row>
    <row r="640" spans="1:16" x14ac:dyDescent="0.35">
      <c r="A640" s="14" t="s">
        <v>2813</v>
      </c>
      <c r="B640" s="21">
        <v>45122</v>
      </c>
      <c r="C640" s="14" t="s">
        <v>3988</v>
      </c>
      <c r="D640" s="14">
        <v>2023</v>
      </c>
      <c r="E640" s="14" t="s">
        <v>973</v>
      </c>
      <c r="F640" s="14" t="s">
        <v>216</v>
      </c>
      <c r="G640" s="14" t="s">
        <v>113</v>
      </c>
      <c r="H640" s="14">
        <v>3</v>
      </c>
      <c r="I640" s="14">
        <v>204190</v>
      </c>
      <c r="J640" s="14">
        <v>15</v>
      </c>
      <c r="K640" s="14">
        <v>520684.5</v>
      </c>
      <c r="L640" s="14" t="s">
        <v>95</v>
      </c>
      <c r="M640" s="14" t="s">
        <v>3975</v>
      </c>
      <c r="N640" s="14" t="s">
        <v>2816</v>
      </c>
      <c r="O640" s="14" t="str">
        <f>IFERROR(INDEX(Cleaned_Products!$C$2:$C$61,MATCH(F640,Cleaned_Products!$A$2:$A$61,0)),"Unknown")</f>
        <v>Bracelets</v>
      </c>
      <c r="P640" s="14" t="str">
        <f>IFERROR(INDEX(Cleaned_Products!$D$2:$D$61,MATCH(F640,Cleaned_Products!$A$2:$A$61,0)),"Unknown")</f>
        <v>Silver</v>
      </c>
    </row>
    <row r="641" spans="1:16" x14ac:dyDescent="0.35">
      <c r="A641" s="14" t="s">
        <v>2823</v>
      </c>
      <c r="B641" s="21">
        <v>45729</v>
      </c>
      <c r="C641" s="14" t="s">
        <v>4002</v>
      </c>
      <c r="D641" s="14">
        <v>2025</v>
      </c>
      <c r="E641" s="14" t="s">
        <v>333</v>
      </c>
      <c r="F641" s="14" t="s">
        <v>259</v>
      </c>
      <c r="G641" s="14" t="s">
        <v>126</v>
      </c>
      <c r="H641" s="14">
        <v>1</v>
      </c>
      <c r="I641" s="14">
        <v>132070</v>
      </c>
      <c r="J641" s="14">
        <v>5</v>
      </c>
      <c r="K641" s="14">
        <v>125466.5</v>
      </c>
      <c r="L641" s="14" t="s">
        <v>3974</v>
      </c>
      <c r="M641" s="14" t="s">
        <v>3975</v>
      </c>
      <c r="N641" s="14" t="s">
        <v>2825</v>
      </c>
      <c r="O641" s="14" t="str">
        <f>IFERROR(INDEX(Cleaned_Products!$C$2:$C$61,MATCH(F641,Cleaned_Products!$A$2:$A$61,0)),"Unknown")</f>
        <v>Pendants</v>
      </c>
      <c r="P641" s="14" t="str">
        <f>IFERROR(INDEX(Cleaned_Products!$D$2:$D$61,MATCH(F641,Cleaned_Products!$A$2:$A$61,0)),"Unknown")</f>
        <v>Platinum</v>
      </c>
    </row>
    <row r="642" spans="1:16" x14ac:dyDescent="0.35">
      <c r="A642" s="14" t="s">
        <v>2831</v>
      </c>
      <c r="B642" s="21">
        <v>45108</v>
      </c>
      <c r="C642" s="14" t="s">
        <v>3988</v>
      </c>
      <c r="D642" s="14">
        <v>2023</v>
      </c>
      <c r="E642" s="14" t="s">
        <v>859</v>
      </c>
      <c r="F642" s="14" t="s">
        <v>144</v>
      </c>
      <c r="G642" s="14" t="s">
        <v>101</v>
      </c>
      <c r="H642" s="14">
        <v>1</v>
      </c>
      <c r="I642" s="14">
        <v>96790</v>
      </c>
      <c r="J642" s="14">
        <v>15</v>
      </c>
      <c r="K642" s="14">
        <v>82271.5</v>
      </c>
      <c r="L642" s="14" t="s">
        <v>121</v>
      </c>
      <c r="M642" s="14" t="s">
        <v>3975</v>
      </c>
      <c r="N642" s="14" t="s">
        <v>2833</v>
      </c>
      <c r="O642" s="14" t="str">
        <f>IFERROR(INDEX(Cleaned_Products!$C$2:$C$61,MATCH(F642,Cleaned_Products!$A$2:$A$61,0)),"Unknown")</f>
        <v>Necklaces</v>
      </c>
      <c r="P642" s="14" t="str">
        <f>IFERROR(INDEX(Cleaned_Products!$D$2:$D$61,MATCH(F642,Cleaned_Products!$A$2:$A$61,0)),"Unknown")</f>
        <v>Gold</v>
      </c>
    </row>
    <row r="643" spans="1:16" x14ac:dyDescent="0.35">
      <c r="A643" s="14" t="s">
        <v>2834</v>
      </c>
      <c r="B643" s="21">
        <v>45553</v>
      </c>
      <c r="C643" s="14" t="s">
        <v>4003</v>
      </c>
      <c r="D643" s="14">
        <v>2024</v>
      </c>
      <c r="E643" s="14" t="s">
        <v>3995</v>
      </c>
      <c r="F643" s="14" t="s">
        <v>154</v>
      </c>
      <c r="G643" s="14" t="s">
        <v>56</v>
      </c>
      <c r="H643" s="14">
        <v>3</v>
      </c>
      <c r="I643" s="14">
        <v>182290</v>
      </c>
      <c r="J643" s="14">
        <v>5</v>
      </c>
      <c r="K643" s="14">
        <v>519526.5</v>
      </c>
      <c r="L643" s="14" t="s">
        <v>3977</v>
      </c>
      <c r="M643" s="14" t="s">
        <v>3975</v>
      </c>
      <c r="N643" s="14" t="s">
        <v>2835</v>
      </c>
      <c r="O643" s="14" t="str">
        <f>IFERROR(INDEX(Cleaned_Products!$C$2:$C$61,MATCH(F643,Cleaned_Products!$A$2:$A$61,0)),"Unknown")</f>
        <v>Rings</v>
      </c>
      <c r="P643" s="14" t="str">
        <f>IFERROR(INDEX(Cleaned_Products!$D$2:$D$61,MATCH(F643,Cleaned_Products!$A$2:$A$61,0)),"Unknown")</f>
        <v>Silver</v>
      </c>
    </row>
    <row r="644" spans="1:16" x14ac:dyDescent="0.35">
      <c r="A644" s="14" t="s">
        <v>2836</v>
      </c>
      <c r="B644" s="21">
        <v>45430</v>
      </c>
      <c r="C644" s="14" t="s">
        <v>4007</v>
      </c>
      <c r="D644" s="14">
        <v>2024</v>
      </c>
      <c r="E644" s="14" t="s">
        <v>973</v>
      </c>
      <c r="F644" s="14" t="s">
        <v>360</v>
      </c>
      <c r="G644" s="14" t="s">
        <v>80</v>
      </c>
      <c r="H644" s="14">
        <v>1</v>
      </c>
      <c r="I644" s="14">
        <v>143070</v>
      </c>
      <c r="J644" s="14">
        <v>0</v>
      </c>
      <c r="K644" s="14">
        <v>143070</v>
      </c>
      <c r="L644" s="14" t="s">
        <v>95</v>
      </c>
      <c r="M644" s="14" t="s">
        <v>3980</v>
      </c>
      <c r="N644" s="14" t="s">
        <v>2838</v>
      </c>
      <c r="O644" s="14" t="str">
        <f>IFERROR(INDEX(Cleaned_Products!$C$2:$C$61,MATCH(F644,Cleaned_Products!$A$2:$A$61,0)),"Unknown")</f>
        <v>Pendants</v>
      </c>
      <c r="P644" s="14" t="str">
        <f>IFERROR(INDEX(Cleaned_Products!$D$2:$D$61,MATCH(F644,Cleaned_Products!$A$2:$A$61,0)),"Unknown")</f>
        <v>Diamond</v>
      </c>
    </row>
    <row r="645" spans="1:16" x14ac:dyDescent="0.35">
      <c r="A645" s="14" t="s">
        <v>2839</v>
      </c>
      <c r="B645" s="21">
        <v>45704</v>
      </c>
      <c r="C645" s="14" t="s">
        <v>3989</v>
      </c>
      <c r="D645" s="14">
        <v>2025</v>
      </c>
      <c r="E645" s="14" t="s">
        <v>341</v>
      </c>
      <c r="F645" s="14" t="s">
        <v>278</v>
      </c>
      <c r="G645" s="14" t="s">
        <v>113</v>
      </c>
      <c r="H645" s="14">
        <v>1</v>
      </c>
      <c r="I645" s="14">
        <v>20140</v>
      </c>
      <c r="J645" s="14">
        <v>0</v>
      </c>
      <c r="K645" s="14">
        <v>20140</v>
      </c>
      <c r="L645" s="14" t="s">
        <v>121</v>
      </c>
      <c r="M645" s="14" t="s">
        <v>3980</v>
      </c>
      <c r="N645" s="14" t="s">
        <v>2841</v>
      </c>
      <c r="O645" s="14" t="str">
        <f>IFERROR(INDEX(Cleaned_Products!$C$2:$C$61,MATCH(F645,Cleaned_Products!$A$2:$A$61,0)),"Unknown")</f>
        <v>Earrings</v>
      </c>
      <c r="P645" s="14" t="str">
        <f>IFERROR(INDEX(Cleaned_Products!$D$2:$D$61,MATCH(F645,Cleaned_Products!$A$2:$A$61,0)),"Unknown")</f>
        <v>Diamond</v>
      </c>
    </row>
    <row r="646" spans="1:16" x14ac:dyDescent="0.35">
      <c r="A646" s="14" t="s">
        <v>2842</v>
      </c>
      <c r="B646" s="21">
        <v>45603</v>
      </c>
      <c r="C646" s="14" t="s">
        <v>3976</v>
      </c>
      <c r="D646" s="14">
        <v>2024</v>
      </c>
      <c r="E646" s="14" t="s">
        <v>1013</v>
      </c>
      <c r="F646" s="14" t="s">
        <v>192</v>
      </c>
      <c r="G646" s="14" t="s">
        <v>113</v>
      </c>
      <c r="H646" s="14">
        <v>2</v>
      </c>
      <c r="I646" s="14">
        <v>107150</v>
      </c>
      <c r="J646" s="14">
        <v>15</v>
      </c>
      <c r="K646" s="14">
        <v>182155</v>
      </c>
      <c r="L646" s="14" t="s">
        <v>73</v>
      </c>
      <c r="M646" s="14" t="s">
        <v>3975</v>
      </c>
      <c r="N646" s="14" t="s">
        <v>2844</v>
      </c>
      <c r="O646" s="14" t="str">
        <f>IFERROR(INDEX(Cleaned_Products!$C$2:$C$61,MATCH(F646,Cleaned_Products!$A$2:$A$61,0)),"Unknown")</f>
        <v>Bangles</v>
      </c>
      <c r="P646" s="14" t="str">
        <f>IFERROR(INDEX(Cleaned_Products!$D$2:$D$61,MATCH(F646,Cleaned_Products!$A$2:$A$61,0)),"Unknown")</f>
        <v>Silver</v>
      </c>
    </row>
    <row r="647" spans="1:16" x14ac:dyDescent="0.35">
      <c r="A647" s="14" t="s">
        <v>2845</v>
      </c>
      <c r="B647" s="21">
        <v>45383</v>
      </c>
      <c r="C647" s="14" t="s">
        <v>4000</v>
      </c>
      <c r="D647" s="14">
        <v>2024</v>
      </c>
      <c r="E647" s="14" t="s">
        <v>468</v>
      </c>
      <c r="F647" s="14" t="s">
        <v>163</v>
      </c>
      <c r="G647" s="14" t="s">
        <v>72</v>
      </c>
      <c r="H647" s="14">
        <v>3</v>
      </c>
      <c r="I647" s="14">
        <v>188710</v>
      </c>
      <c r="J647" s="14">
        <v>0</v>
      </c>
      <c r="K647" s="14">
        <v>566130</v>
      </c>
      <c r="L647" s="14" t="s">
        <v>95</v>
      </c>
      <c r="M647" s="14" t="s">
        <v>3975</v>
      </c>
      <c r="N647" s="14" t="s">
        <v>2846</v>
      </c>
      <c r="O647" s="14" t="str">
        <f>IFERROR(INDEX(Cleaned_Products!$C$2:$C$61,MATCH(F647,Cleaned_Products!$A$2:$A$61,0)),"Unknown")</f>
        <v>Earrings</v>
      </c>
      <c r="P647" s="14" t="str">
        <f>IFERROR(INDEX(Cleaned_Products!$D$2:$D$61,MATCH(F647,Cleaned_Products!$A$2:$A$61,0)),"Unknown")</f>
        <v>Diamond</v>
      </c>
    </row>
    <row r="648" spans="1:16" x14ac:dyDescent="0.35">
      <c r="A648" s="14" t="s">
        <v>2850</v>
      </c>
      <c r="B648" s="21">
        <v>45563</v>
      </c>
      <c r="C648" s="14" t="s">
        <v>4003</v>
      </c>
      <c r="D648" s="14">
        <v>2024</v>
      </c>
      <c r="E648" s="14" t="s">
        <v>495</v>
      </c>
      <c r="F648" s="14" t="s">
        <v>172</v>
      </c>
      <c r="G648" s="14" t="s">
        <v>108</v>
      </c>
      <c r="H648" s="14">
        <v>2</v>
      </c>
      <c r="I648" s="14">
        <v>51240</v>
      </c>
      <c r="J648" s="14">
        <v>0</v>
      </c>
      <c r="K648" s="14">
        <v>102480</v>
      </c>
      <c r="L648" s="14" t="s">
        <v>3974</v>
      </c>
      <c r="M648" s="14" t="s">
        <v>3980</v>
      </c>
      <c r="N648" s="14" t="s">
        <v>2853</v>
      </c>
      <c r="O648" s="14" t="str">
        <f>IFERROR(INDEX(Cleaned_Products!$C$2:$C$61,MATCH(F648,Cleaned_Products!$A$2:$A$61,0)),"Unknown")</f>
        <v>Bracelets</v>
      </c>
      <c r="P648" s="14" t="str">
        <f>IFERROR(INDEX(Cleaned_Products!$D$2:$D$61,MATCH(F648,Cleaned_Products!$A$2:$A$61,0)),"Unknown")</f>
        <v>Gold</v>
      </c>
    </row>
    <row r="649" spans="1:16" x14ac:dyDescent="0.35">
      <c r="A649" s="14" t="s">
        <v>2857</v>
      </c>
      <c r="B649" s="21">
        <v>45794</v>
      </c>
      <c r="C649" s="14" t="s">
        <v>4004</v>
      </c>
      <c r="D649" s="14">
        <v>2025</v>
      </c>
      <c r="E649" s="14" t="s">
        <v>285</v>
      </c>
      <c r="F649" s="14" t="s">
        <v>207</v>
      </c>
      <c r="G649" s="14" t="s">
        <v>56</v>
      </c>
      <c r="H649" s="14">
        <v>3</v>
      </c>
      <c r="I649" s="14">
        <v>47640</v>
      </c>
      <c r="J649" s="14">
        <v>15</v>
      </c>
      <c r="K649" s="14">
        <v>121482</v>
      </c>
      <c r="L649" s="14" t="s">
        <v>3974</v>
      </c>
      <c r="M649" s="14" t="s">
        <v>3980</v>
      </c>
      <c r="N649" s="14" t="s">
        <v>3983</v>
      </c>
      <c r="O649" s="14" t="str">
        <f>IFERROR(INDEX(Cleaned_Products!$C$2:$C$61,MATCH(F649,Cleaned_Products!$A$2:$A$61,0)),"Unknown")</f>
        <v>Anklets</v>
      </c>
      <c r="P649" s="14" t="str">
        <f>IFERROR(INDEX(Cleaned_Products!$D$2:$D$61,MATCH(F649,Cleaned_Products!$A$2:$A$61,0)),"Unknown")</f>
        <v>Silver</v>
      </c>
    </row>
    <row r="650" spans="1:16" x14ac:dyDescent="0.35">
      <c r="A650" s="14" t="s">
        <v>2859</v>
      </c>
      <c r="B650" s="21">
        <v>45645</v>
      </c>
      <c r="C650" s="14" t="s">
        <v>3986</v>
      </c>
      <c r="D650" s="14">
        <v>2024</v>
      </c>
      <c r="E650" s="14" t="s">
        <v>1018</v>
      </c>
      <c r="F650" s="14" t="s">
        <v>179</v>
      </c>
      <c r="G650" s="14" t="s">
        <v>64</v>
      </c>
      <c r="H650" s="14">
        <v>1</v>
      </c>
      <c r="I650" s="14">
        <v>11430</v>
      </c>
      <c r="J650" s="14">
        <v>0</v>
      </c>
      <c r="K650" s="14">
        <v>11430</v>
      </c>
      <c r="L650" s="14" t="s">
        <v>121</v>
      </c>
      <c r="M650" s="14" t="s">
        <v>3980</v>
      </c>
      <c r="N650" s="14" t="s">
        <v>3983</v>
      </c>
      <c r="O650" s="14" t="str">
        <f>IFERROR(INDEX(Cleaned_Products!$C$2:$C$61,MATCH(F650,Cleaned_Products!$A$2:$A$61,0)),"Unknown")</f>
        <v>Bracelets</v>
      </c>
      <c r="P650" s="14" t="str">
        <f>IFERROR(INDEX(Cleaned_Products!$D$2:$D$61,MATCH(F650,Cleaned_Products!$A$2:$A$61,0)),"Unknown")</f>
        <v>Rose Gold</v>
      </c>
    </row>
    <row r="651" spans="1:16" x14ac:dyDescent="0.35">
      <c r="A651" s="14" t="s">
        <v>2860</v>
      </c>
      <c r="B651" s="21">
        <v>45607</v>
      </c>
      <c r="C651" s="14" t="s">
        <v>3976</v>
      </c>
      <c r="D651" s="14">
        <v>2024</v>
      </c>
      <c r="E651" s="14" t="s">
        <v>211</v>
      </c>
      <c r="F651" s="14" t="s">
        <v>55</v>
      </c>
      <c r="G651" s="14" t="s">
        <v>56</v>
      </c>
      <c r="H651" s="14">
        <v>1</v>
      </c>
      <c r="I651" s="14">
        <v>200750</v>
      </c>
      <c r="J651" s="14">
        <v>0</v>
      </c>
      <c r="K651" s="14">
        <v>200750</v>
      </c>
      <c r="L651" s="14" t="s">
        <v>121</v>
      </c>
      <c r="M651" s="14" t="s">
        <v>3980</v>
      </c>
      <c r="N651" s="14" t="s">
        <v>3983</v>
      </c>
      <c r="O651" s="14" t="str">
        <f>IFERROR(INDEX(Cleaned_Products!$C$2:$C$61,MATCH(F651,Cleaned_Products!$A$2:$A$61,0)),"Unknown")</f>
        <v>Anklets</v>
      </c>
      <c r="P651" s="14" t="str">
        <f>IFERROR(INDEX(Cleaned_Products!$D$2:$D$61,MATCH(F651,Cleaned_Products!$A$2:$A$61,0)),"Unknown")</f>
        <v>Gold</v>
      </c>
    </row>
    <row r="652" spans="1:16" x14ac:dyDescent="0.35">
      <c r="A652" s="14" t="s">
        <v>2865</v>
      </c>
      <c r="B652" s="21">
        <v>45213</v>
      </c>
      <c r="C652" s="14" t="s">
        <v>3990</v>
      </c>
      <c r="D652" s="14">
        <v>2023</v>
      </c>
      <c r="E652" s="14" t="s">
        <v>1097</v>
      </c>
      <c r="F652" s="14" t="s">
        <v>736</v>
      </c>
      <c r="G652" s="14" t="s">
        <v>113</v>
      </c>
      <c r="H652" s="14">
        <v>1</v>
      </c>
      <c r="I652" s="14">
        <v>78300</v>
      </c>
      <c r="J652" s="14">
        <v>10</v>
      </c>
      <c r="K652" s="14">
        <v>70470</v>
      </c>
      <c r="L652" s="14" t="s">
        <v>3979</v>
      </c>
      <c r="M652" s="14" t="s">
        <v>3975</v>
      </c>
      <c r="N652" s="14" t="s">
        <v>2868</v>
      </c>
      <c r="O652" s="14" t="str">
        <f>IFERROR(INDEX(Cleaned_Products!$C$2:$C$61,MATCH(F652,Cleaned_Products!$A$2:$A$61,0)),"Unknown")</f>
        <v>Rings</v>
      </c>
      <c r="P652" s="14" t="str">
        <f>IFERROR(INDEX(Cleaned_Products!$D$2:$D$61,MATCH(F652,Cleaned_Products!$A$2:$A$61,0)),"Unknown")</f>
        <v>Silver</v>
      </c>
    </row>
    <row r="653" spans="1:16" x14ac:dyDescent="0.35">
      <c r="A653" s="14" t="s">
        <v>2869</v>
      </c>
      <c r="B653" s="21">
        <v>45263</v>
      </c>
      <c r="C653" s="14" t="s">
        <v>4008</v>
      </c>
      <c r="D653" s="14">
        <v>2023</v>
      </c>
      <c r="E653" s="14" t="s">
        <v>1486</v>
      </c>
      <c r="F653" s="14" t="s">
        <v>172</v>
      </c>
      <c r="G653" s="14" t="s">
        <v>56</v>
      </c>
      <c r="H653" s="14">
        <v>1</v>
      </c>
      <c r="I653" s="14">
        <v>40230</v>
      </c>
      <c r="J653" s="14">
        <v>0</v>
      </c>
      <c r="K653" s="14">
        <v>40230</v>
      </c>
      <c r="L653" s="14" t="s">
        <v>121</v>
      </c>
      <c r="M653" s="14" t="s">
        <v>3975</v>
      </c>
      <c r="N653" s="14" t="s">
        <v>2870</v>
      </c>
      <c r="O653" s="14" t="str">
        <f>IFERROR(INDEX(Cleaned_Products!$C$2:$C$61,MATCH(F653,Cleaned_Products!$A$2:$A$61,0)),"Unknown")</f>
        <v>Bracelets</v>
      </c>
      <c r="P653" s="14" t="str">
        <f>IFERROR(INDEX(Cleaned_Products!$D$2:$D$61,MATCH(F653,Cleaned_Products!$A$2:$A$61,0)),"Unknown")</f>
        <v>Gold</v>
      </c>
    </row>
    <row r="654" spans="1:16" x14ac:dyDescent="0.35">
      <c r="A654" s="14" t="s">
        <v>2871</v>
      </c>
      <c r="B654" s="21">
        <v>45619</v>
      </c>
      <c r="C654" s="14" t="s">
        <v>3976</v>
      </c>
      <c r="D654" s="14">
        <v>2024</v>
      </c>
      <c r="E654" s="14" t="s">
        <v>153</v>
      </c>
      <c r="F654" s="14" t="s">
        <v>529</v>
      </c>
      <c r="G654" s="14" t="s">
        <v>101</v>
      </c>
      <c r="H654" s="14">
        <v>1</v>
      </c>
      <c r="I654" s="14">
        <v>23570</v>
      </c>
      <c r="J654" s="14">
        <v>15</v>
      </c>
      <c r="K654" s="14">
        <v>20034.5</v>
      </c>
      <c r="L654" s="14" t="s">
        <v>121</v>
      </c>
      <c r="M654" s="14" t="s">
        <v>3980</v>
      </c>
      <c r="N654" s="14" t="s">
        <v>3983</v>
      </c>
      <c r="O654" s="14" t="str">
        <f>IFERROR(INDEX(Cleaned_Products!$C$2:$C$61,MATCH(F654,Cleaned_Products!$A$2:$A$61,0)),"Unknown")</f>
        <v>Bangles</v>
      </c>
      <c r="P654" s="14" t="str">
        <f>IFERROR(INDEX(Cleaned_Products!$D$2:$D$61,MATCH(F654,Cleaned_Products!$A$2:$A$61,0)),"Unknown")</f>
        <v>Silver</v>
      </c>
    </row>
    <row r="655" spans="1:16" x14ac:dyDescent="0.35">
      <c r="A655" s="14" t="s">
        <v>2873</v>
      </c>
      <c r="B655" s="21">
        <v>45026</v>
      </c>
      <c r="C655" s="14" t="s">
        <v>4010</v>
      </c>
      <c r="D655" s="14">
        <v>2023</v>
      </c>
      <c r="E655" s="14" t="s">
        <v>325</v>
      </c>
      <c r="F655" s="14" t="s">
        <v>736</v>
      </c>
      <c r="G655" s="14" t="s">
        <v>72</v>
      </c>
      <c r="H655" s="14">
        <v>1</v>
      </c>
      <c r="I655" s="14">
        <v>151170</v>
      </c>
      <c r="J655" s="14">
        <v>0</v>
      </c>
      <c r="K655" s="14">
        <v>151170</v>
      </c>
      <c r="L655" s="14" t="s">
        <v>3977</v>
      </c>
      <c r="M655" s="14" t="s">
        <v>3980</v>
      </c>
      <c r="N655" s="14" t="s">
        <v>3983</v>
      </c>
      <c r="O655" s="14" t="str">
        <f>IFERROR(INDEX(Cleaned_Products!$C$2:$C$61,MATCH(F655,Cleaned_Products!$A$2:$A$61,0)),"Unknown")</f>
        <v>Rings</v>
      </c>
      <c r="P655" s="14" t="str">
        <f>IFERROR(INDEX(Cleaned_Products!$D$2:$D$61,MATCH(F655,Cleaned_Products!$A$2:$A$61,0)),"Unknown")</f>
        <v>Silver</v>
      </c>
    </row>
    <row r="656" spans="1:16" x14ac:dyDescent="0.35">
      <c r="A656" s="14" t="s">
        <v>2875</v>
      </c>
      <c r="B656" s="21">
        <v>45546</v>
      </c>
      <c r="C656" s="14" t="s">
        <v>4003</v>
      </c>
      <c r="D656" s="14">
        <v>2024</v>
      </c>
      <c r="E656" s="14" t="s">
        <v>678</v>
      </c>
      <c r="F656" s="14" t="s">
        <v>529</v>
      </c>
      <c r="G656" s="14" t="s">
        <v>64</v>
      </c>
      <c r="H656" s="14">
        <v>3</v>
      </c>
      <c r="I656" s="14">
        <v>199410</v>
      </c>
      <c r="J656" s="14">
        <v>10</v>
      </c>
      <c r="K656" s="14">
        <v>538407</v>
      </c>
      <c r="L656" s="14" t="s">
        <v>73</v>
      </c>
      <c r="M656" s="14" t="s">
        <v>3975</v>
      </c>
      <c r="N656" s="14" t="s">
        <v>2877</v>
      </c>
      <c r="O656" s="14" t="str">
        <f>IFERROR(INDEX(Cleaned_Products!$C$2:$C$61,MATCH(F656,Cleaned_Products!$A$2:$A$61,0)),"Unknown")</f>
        <v>Bangles</v>
      </c>
      <c r="P656" s="14" t="str">
        <f>IFERROR(INDEX(Cleaned_Products!$D$2:$D$61,MATCH(F656,Cleaned_Products!$A$2:$A$61,0)),"Unknown")</f>
        <v>Silver</v>
      </c>
    </row>
    <row r="657" spans="1:16" x14ac:dyDescent="0.35">
      <c r="A657" s="14" t="s">
        <v>2878</v>
      </c>
      <c r="B657" s="21">
        <v>44988</v>
      </c>
      <c r="C657" s="14" t="s">
        <v>3982</v>
      </c>
      <c r="D657" s="14">
        <v>2023</v>
      </c>
      <c r="E657" s="14" t="s">
        <v>314</v>
      </c>
      <c r="F657" s="14" t="s">
        <v>240</v>
      </c>
      <c r="G657" s="14" t="s">
        <v>80</v>
      </c>
      <c r="H657" s="14">
        <v>1</v>
      </c>
      <c r="I657" s="14">
        <v>124010</v>
      </c>
      <c r="J657" s="14">
        <v>10</v>
      </c>
      <c r="K657" s="14">
        <v>111609</v>
      </c>
      <c r="L657" s="14" t="s">
        <v>3974</v>
      </c>
      <c r="M657" s="14" t="s">
        <v>3980</v>
      </c>
      <c r="N657" s="14" t="s">
        <v>2880</v>
      </c>
      <c r="O657" s="14" t="str">
        <f>IFERROR(INDEX(Cleaned_Products!$C$2:$C$61,MATCH(F657,Cleaned_Products!$A$2:$A$61,0)),"Unknown")</f>
        <v>Bangles</v>
      </c>
      <c r="P657" s="14" t="str">
        <f>IFERROR(INDEX(Cleaned_Products!$D$2:$D$61,MATCH(F657,Cleaned_Products!$A$2:$A$61,0)),"Unknown")</f>
        <v>Platinum</v>
      </c>
    </row>
    <row r="658" spans="1:16" x14ac:dyDescent="0.35">
      <c r="A658" s="14" t="s">
        <v>2881</v>
      </c>
      <c r="B658" s="21">
        <v>45330</v>
      </c>
      <c r="C658" s="14" t="s">
        <v>3999</v>
      </c>
      <c r="D658" s="14">
        <v>2024</v>
      </c>
      <c r="E658" s="14" t="s">
        <v>645</v>
      </c>
      <c r="F658" s="14" t="s">
        <v>212</v>
      </c>
      <c r="G658" s="14" t="s">
        <v>64</v>
      </c>
      <c r="H658" s="14">
        <v>1</v>
      </c>
      <c r="I658" s="14">
        <v>131650</v>
      </c>
      <c r="J658" s="14">
        <v>0</v>
      </c>
      <c r="K658" s="14">
        <v>131650</v>
      </c>
      <c r="L658" s="14" t="s">
        <v>121</v>
      </c>
      <c r="M658" s="14" t="s">
        <v>3980</v>
      </c>
      <c r="N658" s="14" t="s">
        <v>3983</v>
      </c>
      <c r="O658" s="14" t="str">
        <f>IFERROR(INDEX(Cleaned_Products!$C$2:$C$61,MATCH(F658,Cleaned_Products!$A$2:$A$61,0)),"Unknown")</f>
        <v>Nose Pins</v>
      </c>
      <c r="P658" s="14" t="str">
        <f>IFERROR(INDEX(Cleaned_Products!$D$2:$D$61,MATCH(F658,Cleaned_Products!$A$2:$A$61,0)),"Unknown")</f>
        <v>Platinum</v>
      </c>
    </row>
    <row r="659" spans="1:16" x14ac:dyDescent="0.35">
      <c r="A659" s="14" t="s">
        <v>2883</v>
      </c>
      <c r="B659" s="21">
        <v>45834</v>
      </c>
      <c r="C659" s="14" t="s">
        <v>3997</v>
      </c>
      <c r="D659" s="14">
        <v>2025</v>
      </c>
      <c r="E659" s="14" t="s">
        <v>3995</v>
      </c>
      <c r="F659" s="14" t="s">
        <v>172</v>
      </c>
      <c r="G659" s="14" t="s">
        <v>101</v>
      </c>
      <c r="H659" s="14">
        <v>2</v>
      </c>
      <c r="I659" s="14">
        <v>25270</v>
      </c>
      <c r="J659" s="14">
        <v>0</v>
      </c>
      <c r="K659" s="14">
        <v>50540</v>
      </c>
      <c r="L659" s="14" t="s">
        <v>121</v>
      </c>
      <c r="M659" s="14" t="s">
        <v>3975</v>
      </c>
      <c r="N659" s="14" t="s">
        <v>2885</v>
      </c>
      <c r="O659" s="14" t="str">
        <f>IFERROR(INDEX(Cleaned_Products!$C$2:$C$61,MATCH(F659,Cleaned_Products!$A$2:$A$61,0)),"Unknown")</f>
        <v>Bracelets</v>
      </c>
      <c r="P659" s="14" t="str">
        <f>IFERROR(INDEX(Cleaned_Products!$D$2:$D$61,MATCH(F659,Cleaned_Products!$A$2:$A$61,0)),"Unknown")</f>
        <v>Gold</v>
      </c>
    </row>
    <row r="660" spans="1:16" x14ac:dyDescent="0.35">
      <c r="A660" s="14" t="s">
        <v>2889</v>
      </c>
      <c r="B660" s="21">
        <v>45621</v>
      </c>
      <c r="C660" s="14" t="s">
        <v>3976</v>
      </c>
      <c r="D660" s="14">
        <v>2024</v>
      </c>
      <c r="E660" s="14" t="s">
        <v>613</v>
      </c>
      <c r="F660" s="14" t="s">
        <v>529</v>
      </c>
      <c r="G660" s="14" t="s">
        <v>108</v>
      </c>
      <c r="H660" s="14">
        <v>1</v>
      </c>
      <c r="I660" s="14">
        <v>50330</v>
      </c>
      <c r="J660" s="14">
        <v>0</v>
      </c>
      <c r="K660" s="14">
        <v>50330</v>
      </c>
      <c r="L660" s="14" t="s">
        <v>3979</v>
      </c>
      <c r="M660" s="14" t="s">
        <v>3980</v>
      </c>
      <c r="N660" s="14" t="s">
        <v>2891</v>
      </c>
      <c r="O660" s="14" t="str">
        <f>IFERROR(INDEX(Cleaned_Products!$C$2:$C$61,MATCH(F660,Cleaned_Products!$A$2:$A$61,0)),"Unknown")</f>
        <v>Bangles</v>
      </c>
      <c r="P660" s="14" t="str">
        <f>IFERROR(INDEX(Cleaned_Products!$D$2:$D$61,MATCH(F660,Cleaned_Products!$A$2:$A$61,0)),"Unknown")</f>
        <v>Silver</v>
      </c>
    </row>
    <row r="661" spans="1:16" x14ac:dyDescent="0.35">
      <c r="A661" s="14" t="s">
        <v>2892</v>
      </c>
      <c r="B661" s="21">
        <v>45476</v>
      </c>
      <c r="C661" s="14" t="s">
        <v>4009</v>
      </c>
      <c r="D661" s="14">
        <v>2024</v>
      </c>
      <c r="E661" s="14" t="s">
        <v>457</v>
      </c>
      <c r="F661" s="14" t="s">
        <v>445</v>
      </c>
      <c r="G661" s="14" t="s">
        <v>101</v>
      </c>
      <c r="H661" s="14">
        <v>1</v>
      </c>
      <c r="I661" s="14">
        <v>174980</v>
      </c>
      <c r="J661" s="14">
        <v>15</v>
      </c>
      <c r="K661" s="14">
        <v>148733</v>
      </c>
      <c r="L661" s="14" t="s">
        <v>73</v>
      </c>
      <c r="M661" s="14" t="s">
        <v>3980</v>
      </c>
      <c r="N661" s="14" t="s">
        <v>2894</v>
      </c>
      <c r="O661" s="14" t="str">
        <f>IFERROR(INDEX(Cleaned_Products!$C$2:$C$61,MATCH(F661,Cleaned_Products!$A$2:$A$61,0)),"Unknown")</f>
        <v>Bangles</v>
      </c>
      <c r="P661" s="14" t="str">
        <f>IFERROR(INDEX(Cleaned_Products!$D$2:$D$61,MATCH(F661,Cleaned_Products!$A$2:$A$61,0)),"Unknown")</f>
        <v>Diamond</v>
      </c>
    </row>
    <row r="662" spans="1:16" x14ac:dyDescent="0.35">
      <c r="A662" s="14" t="s">
        <v>2899</v>
      </c>
      <c r="B662" s="21">
        <v>45505</v>
      </c>
      <c r="C662" s="14" t="s">
        <v>3992</v>
      </c>
      <c r="D662" s="14">
        <v>2024</v>
      </c>
      <c r="E662" s="14" t="s">
        <v>661</v>
      </c>
      <c r="F662" s="14" t="s">
        <v>329</v>
      </c>
      <c r="G662" s="14" t="s">
        <v>56</v>
      </c>
      <c r="H662" s="14">
        <v>3</v>
      </c>
      <c r="I662" s="14">
        <v>155740</v>
      </c>
      <c r="J662" s="14">
        <v>0</v>
      </c>
      <c r="K662" s="14">
        <v>467220</v>
      </c>
      <c r="L662" s="14" t="s">
        <v>3979</v>
      </c>
      <c r="M662" s="14" t="s">
        <v>3980</v>
      </c>
      <c r="N662" s="14" t="s">
        <v>3983</v>
      </c>
      <c r="O662" s="14" t="str">
        <f>IFERROR(INDEX(Cleaned_Products!$C$2:$C$61,MATCH(F662,Cleaned_Products!$A$2:$A$61,0)),"Unknown")</f>
        <v>Nose Pins</v>
      </c>
      <c r="P662" s="14" t="str">
        <f>IFERROR(INDEX(Cleaned_Products!$D$2:$D$61,MATCH(F662,Cleaned_Products!$A$2:$A$61,0)),"Unknown")</f>
        <v>Gold</v>
      </c>
    </row>
    <row r="663" spans="1:16" x14ac:dyDescent="0.35">
      <c r="A663" s="14" t="s">
        <v>2901</v>
      </c>
      <c r="B663" s="21">
        <v>44975</v>
      </c>
      <c r="C663" s="14" t="s">
        <v>4001</v>
      </c>
      <c r="D663" s="14">
        <v>2023</v>
      </c>
      <c r="E663" s="14" t="s">
        <v>753</v>
      </c>
      <c r="F663" s="14" t="s">
        <v>63</v>
      </c>
      <c r="G663" s="14" t="s">
        <v>108</v>
      </c>
      <c r="H663" s="14">
        <v>1</v>
      </c>
      <c r="I663" s="14">
        <v>7190</v>
      </c>
      <c r="J663" s="14">
        <v>0</v>
      </c>
      <c r="K663" s="14">
        <v>7190</v>
      </c>
      <c r="L663" s="14" t="s">
        <v>121</v>
      </c>
      <c r="M663" s="14" t="s">
        <v>3980</v>
      </c>
      <c r="N663" s="14" t="s">
        <v>3983</v>
      </c>
      <c r="O663" s="14" t="str">
        <f>IFERROR(INDEX(Cleaned_Products!$C$2:$C$61,MATCH(F663,Cleaned_Products!$A$2:$A$61,0)),"Unknown")</f>
        <v>Anklets</v>
      </c>
      <c r="P663" s="14" t="str">
        <f>IFERROR(INDEX(Cleaned_Products!$D$2:$D$61,MATCH(F663,Cleaned_Products!$A$2:$A$61,0)),"Unknown")</f>
        <v>Diamond</v>
      </c>
    </row>
    <row r="664" spans="1:16" x14ac:dyDescent="0.35">
      <c r="A664" s="14" t="s">
        <v>2904</v>
      </c>
      <c r="B664" s="21">
        <v>45493</v>
      </c>
      <c r="C664" s="14" t="s">
        <v>4009</v>
      </c>
      <c r="D664" s="14">
        <v>2024</v>
      </c>
      <c r="E664" s="14" t="s">
        <v>534</v>
      </c>
      <c r="F664" s="14" t="s">
        <v>278</v>
      </c>
      <c r="G664" s="14" t="s">
        <v>64</v>
      </c>
      <c r="H664" s="14">
        <v>1</v>
      </c>
      <c r="I664" s="14">
        <v>49930</v>
      </c>
      <c r="J664" s="14">
        <v>0</v>
      </c>
      <c r="K664" s="14">
        <v>49930</v>
      </c>
      <c r="L664" s="14" t="s">
        <v>3977</v>
      </c>
      <c r="M664" s="14" t="s">
        <v>3980</v>
      </c>
      <c r="N664" s="14" t="s">
        <v>2907</v>
      </c>
      <c r="O664" s="14" t="str">
        <f>IFERROR(INDEX(Cleaned_Products!$C$2:$C$61,MATCH(F664,Cleaned_Products!$A$2:$A$61,0)),"Unknown")</f>
        <v>Earrings</v>
      </c>
      <c r="P664" s="14" t="str">
        <f>IFERROR(INDEX(Cleaned_Products!$D$2:$D$61,MATCH(F664,Cleaned_Products!$A$2:$A$61,0)),"Unknown")</f>
        <v>Diamond</v>
      </c>
    </row>
    <row r="665" spans="1:16" x14ac:dyDescent="0.35">
      <c r="A665" s="14" t="s">
        <v>2908</v>
      </c>
      <c r="B665" s="21">
        <v>45245</v>
      </c>
      <c r="C665" s="14" t="s">
        <v>3978</v>
      </c>
      <c r="D665" s="14">
        <v>2023</v>
      </c>
      <c r="E665" s="14" t="s">
        <v>263</v>
      </c>
      <c r="F665" s="14" t="s">
        <v>482</v>
      </c>
      <c r="G665" s="14" t="s">
        <v>72</v>
      </c>
      <c r="H665" s="14">
        <v>1</v>
      </c>
      <c r="I665" s="14">
        <v>153040</v>
      </c>
      <c r="J665" s="14">
        <v>0</v>
      </c>
      <c r="K665" s="14">
        <v>153040</v>
      </c>
      <c r="L665" s="14" t="s">
        <v>73</v>
      </c>
      <c r="M665" s="14" t="s">
        <v>3975</v>
      </c>
      <c r="N665" s="14" t="s">
        <v>2911</v>
      </c>
      <c r="O665" s="14" t="str">
        <f>IFERROR(INDEX(Cleaned_Products!$C$2:$C$61,MATCH(F665,Cleaned_Products!$A$2:$A$61,0)),"Unknown")</f>
        <v>Necklaces</v>
      </c>
      <c r="P665" s="14" t="str">
        <f>IFERROR(INDEX(Cleaned_Products!$D$2:$D$61,MATCH(F665,Cleaned_Products!$A$2:$A$61,0)),"Unknown")</f>
        <v>Diamond</v>
      </c>
    </row>
    <row r="666" spans="1:16" x14ac:dyDescent="0.35">
      <c r="A666" s="14" t="s">
        <v>2916</v>
      </c>
      <c r="B666" s="21">
        <v>44955</v>
      </c>
      <c r="C666" s="14" t="s">
        <v>3987</v>
      </c>
      <c r="D666" s="14">
        <v>2023</v>
      </c>
      <c r="E666" s="14" t="s">
        <v>468</v>
      </c>
      <c r="F666" s="14" t="s">
        <v>278</v>
      </c>
      <c r="G666" s="14" t="s">
        <v>126</v>
      </c>
      <c r="H666" s="14">
        <v>1</v>
      </c>
      <c r="I666" s="14">
        <v>58260</v>
      </c>
      <c r="J666" s="14">
        <v>5</v>
      </c>
      <c r="K666" s="14">
        <v>55347</v>
      </c>
      <c r="L666" s="14" t="s">
        <v>73</v>
      </c>
      <c r="M666" s="14" t="s">
        <v>3980</v>
      </c>
      <c r="N666" s="14" t="s">
        <v>2918</v>
      </c>
      <c r="O666" s="14" t="str">
        <f>IFERROR(INDEX(Cleaned_Products!$C$2:$C$61,MATCH(F666,Cleaned_Products!$A$2:$A$61,0)),"Unknown")</f>
        <v>Earrings</v>
      </c>
      <c r="P666" s="14" t="str">
        <f>IFERROR(INDEX(Cleaned_Products!$D$2:$D$61,MATCH(F666,Cleaned_Products!$A$2:$A$61,0)),"Unknown")</f>
        <v>Diamond</v>
      </c>
    </row>
    <row r="667" spans="1:16" x14ac:dyDescent="0.35">
      <c r="A667" s="14" t="s">
        <v>2919</v>
      </c>
      <c r="B667" s="21">
        <v>45247</v>
      </c>
      <c r="C667" s="14" t="s">
        <v>3978</v>
      </c>
      <c r="D667" s="14">
        <v>2023</v>
      </c>
      <c r="E667" s="14" t="s">
        <v>254</v>
      </c>
      <c r="F667" s="14" t="s">
        <v>179</v>
      </c>
      <c r="G667" s="14" t="s">
        <v>126</v>
      </c>
      <c r="H667" s="14">
        <v>1</v>
      </c>
      <c r="I667" s="14">
        <v>44620</v>
      </c>
      <c r="J667" s="14">
        <v>15</v>
      </c>
      <c r="K667" s="14">
        <v>37927</v>
      </c>
      <c r="L667" s="14" t="s">
        <v>95</v>
      </c>
      <c r="M667" s="14" t="s">
        <v>3980</v>
      </c>
      <c r="N667" s="14" t="s">
        <v>2921</v>
      </c>
      <c r="O667" s="14" t="str">
        <f>IFERROR(INDEX(Cleaned_Products!$C$2:$C$61,MATCH(F667,Cleaned_Products!$A$2:$A$61,0)),"Unknown")</f>
        <v>Bracelets</v>
      </c>
      <c r="P667" s="14" t="str">
        <f>IFERROR(INDEX(Cleaned_Products!$D$2:$D$61,MATCH(F667,Cleaned_Products!$A$2:$A$61,0)),"Unknown")</f>
        <v>Rose Gold</v>
      </c>
    </row>
    <row r="668" spans="1:16" x14ac:dyDescent="0.35">
      <c r="A668" s="14" t="s">
        <v>2922</v>
      </c>
      <c r="B668" s="21">
        <v>45177</v>
      </c>
      <c r="C668" s="14" t="s">
        <v>3996</v>
      </c>
      <c r="D668" s="14">
        <v>2023</v>
      </c>
      <c r="E668" s="14" t="s">
        <v>148</v>
      </c>
      <c r="F668" s="14" t="s">
        <v>163</v>
      </c>
      <c r="G668" s="14" t="s">
        <v>126</v>
      </c>
      <c r="H668" s="14">
        <v>3</v>
      </c>
      <c r="I668" s="14">
        <v>101480</v>
      </c>
      <c r="J668" s="14">
        <v>15</v>
      </c>
      <c r="K668" s="14">
        <v>258774</v>
      </c>
      <c r="L668" s="14" t="s">
        <v>3977</v>
      </c>
      <c r="M668" s="14" t="s">
        <v>3980</v>
      </c>
      <c r="N668" s="14" t="s">
        <v>2925</v>
      </c>
      <c r="O668" s="14" t="str">
        <f>IFERROR(INDEX(Cleaned_Products!$C$2:$C$61,MATCH(F668,Cleaned_Products!$A$2:$A$61,0)),"Unknown")</f>
        <v>Earrings</v>
      </c>
      <c r="P668" s="14" t="str">
        <f>IFERROR(INDEX(Cleaned_Products!$D$2:$D$61,MATCH(F668,Cleaned_Products!$A$2:$A$61,0)),"Unknown")</f>
        <v>Diamond</v>
      </c>
    </row>
    <row r="669" spans="1:16" x14ac:dyDescent="0.35">
      <c r="A669" s="14" t="s">
        <v>2926</v>
      </c>
      <c r="B669" s="21">
        <v>45113</v>
      </c>
      <c r="C669" s="14" t="s">
        <v>3988</v>
      </c>
      <c r="D669" s="14">
        <v>2023</v>
      </c>
      <c r="E669" s="14" t="s">
        <v>758</v>
      </c>
      <c r="F669" s="14" t="s">
        <v>472</v>
      </c>
      <c r="G669" s="14" t="s">
        <v>101</v>
      </c>
      <c r="H669" s="14">
        <v>1</v>
      </c>
      <c r="I669" s="14">
        <v>155160</v>
      </c>
      <c r="J669" s="14">
        <v>0</v>
      </c>
      <c r="K669" s="14">
        <v>155160</v>
      </c>
      <c r="L669" s="14" t="s">
        <v>73</v>
      </c>
      <c r="M669" s="14" t="s">
        <v>3975</v>
      </c>
      <c r="N669" s="14" t="s">
        <v>2928</v>
      </c>
      <c r="O669" s="14" t="str">
        <f>IFERROR(INDEX(Cleaned_Products!$C$2:$C$61,MATCH(F669,Cleaned_Products!$A$2:$A$61,0)),"Unknown")</f>
        <v>Nose Pins</v>
      </c>
      <c r="P669" s="14" t="str">
        <f>IFERROR(INDEX(Cleaned_Products!$D$2:$D$61,MATCH(F669,Cleaned_Products!$A$2:$A$61,0)),"Unknown")</f>
        <v>Platinum</v>
      </c>
    </row>
    <row r="670" spans="1:16" x14ac:dyDescent="0.35">
      <c r="A670" s="14" t="s">
        <v>2929</v>
      </c>
      <c r="B670" s="21">
        <v>45375</v>
      </c>
      <c r="C670" s="14" t="s">
        <v>3985</v>
      </c>
      <c r="D670" s="14">
        <v>2024</v>
      </c>
      <c r="E670" s="14" t="s">
        <v>129</v>
      </c>
      <c r="F670" s="14" t="s">
        <v>207</v>
      </c>
      <c r="G670" s="14" t="s">
        <v>80</v>
      </c>
      <c r="H670" s="14">
        <v>1</v>
      </c>
      <c r="I670" s="14">
        <v>128800</v>
      </c>
      <c r="J670" s="14">
        <v>0</v>
      </c>
      <c r="K670" s="14">
        <v>128800</v>
      </c>
      <c r="L670" s="14" t="s">
        <v>121</v>
      </c>
      <c r="M670" s="14" t="s">
        <v>3980</v>
      </c>
      <c r="N670" s="14" t="s">
        <v>2932</v>
      </c>
      <c r="O670" s="14" t="str">
        <f>IFERROR(INDEX(Cleaned_Products!$C$2:$C$61,MATCH(F670,Cleaned_Products!$A$2:$A$61,0)),"Unknown")</f>
        <v>Anklets</v>
      </c>
      <c r="P670" s="14" t="str">
        <f>IFERROR(INDEX(Cleaned_Products!$D$2:$D$61,MATCH(F670,Cleaned_Products!$A$2:$A$61,0)),"Unknown")</f>
        <v>Silver</v>
      </c>
    </row>
    <row r="671" spans="1:16" x14ac:dyDescent="0.35">
      <c r="A671" s="14" t="s">
        <v>2933</v>
      </c>
      <c r="B671" s="21">
        <v>45619</v>
      </c>
      <c r="C671" s="14" t="s">
        <v>3976</v>
      </c>
      <c r="D671" s="14">
        <v>2024</v>
      </c>
      <c r="E671" s="14" t="s">
        <v>314</v>
      </c>
      <c r="F671" s="14" t="s">
        <v>196</v>
      </c>
      <c r="G671" s="14" t="s">
        <v>64</v>
      </c>
      <c r="H671" s="14">
        <v>1</v>
      </c>
      <c r="I671" s="14">
        <v>75510</v>
      </c>
      <c r="J671" s="14">
        <v>0</v>
      </c>
      <c r="K671" s="14">
        <v>75510</v>
      </c>
      <c r="L671" s="14" t="s">
        <v>3977</v>
      </c>
      <c r="M671" s="14" t="s">
        <v>3980</v>
      </c>
      <c r="N671" s="14" t="s">
        <v>2935</v>
      </c>
      <c r="O671" s="14" t="str">
        <f>IFERROR(INDEX(Cleaned_Products!$C$2:$C$61,MATCH(F671,Cleaned_Products!$A$2:$A$61,0)),"Unknown")</f>
        <v>Pendants</v>
      </c>
      <c r="P671" s="14" t="str">
        <f>IFERROR(INDEX(Cleaned_Products!$D$2:$D$61,MATCH(F671,Cleaned_Products!$A$2:$A$61,0)),"Unknown")</f>
        <v>Diamond</v>
      </c>
    </row>
    <row r="672" spans="1:16" x14ac:dyDescent="0.35">
      <c r="A672" s="14" t="s">
        <v>2941</v>
      </c>
      <c r="B672" s="21">
        <v>45337</v>
      </c>
      <c r="C672" s="14" t="s">
        <v>3999</v>
      </c>
      <c r="D672" s="14">
        <v>2024</v>
      </c>
      <c r="E672" s="14" t="s">
        <v>491</v>
      </c>
      <c r="F672" s="14" t="s">
        <v>125</v>
      </c>
      <c r="G672" s="14" t="s">
        <v>56</v>
      </c>
      <c r="H672" s="14">
        <v>1</v>
      </c>
      <c r="I672" s="14">
        <v>9360</v>
      </c>
      <c r="J672" s="14">
        <v>0</v>
      </c>
      <c r="K672" s="14">
        <v>9360</v>
      </c>
      <c r="L672" s="14" t="s">
        <v>121</v>
      </c>
      <c r="M672" s="14" t="s">
        <v>3975</v>
      </c>
      <c r="N672" s="14" t="s">
        <v>2944</v>
      </c>
      <c r="O672" s="14" t="str">
        <f>IFERROR(INDEX(Cleaned_Products!$C$2:$C$61,MATCH(F672,Cleaned_Products!$A$2:$A$61,0)),"Unknown")</f>
        <v>Bracelets</v>
      </c>
      <c r="P672" s="14" t="str">
        <f>IFERROR(INDEX(Cleaned_Products!$D$2:$D$61,MATCH(F672,Cleaned_Products!$A$2:$A$61,0)),"Unknown")</f>
        <v>Rose Gold</v>
      </c>
    </row>
    <row r="673" spans="1:16" x14ac:dyDescent="0.35">
      <c r="A673" s="14" t="s">
        <v>2945</v>
      </c>
      <c r="B673" s="21">
        <v>45333</v>
      </c>
      <c r="C673" s="14" t="s">
        <v>3999</v>
      </c>
      <c r="D673" s="14">
        <v>2024</v>
      </c>
      <c r="E673" s="14" t="s">
        <v>162</v>
      </c>
      <c r="F673" s="14" t="s">
        <v>207</v>
      </c>
      <c r="G673" s="14" t="s">
        <v>56</v>
      </c>
      <c r="H673" s="14">
        <v>1</v>
      </c>
      <c r="I673" s="14">
        <v>83660</v>
      </c>
      <c r="J673" s="14">
        <v>0</v>
      </c>
      <c r="K673" s="14">
        <v>83660</v>
      </c>
      <c r="L673" s="14" t="s">
        <v>121</v>
      </c>
      <c r="M673" s="14" t="s">
        <v>3975</v>
      </c>
      <c r="N673" s="14" t="s">
        <v>2948</v>
      </c>
      <c r="O673" s="14" t="str">
        <f>IFERROR(INDEX(Cleaned_Products!$C$2:$C$61,MATCH(F673,Cleaned_Products!$A$2:$A$61,0)),"Unknown")</f>
        <v>Anklets</v>
      </c>
      <c r="P673" s="14" t="str">
        <f>IFERROR(INDEX(Cleaned_Products!$D$2:$D$61,MATCH(F673,Cleaned_Products!$A$2:$A$61,0)),"Unknown")</f>
        <v>Silver</v>
      </c>
    </row>
    <row r="674" spans="1:16" x14ac:dyDescent="0.35">
      <c r="A674" s="14" t="s">
        <v>2949</v>
      </c>
      <c r="B674" s="21">
        <v>45191</v>
      </c>
      <c r="C674" s="14" t="s">
        <v>3996</v>
      </c>
      <c r="D674" s="14">
        <v>2023</v>
      </c>
      <c r="E674" s="14" t="s">
        <v>854</v>
      </c>
      <c r="F674" s="14" t="s">
        <v>231</v>
      </c>
      <c r="G674" s="14" t="s">
        <v>64</v>
      </c>
      <c r="H674" s="14">
        <v>3</v>
      </c>
      <c r="I674" s="14">
        <v>196130</v>
      </c>
      <c r="J674" s="14">
        <v>10</v>
      </c>
      <c r="K674" s="14">
        <v>529551</v>
      </c>
      <c r="L674" s="14" t="s">
        <v>3979</v>
      </c>
      <c r="M674" s="14" t="s">
        <v>3975</v>
      </c>
      <c r="N674" s="14" t="s">
        <v>2951</v>
      </c>
      <c r="O674" s="14" t="str">
        <f>IFERROR(INDEX(Cleaned_Products!$C$2:$C$61,MATCH(F674,Cleaned_Products!$A$2:$A$61,0)),"Unknown")</f>
        <v>Nose Pins</v>
      </c>
      <c r="P674" s="14" t="str">
        <f>IFERROR(INDEX(Cleaned_Products!$D$2:$D$61,MATCH(F674,Cleaned_Products!$A$2:$A$61,0)),"Unknown")</f>
        <v>Platinum</v>
      </c>
    </row>
    <row r="675" spans="1:16" x14ac:dyDescent="0.35">
      <c r="A675" s="14" t="s">
        <v>2952</v>
      </c>
      <c r="B675" s="21">
        <v>45021</v>
      </c>
      <c r="C675" s="14" t="s">
        <v>4010</v>
      </c>
      <c r="D675" s="14">
        <v>2023</v>
      </c>
      <c r="E675" s="14" t="s">
        <v>162</v>
      </c>
      <c r="F675" s="14" t="s">
        <v>295</v>
      </c>
      <c r="G675" s="14" t="s">
        <v>80</v>
      </c>
      <c r="H675" s="14">
        <v>2</v>
      </c>
      <c r="I675" s="14">
        <v>219500</v>
      </c>
      <c r="J675" s="14">
        <v>0</v>
      </c>
      <c r="K675" s="14">
        <v>439000</v>
      </c>
      <c r="L675" s="14" t="s">
        <v>3977</v>
      </c>
      <c r="M675" s="14" t="s">
        <v>3975</v>
      </c>
      <c r="N675" s="14" t="s">
        <v>2955</v>
      </c>
      <c r="O675" s="14" t="str">
        <f>IFERROR(INDEX(Cleaned_Products!$C$2:$C$61,MATCH(F675,Cleaned_Products!$A$2:$A$61,0)),"Unknown")</f>
        <v>Necklaces</v>
      </c>
      <c r="P675" s="14" t="str">
        <f>IFERROR(INDEX(Cleaned_Products!$D$2:$D$61,MATCH(F675,Cleaned_Products!$A$2:$A$61,0)),"Unknown")</f>
        <v>Silver</v>
      </c>
    </row>
    <row r="676" spans="1:16" x14ac:dyDescent="0.35">
      <c r="A676" s="14" t="s">
        <v>2956</v>
      </c>
      <c r="B676" s="21">
        <v>45867</v>
      </c>
      <c r="C676" s="14" t="s">
        <v>3991</v>
      </c>
      <c r="D676" s="14">
        <v>2025</v>
      </c>
      <c r="E676" s="14" t="s">
        <v>1254</v>
      </c>
      <c r="F676" s="14" t="s">
        <v>1544</v>
      </c>
      <c r="G676" s="14" t="s">
        <v>126</v>
      </c>
      <c r="H676" s="14">
        <v>1</v>
      </c>
      <c r="I676" s="14">
        <v>55950</v>
      </c>
      <c r="J676" s="14">
        <v>5</v>
      </c>
      <c r="K676" s="14">
        <v>53152.5</v>
      </c>
      <c r="L676" s="14" t="s">
        <v>3979</v>
      </c>
      <c r="M676" s="14" t="s">
        <v>3980</v>
      </c>
      <c r="N676" s="14" t="s">
        <v>2959</v>
      </c>
      <c r="O676" s="14" t="str">
        <f>IFERROR(INDEX(Cleaned_Products!$C$2:$C$61,MATCH(F676,Cleaned_Products!$A$2:$A$61,0)),"Unknown")</f>
        <v>Bracelets</v>
      </c>
      <c r="P676" s="14" t="str">
        <f>IFERROR(INDEX(Cleaned_Products!$D$2:$D$61,MATCH(F676,Cleaned_Products!$A$2:$A$61,0)),"Unknown")</f>
        <v>Platinum</v>
      </c>
    </row>
    <row r="677" spans="1:16" x14ac:dyDescent="0.35">
      <c r="A677" s="14" t="s">
        <v>2960</v>
      </c>
      <c r="B677" s="21">
        <v>45315</v>
      </c>
      <c r="C677" s="14" t="s">
        <v>3993</v>
      </c>
      <c r="D677" s="14">
        <v>2024</v>
      </c>
      <c r="E677" s="14" t="s">
        <v>602</v>
      </c>
      <c r="F677" s="14" t="s">
        <v>144</v>
      </c>
      <c r="G677" s="14" t="s">
        <v>56</v>
      </c>
      <c r="H677" s="14">
        <v>1</v>
      </c>
      <c r="I677" s="14">
        <v>143000</v>
      </c>
      <c r="J677" s="14">
        <v>10</v>
      </c>
      <c r="K677" s="14">
        <v>128700</v>
      </c>
      <c r="L677" s="14" t="s">
        <v>3977</v>
      </c>
      <c r="M677" s="14" t="s">
        <v>3980</v>
      </c>
      <c r="N677" s="14" t="s">
        <v>3983</v>
      </c>
      <c r="O677" s="14" t="str">
        <f>IFERROR(INDEX(Cleaned_Products!$C$2:$C$61,MATCH(F677,Cleaned_Products!$A$2:$A$61,0)),"Unknown")</f>
        <v>Necklaces</v>
      </c>
      <c r="P677" s="14" t="str">
        <f>IFERROR(INDEX(Cleaned_Products!$D$2:$D$61,MATCH(F677,Cleaned_Products!$A$2:$A$61,0)),"Unknown")</f>
        <v>Gold</v>
      </c>
    </row>
    <row r="678" spans="1:16" x14ac:dyDescent="0.35">
      <c r="A678" s="14" t="s">
        <v>2962</v>
      </c>
      <c r="B678" s="21">
        <v>45156</v>
      </c>
      <c r="C678" s="14" t="s">
        <v>3998</v>
      </c>
      <c r="D678" s="14">
        <v>2023</v>
      </c>
      <c r="E678" s="14" t="s">
        <v>99</v>
      </c>
      <c r="F678" s="14" t="s">
        <v>390</v>
      </c>
      <c r="G678" s="14" t="s">
        <v>72</v>
      </c>
      <c r="H678" s="14">
        <v>1</v>
      </c>
      <c r="I678" s="14">
        <v>212510</v>
      </c>
      <c r="J678" s="14">
        <v>0</v>
      </c>
      <c r="K678" s="14">
        <v>212510</v>
      </c>
      <c r="L678" s="14" t="s">
        <v>95</v>
      </c>
      <c r="M678" s="14" t="s">
        <v>3975</v>
      </c>
      <c r="N678" s="14" t="s">
        <v>2964</v>
      </c>
      <c r="O678" s="14" t="str">
        <f>IFERROR(INDEX(Cleaned_Products!$C$2:$C$61,MATCH(F678,Cleaned_Products!$A$2:$A$61,0)),"Unknown")</f>
        <v>Bracelets</v>
      </c>
      <c r="P678" s="14" t="str">
        <f>IFERROR(INDEX(Cleaned_Products!$D$2:$D$61,MATCH(F678,Cleaned_Products!$A$2:$A$61,0)),"Unknown")</f>
        <v>Platinum</v>
      </c>
    </row>
    <row r="679" spans="1:16" x14ac:dyDescent="0.35">
      <c r="A679" s="14" t="s">
        <v>2965</v>
      </c>
      <c r="B679" s="21">
        <v>45337</v>
      </c>
      <c r="C679" s="14" t="s">
        <v>3999</v>
      </c>
      <c r="D679" s="14">
        <v>2024</v>
      </c>
      <c r="E679" s="14" t="s">
        <v>903</v>
      </c>
      <c r="F679" s="14" t="s">
        <v>463</v>
      </c>
      <c r="G679" s="14" t="s">
        <v>108</v>
      </c>
      <c r="H679" s="14">
        <v>1</v>
      </c>
      <c r="I679" s="14">
        <v>210930</v>
      </c>
      <c r="J679" s="14">
        <v>15</v>
      </c>
      <c r="K679" s="14">
        <v>179290.5</v>
      </c>
      <c r="L679" s="14" t="s">
        <v>73</v>
      </c>
      <c r="M679" s="14" t="s">
        <v>3980</v>
      </c>
      <c r="N679" s="14" t="s">
        <v>2967</v>
      </c>
      <c r="O679" s="14" t="str">
        <f>IFERROR(INDEX(Cleaned_Products!$C$2:$C$61,MATCH(F679,Cleaned_Products!$A$2:$A$61,0)),"Unknown")</f>
        <v>Bracelets</v>
      </c>
      <c r="P679" s="14" t="str">
        <f>IFERROR(INDEX(Cleaned_Products!$D$2:$D$61,MATCH(F679,Cleaned_Products!$A$2:$A$61,0)),"Unknown")</f>
        <v>Gold</v>
      </c>
    </row>
    <row r="680" spans="1:16" x14ac:dyDescent="0.35">
      <c r="A680" s="14" t="s">
        <v>2969</v>
      </c>
      <c r="B680" s="21">
        <v>45410</v>
      </c>
      <c r="C680" s="14" t="s">
        <v>4000</v>
      </c>
      <c r="D680" s="14">
        <v>2024</v>
      </c>
      <c r="E680" s="14" t="s">
        <v>211</v>
      </c>
      <c r="F680" s="14" t="s">
        <v>310</v>
      </c>
      <c r="G680" s="14" t="s">
        <v>80</v>
      </c>
      <c r="H680" s="14">
        <v>2</v>
      </c>
      <c r="I680" s="14">
        <v>141800</v>
      </c>
      <c r="J680" s="14">
        <v>0</v>
      </c>
      <c r="K680" s="14">
        <v>283600</v>
      </c>
      <c r="L680" s="14" t="s">
        <v>73</v>
      </c>
      <c r="M680" s="14" t="s">
        <v>3975</v>
      </c>
      <c r="N680" s="14" t="s">
        <v>2971</v>
      </c>
      <c r="O680" s="14" t="str">
        <f>IFERROR(INDEX(Cleaned_Products!$C$2:$C$61,MATCH(F680,Cleaned_Products!$A$2:$A$61,0)),"Unknown")</f>
        <v>Pendants</v>
      </c>
      <c r="P680" s="14" t="str">
        <f>IFERROR(INDEX(Cleaned_Products!$D$2:$D$61,MATCH(F680,Cleaned_Products!$A$2:$A$61,0)),"Unknown")</f>
        <v>Gold</v>
      </c>
    </row>
    <row r="681" spans="1:16" x14ac:dyDescent="0.35">
      <c r="A681" s="14" t="s">
        <v>2972</v>
      </c>
      <c r="B681" s="21">
        <v>45383</v>
      </c>
      <c r="C681" s="14" t="s">
        <v>4000</v>
      </c>
      <c r="D681" s="14">
        <v>2024</v>
      </c>
      <c r="E681" s="14" t="s">
        <v>534</v>
      </c>
      <c r="F681" s="14" t="s">
        <v>684</v>
      </c>
      <c r="G681" s="14" t="s">
        <v>126</v>
      </c>
      <c r="H681" s="14">
        <v>2</v>
      </c>
      <c r="I681" s="14">
        <v>126730</v>
      </c>
      <c r="J681" s="14">
        <v>0</v>
      </c>
      <c r="K681" s="14">
        <v>253460</v>
      </c>
      <c r="L681" s="14" t="s">
        <v>3979</v>
      </c>
      <c r="M681" s="14" t="s">
        <v>3975</v>
      </c>
      <c r="N681" s="14" t="s">
        <v>2973</v>
      </c>
      <c r="O681" s="14" t="str">
        <f>IFERROR(INDEX(Cleaned_Products!$C$2:$C$61,MATCH(F681,Cleaned_Products!$A$2:$A$61,0)),"Unknown")</f>
        <v>Nose Pins</v>
      </c>
      <c r="P681" s="14" t="str">
        <f>IFERROR(INDEX(Cleaned_Products!$D$2:$D$61,MATCH(F681,Cleaned_Products!$A$2:$A$61,0)),"Unknown")</f>
        <v>Silver</v>
      </c>
    </row>
    <row r="682" spans="1:16" x14ac:dyDescent="0.35">
      <c r="A682" s="14" t="s">
        <v>2974</v>
      </c>
      <c r="B682" s="21">
        <v>45438</v>
      </c>
      <c r="C682" s="14" t="s">
        <v>4007</v>
      </c>
      <c r="D682" s="14">
        <v>2024</v>
      </c>
      <c r="E682" s="14" t="s">
        <v>187</v>
      </c>
      <c r="F682" s="14" t="s">
        <v>255</v>
      </c>
      <c r="G682" s="14" t="s">
        <v>56</v>
      </c>
      <c r="H682" s="14">
        <v>1</v>
      </c>
      <c r="I682" s="14">
        <v>187780</v>
      </c>
      <c r="J682" s="14">
        <v>0</v>
      </c>
      <c r="K682" s="14">
        <v>187780</v>
      </c>
      <c r="L682" s="14" t="s">
        <v>95</v>
      </c>
      <c r="M682" s="14" t="s">
        <v>3975</v>
      </c>
      <c r="N682" s="14" t="s">
        <v>2976</v>
      </c>
      <c r="O682" s="14" t="str">
        <f>IFERROR(INDEX(Cleaned_Products!$C$2:$C$61,MATCH(F682,Cleaned_Products!$A$2:$A$61,0)),"Unknown")</f>
        <v>Bracelets</v>
      </c>
      <c r="P682" s="14" t="str">
        <f>IFERROR(INDEX(Cleaned_Products!$D$2:$D$61,MATCH(F682,Cleaned_Products!$A$2:$A$61,0)),"Unknown")</f>
        <v>Rose Gold</v>
      </c>
    </row>
    <row r="683" spans="1:16" x14ac:dyDescent="0.35">
      <c r="A683" s="14" t="s">
        <v>2980</v>
      </c>
      <c r="B683" s="21">
        <v>44932</v>
      </c>
      <c r="C683" s="14" t="s">
        <v>3987</v>
      </c>
      <c r="D683" s="14">
        <v>2023</v>
      </c>
      <c r="E683" s="14" t="s">
        <v>462</v>
      </c>
      <c r="F683" s="14" t="s">
        <v>418</v>
      </c>
      <c r="G683" s="14" t="s">
        <v>113</v>
      </c>
      <c r="H683" s="14">
        <v>1</v>
      </c>
      <c r="I683" s="14">
        <v>65850</v>
      </c>
      <c r="J683" s="14">
        <v>15</v>
      </c>
      <c r="K683" s="14">
        <v>55972.5</v>
      </c>
      <c r="L683" s="14" t="s">
        <v>95</v>
      </c>
      <c r="M683" s="14" t="s">
        <v>3980</v>
      </c>
      <c r="N683" s="14" t="s">
        <v>3983</v>
      </c>
      <c r="O683" s="14" t="str">
        <f>IFERROR(INDEX(Cleaned_Products!$C$2:$C$61,MATCH(F683,Cleaned_Products!$A$2:$A$61,0)),"Unknown")</f>
        <v>Rings</v>
      </c>
      <c r="P683" s="14" t="str">
        <f>IFERROR(INDEX(Cleaned_Products!$D$2:$D$61,MATCH(F683,Cleaned_Products!$A$2:$A$61,0)),"Unknown")</f>
        <v>Rose Gold</v>
      </c>
    </row>
    <row r="684" spans="1:16" x14ac:dyDescent="0.35">
      <c r="A684" s="14" t="s">
        <v>2982</v>
      </c>
      <c r="B684" s="21">
        <v>45178</v>
      </c>
      <c r="C684" s="14" t="s">
        <v>3996</v>
      </c>
      <c r="D684" s="14">
        <v>2023</v>
      </c>
      <c r="E684" s="14" t="s">
        <v>1018</v>
      </c>
      <c r="F684" s="14" t="s">
        <v>529</v>
      </c>
      <c r="G684" s="14" t="s">
        <v>80</v>
      </c>
      <c r="H684" s="14">
        <v>3</v>
      </c>
      <c r="I684" s="14">
        <v>102840</v>
      </c>
      <c r="J684" s="14">
        <v>0</v>
      </c>
      <c r="K684" s="14">
        <v>308520</v>
      </c>
      <c r="L684" s="14" t="s">
        <v>3977</v>
      </c>
      <c r="M684" s="14" t="s">
        <v>3980</v>
      </c>
      <c r="N684" s="14" t="s">
        <v>3983</v>
      </c>
      <c r="O684" s="14" t="str">
        <f>IFERROR(INDEX(Cleaned_Products!$C$2:$C$61,MATCH(F684,Cleaned_Products!$A$2:$A$61,0)),"Unknown")</f>
        <v>Bangles</v>
      </c>
      <c r="P684" s="14" t="str">
        <f>IFERROR(INDEX(Cleaned_Products!$D$2:$D$61,MATCH(F684,Cleaned_Products!$A$2:$A$61,0)),"Unknown")</f>
        <v>Silver</v>
      </c>
    </row>
    <row r="685" spans="1:16" x14ac:dyDescent="0.35">
      <c r="A685" s="14" t="s">
        <v>2985</v>
      </c>
      <c r="B685" s="21">
        <v>45190</v>
      </c>
      <c r="C685" s="14" t="s">
        <v>3996</v>
      </c>
      <c r="D685" s="14">
        <v>2023</v>
      </c>
      <c r="E685" s="14" t="s">
        <v>129</v>
      </c>
      <c r="F685" s="14" t="s">
        <v>231</v>
      </c>
      <c r="G685" s="14" t="s">
        <v>101</v>
      </c>
      <c r="H685" s="14">
        <v>1</v>
      </c>
      <c r="I685" s="14">
        <v>166150</v>
      </c>
      <c r="J685" s="14">
        <v>5</v>
      </c>
      <c r="K685" s="14">
        <v>157842.5</v>
      </c>
      <c r="L685" s="14" t="s">
        <v>3977</v>
      </c>
      <c r="M685" s="14" t="s">
        <v>3980</v>
      </c>
      <c r="N685" s="14" t="s">
        <v>3983</v>
      </c>
      <c r="O685" s="14" t="str">
        <f>IFERROR(INDEX(Cleaned_Products!$C$2:$C$61,MATCH(F685,Cleaned_Products!$A$2:$A$61,0)),"Unknown")</f>
        <v>Nose Pins</v>
      </c>
      <c r="P685" s="14" t="str">
        <f>IFERROR(INDEX(Cleaned_Products!$D$2:$D$61,MATCH(F685,Cleaned_Products!$A$2:$A$61,0)),"Unknown")</f>
        <v>Platinum</v>
      </c>
    </row>
    <row r="686" spans="1:16" x14ac:dyDescent="0.35">
      <c r="A686" s="14" t="s">
        <v>2987</v>
      </c>
      <c r="B686" s="21">
        <v>45653</v>
      </c>
      <c r="C686" s="14" t="s">
        <v>3986</v>
      </c>
      <c r="D686" s="14">
        <v>2024</v>
      </c>
      <c r="E686" s="14" t="s">
        <v>124</v>
      </c>
      <c r="F686" s="14" t="s">
        <v>167</v>
      </c>
      <c r="G686" s="14" t="s">
        <v>80</v>
      </c>
      <c r="H686" s="14">
        <v>2</v>
      </c>
      <c r="I686" s="14">
        <v>35660</v>
      </c>
      <c r="J686" s="14">
        <v>10</v>
      </c>
      <c r="K686" s="14">
        <v>64188</v>
      </c>
      <c r="L686" s="14" t="s">
        <v>3977</v>
      </c>
      <c r="M686" s="14" t="s">
        <v>3980</v>
      </c>
      <c r="N686" s="14" t="s">
        <v>2989</v>
      </c>
      <c r="O686" s="14" t="str">
        <f>IFERROR(INDEX(Cleaned_Products!$C$2:$C$61,MATCH(F686,Cleaned_Products!$A$2:$A$61,0)),"Unknown")</f>
        <v>Nose Pins</v>
      </c>
      <c r="P686" s="14" t="str">
        <f>IFERROR(INDEX(Cleaned_Products!$D$2:$D$61,MATCH(F686,Cleaned_Products!$A$2:$A$61,0)),"Unknown")</f>
        <v>Rose Gold</v>
      </c>
    </row>
    <row r="687" spans="1:16" x14ac:dyDescent="0.35">
      <c r="A687" s="14" t="s">
        <v>2993</v>
      </c>
      <c r="B687" s="21">
        <v>45394</v>
      </c>
      <c r="C687" s="14" t="s">
        <v>4000</v>
      </c>
      <c r="D687" s="14">
        <v>2024</v>
      </c>
      <c r="E687" s="14" t="s">
        <v>1378</v>
      </c>
      <c r="F687" s="14" t="s">
        <v>458</v>
      </c>
      <c r="G687" s="14" t="s">
        <v>80</v>
      </c>
      <c r="H687" s="14">
        <v>1</v>
      </c>
      <c r="I687" s="14">
        <v>32090</v>
      </c>
      <c r="J687" s="14">
        <v>10</v>
      </c>
      <c r="K687" s="14">
        <v>28881</v>
      </c>
      <c r="L687" s="14" t="s">
        <v>3979</v>
      </c>
      <c r="M687" s="14" t="s">
        <v>3975</v>
      </c>
      <c r="N687" s="14" t="s">
        <v>2995</v>
      </c>
      <c r="O687" s="14" t="str">
        <f>IFERROR(INDEX(Cleaned_Products!$C$2:$C$61,MATCH(F687,Cleaned_Products!$A$2:$A$61,0)),"Unknown")</f>
        <v>Bangles</v>
      </c>
      <c r="P687" s="14" t="str">
        <f>IFERROR(INDEX(Cleaned_Products!$D$2:$D$61,MATCH(F687,Cleaned_Products!$A$2:$A$61,0)),"Unknown")</f>
        <v>Silver</v>
      </c>
    </row>
    <row r="688" spans="1:16" x14ac:dyDescent="0.35">
      <c r="A688" s="14" t="s">
        <v>2996</v>
      </c>
      <c r="B688" s="21">
        <v>45636</v>
      </c>
      <c r="C688" s="14" t="s">
        <v>3986</v>
      </c>
      <c r="D688" s="14">
        <v>2024</v>
      </c>
      <c r="E688" s="14" t="s">
        <v>314</v>
      </c>
      <c r="F688" s="14" t="s">
        <v>172</v>
      </c>
      <c r="G688" s="14" t="s">
        <v>126</v>
      </c>
      <c r="H688" s="14">
        <v>1</v>
      </c>
      <c r="I688" s="14">
        <v>14120</v>
      </c>
      <c r="J688" s="14">
        <v>5</v>
      </c>
      <c r="K688" s="14">
        <v>13414</v>
      </c>
      <c r="L688" s="14" t="s">
        <v>3974</v>
      </c>
      <c r="M688" s="14" t="s">
        <v>3975</v>
      </c>
      <c r="N688" s="14" t="s">
        <v>2999</v>
      </c>
      <c r="O688" s="14" t="str">
        <f>IFERROR(INDEX(Cleaned_Products!$C$2:$C$61,MATCH(F688,Cleaned_Products!$A$2:$A$61,0)),"Unknown")</f>
        <v>Bracelets</v>
      </c>
      <c r="P688" s="14" t="str">
        <f>IFERROR(INDEX(Cleaned_Products!$D$2:$D$61,MATCH(F688,Cleaned_Products!$A$2:$A$61,0)),"Unknown")</f>
        <v>Gold</v>
      </c>
    </row>
    <row r="689" spans="1:16" x14ac:dyDescent="0.35">
      <c r="A689" s="14" t="s">
        <v>3000</v>
      </c>
      <c r="B689" s="21">
        <v>45225</v>
      </c>
      <c r="C689" s="14" t="s">
        <v>3990</v>
      </c>
      <c r="D689" s="14">
        <v>2023</v>
      </c>
      <c r="E689" s="14" t="s">
        <v>439</v>
      </c>
      <c r="F689" s="14" t="s">
        <v>259</v>
      </c>
      <c r="G689" s="14" t="s">
        <v>101</v>
      </c>
      <c r="H689" s="14">
        <v>1</v>
      </c>
      <c r="I689" s="14">
        <v>62400</v>
      </c>
      <c r="J689" s="14">
        <v>0</v>
      </c>
      <c r="K689" s="14">
        <v>62400</v>
      </c>
      <c r="L689" s="14" t="s">
        <v>3974</v>
      </c>
      <c r="M689" s="14" t="s">
        <v>3980</v>
      </c>
      <c r="N689" s="14" t="s">
        <v>3002</v>
      </c>
      <c r="O689" s="14" t="str">
        <f>IFERROR(INDEX(Cleaned_Products!$C$2:$C$61,MATCH(F689,Cleaned_Products!$A$2:$A$61,0)),"Unknown")</f>
        <v>Pendants</v>
      </c>
      <c r="P689" s="14" t="str">
        <f>IFERROR(INDEX(Cleaned_Products!$D$2:$D$61,MATCH(F689,Cleaned_Products!$A$2:$A$61,0)),"Unknown")</f>
        <v>Platinum</v>
      </c>
    </row>
    <row r="690" spans="1:16" x14ac:dyDescent="0.35">
      <c r="A690" s="14" t="s">
        <v>3006</v>
      </c>
      <c r="B690" s="21">
        <v>45461</v>
      </c>
      <c r="C690" s="14" t="s">
        <v>3984</v>
      </c>
      <c r="D690" s="14">
        <v>2024</v>
      </c>
      <c r="E690" s="14" t="s">
        <v>111</v>
      </c>
      <c r="F690" s="14" t="s">
        <v>94</v>
      </c>
      <c r="G690" s="14" t="s">
        <v>101</v>
      </c>
      <c r="H690" s="14">
        <v>2</v>
      </c>
      <c r="I690" s="14">
        <v>41020</v>
      </c>
      <c r="J690" s="14">
        <v>15</v>
      </c>
      <c r="K690" s="14">
        <v>69734</v>
      </c>
      <c r="L690" s="14" t="s">
        <v>3974</v>
      </c>
      <c r="M690" s="14" t="s">
        <v>3975</v>
      </c>
      <c r="N690" s="14" t="s">
        <v>3008</v>
      </c>
      <c r="O690" s="14" t="str">
        <f>IFERROR(INDEX(Cleaned_Products!$C$2:$C$61,MATCH(F690,Cleaned_Products!$A$2:$A$61,0)),"Unknown")</f>
        <v>Nose Pins</v>
      </c>
      <c r="P690" s="14" t="str">
        <f>IFERROR(INDEX(Cleaned_Products!$D$2:$D$61,MATCH(F690,Cleaned_Products!$A$2:$A$61,0)),"Unknown")</f>
        <v>Rose Gold</v>
      </c>
    </row>
    <row r="691" spans="1:16" x14ac:dyDescent="0.35">
      <c r="A691" s="14" t="s">
        <v>3009</v>
      </c>
      <c r="B691" s="21">
        <v>45275</v>
      </c>
      <c r="C691" s="14" t="s">
        <v>4008</v>
      </c>
      <c r="D691" s="14">
        <v>2023</v>
      </c>
      <c r="E691" s="14" t="s">
        <v>3995</v>
      </c>
      <c r="F691" s="14" t="s">
        <v>329</v>
      </c>
      <c r="G691" s="14" t="s">
        <v>72</v>
      </c>
      <c r="H691" s="14">
        <v>3</v>
      </c>
      <c r="I691" s="14">
        <v>137950</v>
      </c>
      <c r="J691" s="14">
        <v>0</v>
      </c>
      <c r="K691" s="14">
        <v>413850</v>
      </c>
      <c r="L691" s="14" t="s">
        <v>73</v>
      </c>
      <c r="M691" s="14" t="s">
        <v>3980</v>
      </c>
      <c r="N691" s="14" t="s">
        <v>3983</v>
      </c>
      <c r="O691" s="14" t="str">
        <f>IFERROR(INDEX(Cleaned_Products!$C$2:$C$61,MATCH(F691,Cleaned_Products!$A$2:$A$61,0)),"Unknown")</f>
        <v>Nose Pins</v>
      </c>
      <c r="P691" s="14" t="str">
        <f>IFERROR(INDEX(Cleaned_Products!$D$2:$D$61,MATCH(F691,Cleaned_Products!$A$2:$A$61,0)),"Unknown")</f>
        <v>Gold</v>
      </c>
    </row>
    <row r="692" spans="1:16" x14ac:dyDescent="0.35">
      <c r="A692" s="14" t="s">
        <v>3012</v>
      </c>
      <c r="B692" s="21">
        <v>45464</v>
      </c>
      <c r="C692" s="14" t="s">
        <v>3984</v>
      </c>
      <c r="D692" s="14">
        <v>2024</v>
      </c>
      <c r="E692" s="14" t="s">
        <v>768</v>
      </c>
      <c r="F692" s="14" t="s">
        <v>369</v>
      </c>
      <c r="G692" s="14" t="s">
        <v>108</v>
      </c>
      <c r="H692" s="14">
        <v>1</v>
      </c>
      <c r="I692" s="14">
        <v>195340</v>
      </c>
      <c r="J692" s="14">
        <v>0</v>
      </c>
      <c r="K692" s="14">
        <v>195340</v>
      </c>
      <c r="L692" s="14" t="s">
        <v>95</v>
      </c>
      <c r="M692" s="14" t="s">
        <v>3975</v>
      </c>
      <c r="N692" s="14" t="s">
        <v>3014</v>
      </c>
      <c r="O692" s="14" t="str">
        <f>IFERROR(INDEX(Cleaned_Products!$C$2:$C$61,MATCH(F692,Cleaned_Products!$A$2:$A$61,0)),"Unknown")</f>
        <v>Earrings</v>
      </c>
      <c r="P692" s="14" t="str">
        <f>IFERROR(INDEX(Cleaned_Products!$D$2:$D$61,MATCH(F692,Cleaned_Products!$A$2:$A$61,0)),"Unknown")</f>
        <v>Platinum</v>
      </c>
    </row>
    <row r="693" spans="1:16" x14ac:dyDescent="0.35">
      <c r="A693" s="14" t="s">
        <v>3015</v>
      </c>
      <c r="B693" s="21">
        <v>45525</v>
      </c>
      <c r="C693" s="14" t="s">
        <v>3992</v>
      </c>
      <c r="D693" s="14">
        <v>2024</v>
      </c>
      <c r="E693" s="14" t="s">
        <v>799</v>
      </c>
      <c r="F693" s="14" t="s">
        <v>216</v>
      </c>
      <c r="G693" s="14" t="s">
        <v>108</v>
      </c>
      <c r="H693" s="14">
        <v>2</v>
      </c>
      <c r="I693" s="14">
        <v>147580</v>
      </c>
      <c r="J693" s="14">
        <v>5</v>
      </c>
      <c r="K693" s="14">
        <v>280402</v>
      </c>
      <c r="L693" s="14" t="s">
        <v>121</v>
      </c>
      <c r="M693" s="14" t="s">
        <v>3975</v>
      </c>
      <c r="N693" s="14" t="s">
        <v>3017</v>
      </c>
      <c r="O693" s="14" t="str">
        <f>IFERROR(INDEX(Cleaned_Products!$C$2:$C$61,MATCH(F693,Cleaned_Products!$A$2:$A$61,0)),"Unknown")</f>
        <v>Bracelets</v>
      </c>
      <c r="P693" s="14" t="str">
        <f>IFERROR(INDEX(Cleaned_Products!$D$2:$D$61,MATCH(F693,Cleaned_Products!$A$2:$A$61,0)),"Unknown")</f>
        <v>Silver</v>
      </c>
    </row>
    <row r="694" spans="1:16" x14ac:dyDescent="0.35">
      <c r="A694" s="14" t="s">
        <v>3018</v>
      </c>
      <c r="B694" s="21">
        <v>45072</v>
      </c>
      <c r="C694" s="14" t="s">
        <v>3973</v>
      </c>
      <c r="D694" s="14">
        <v>2023</v>
      </c>
      <c r="E694" s="14" t="s">
        <v>689</v>
      </c>
      <c r="F694" s="14" t="s">
        <v>71</v>
      </c>
      <c r="G694" s="14" t="s">
        <v>108</v>
      </c>
      <c r="H694" s="14">
        <v>1</v>
      </c>
      <c r="I694" s="14">
        <v>160640</v>
      </c>
      <c r="J694" s="14">
        <v>0</v>
      </c>
      <c r="K694" s="14">
        <v>160640</v>
      </c>
      <c r="L694" s="14" t="s">
        <v>73</v>
      </c>
      <c r="M694" s="14" t="s">
        <v>3980</v>
      </c>
      <c r="N694" s="14" t="s">
        <v>3983</v>
      </c>
      <c r="O694" s="14" t="str">
        <f>IFERROR(INDEX(Cleaned_Products!$C$2:$C$61,MATCH(F694,Cleaned_Products!$A$2:$A$61,0)),"Unknown")</f>
        <v>Bracelets</v>
      </c>
      <c r="P694" s="14" t="str">
        <f>IFERROR(INDEX(Cleaned_Products!$D$2:$D$61,MATCH(F694,Cleaned_Products!$A$2:$A$61,0)),"Unknown")</f>
        <v>Rose Gold</v>
      </c>
    </row>
    <row r="695" spans="1:16" x14ac:dyDescent="0.35">
      <c r="A695" s="14" t="s">
        <v>3020</v>
      </c>
      <c r="B695" s="21">
        <v>44927</v>
      </c>
      <c r="C695" s="14" t="s">
        <v>3987</v>
      </c>
      <c r="D695" s="14">
        <v>2023</v>
      </c>
      <c r="E695" s="14" t="s">
        <v>534</v>
      </c>
      <c r="F695" s="14" t="s">
        <v>445</v>
      </c>
      <c r="G695" s="14" t="s">
        <v>113</v>
      </c>
      <c r="H695" s="14">
        <v>1</v>
      </c>
      <c r="I695" s="14">
        <v>248380</v>
      </c>
      <c r="J695" s="14">
        <v>15</v>
      </c>
      <c r="K695" s="14">
        <v>211123</v>
      </c>
      <c r="L695" s="14" t="s">
        <v>121</v>
      </c>
      <c r="M695" s="14" t="s">
        <v>3975</v>
      </c>
      <c r="N695" s="14" t="s">
        <v>3023</v>
      </c>
      <c r="O695" s="14" t="str">
        <f>IFERROR(INDEX(Cleaned_Products!$C$2:$C$61,MATCH(F695,Cleaned_Products!$A$2:$A$61,0)),"Unknown")</f>
        <v>Bangles</v>
      </c>
      <c r="P695" s="14" t="str">
        <f>IFERROR(INDEX(Cleaned_Products!$D$2:$D$61,MATCH(F695,Cleaned_Products!$A$2:$A$61,0)),"Unknown")</f>
        <v>Diamond</v>
      </c>
    </row>
    <row r="696" spans="1:16" x14ac:dyDescent="0.35">
      <c r="A696" s="14" t="s">
        <v>3027</v>
      </c>
      <c r="B696" s="21">
        <v>45566</v>
      </c>
      <c r="C696" s="14" t="s">
        <v>3981</v>
      </c>
      <c r="D696" s="14">
        <v>2024</v>
      </c>
      <c r="E696" s="14" t="s">
        <v>1218</v>
      </c>
      <c r="F696" s="14" t="s">
        <v>342</v>
      </c>
      <c r="G696" s="14" t="s">
        <v>126</v>
      </c>
      <c r="H696" s="14">
        <v>1</v>
      </c>
      <c r="I696" s="14">
        <v>149790</v>
      </c>
      <c r="J696" s="14">
        <v>10</v>
      </c>
      <c r="K696" s="14">
        <v>134811</v>
      </c>
      <c r="L696" s="14" t="s">
        <v>3977</v>
      </c>
      <c r="M696" s="14" t="s">
        <v>3975</v>
      </c>
      <c r="N696" s="14" t="s">
        <v>3030</v>
      </c>
      <c r="O696" s="14" t="str">
        <f>IFERROR(INDEX(Cleaned_Products!$C$2:$C$61,MATCH(F696,Cleaned_Products!$A$2:$A$61,0)),"Unknown")</f>
        <v>Necklaces</v>
      </c>
      <c r="P696" s="14" t="str">
        <f>IFERROR(INDEX(Cleaned_Products!$D$2:$D$61,MATCH(F696,Cleaned_Products!$A$2:$A$61,0)),"Unknown")</f>
        <v>Diamond</v>
      </c>
    </row>
    <row r="697" spans="1:16" x14ac:dyDescent="0.35">
      <c r="A697" s="14" t="s">
        <v>3031</v>
      </c>
      <c r="B697" s="21">
        <v>45377</v>
      </c>
      <c r="C697" s="14" t="s">
        <v>3985</v>
      </c>
      <c r="D697" s="14">
        <v>2024</v>
      </c>
      <c r="E697" s="14" t="s">
        <v>903</v>
      </c>
      <c r="F697" s="14" t="s">
        <v>55</v>
      </c>
      <c r="G697" s="14" t="s">
        <v>108</v>
      </c>
      <c r="H697" s="14">
        <v>3</v>
      </c>
      <c r="I697" s="14">
        <v>89820</v>
      </c>
      <c r="J697" s="14">
        <v>0</v>
      </c>
      <c r="K697" s="14">
        <v>269460</v>
      </c>
      <c r="L697" s="14" t="s">
        <v>73</v>
      </c>
      <c r="M697" s="14" t="s">
        <v>3980</v>
      </c>
      <c r="N697" s="14" t="s">
        <v>3983</v>
      </c>
      <c r="O697" s="14" t="str">
        <f>IFERROR(INDEX(Cleaned_Products!$C$2:$C$61,MATCH(F697,Cleaned_Products!$A$2:$A$61,0)),"Unknown")</f>
        <v>Anklets</v>
      </c>
      <c r="P697" s="14" t="str">
        <f>IFERROR(INDEX(Cleaned_Products!$D$2:$D$61,MATCH(F697,Cleaned_Products!$A$2:$A$61,0)),"Unknown")</f>
        <v>Gold</v>
      </c>
    </row>
    <row r="698" spans="1:16" x14ac:dyDescent="0.35">
      <c r="A698" s="14" t="s">
        <v>3033</v>
      </c>
      <c r="B698" s="21">
        <v>45779</v>
      </c>
      <c r="C698" s="14" t="s">
        <v>4004</v>
      </c>
      <c r="D698" s="14">
        <v>2025</v>
      </c>
      <c r="E698" s="14" t="s">
        <v>411</v>
      </c>
      <c r="F698" s="14" t="s">
        <v>135</v>
      </c>
      <c r="G698" s="14" t="s">
        <v>126</v>
      </c>
      <c r="H698" s="14">
        <v>2</v>
      </c>
      <c r="I698" s="14">
        <v>87070</v>
      </c>
      <c r="J698" s="14">
        <v>0</v>
      </c>
      <c r="K698" s="14">
        <v>174140</v>
      </c>
      <c r="L698" s="14" t="s">
        <v>95</v>
      </c>
      <c r="M698" s="14" t="s">
        <v>3980</v>
      </c>
      <c r="N698" s="14" t="s">
        <v>3983</v>
      </c>
      <c r="O698" s="14" t="str">
        <f>IFERROR(INDEX(Cleaned_Products!$C$2:$C$61,MATCH(F698,Cleaned_Products!$A$2:$A$61,0)),"Unknown")</f>
        <v>Necklaces</v>
      </c>
      <c r="P698" s="14" t="str">
        <f>IFERROR(INDEX(Cleaned_Products!$D$2:$D$61,MATCH(F698,Cleaned_Products!$A$2:$A$61,0)),"Unknown")</f>
        <v>Silver</v>
      </c>
    </row>
    <row r="699" spans="1:16" x14ac:dyDescent="0.35">
      <c r="A699" s="14" t="s">
        <v>3035</v>
      </c>
      <c r="B699" s="21">
        <v>45677</v>
      </c>
      <c r="C699" s="14" t="s">
        <v>4005</v>
      </c>
      <c r="D699" s="14">
        <v>2025</v>
      </c>
      <c r="E699" s="14" t="s">
        <v>1829</v>
      </c>
      <c r="F699" s="14" t="s">
        <v>125</v>
      </c>
      <c r="G699" s="14" t="s">
        <v>80</v>
      </c>
      <c r="H699" s="14">
        <v>2</v>
      </c>
      <c r="I699" s="14">
        <v>57840</v>
      </c>
      <c r="J699" s="14">
        <v>10</v>
      </c>
      <c r="K699" s="14">
        <v>104112</v>
      </c>
      <c r="L699" s="14" t="s">
        <v>121</v>
      </c>
      <c r="M699" s="14" t="s">
        <v>3975</v>
      </c>
      <c r="N699" s="14" t="s">
        <v>3037</v>
      </c>
      <c r="O699" s="14" t="str">
        <f>IFERROR(INDEX(Cleaned_Products!$C$2:$C$61,MATCH(F699,Cleaned_Products!$A$2:$A$61,0)),"Unknown")</f>
        <v>Bracelets</v>
      </c>
      <c r="P699" s="14" t="str">
        <f>IFERROR(INDEX(Cleaned_Products!$D$2:$D$61,MATCH(F699,Cleaned_Products!$A$2:$A$61,0)),"Unknown")</f>
        <v>Rose Gold</v>
      </c>
    </row>
    <row r="700" spans="1:16" x14ac:dyDescent="0.35">
      <c r="A700" s="14" t="s">
        <v>3046</v>
      </c>
      <c r="B700" s="21">
        <v>45142</v>
      </c>
      <c r="C700" s="14" t="s">
        <v>3998</v>
      </c>
      <c r="D700" s="14">
        <v>2023</v>
      </c>
      <c r="E700" s="14" t="s">
        <v>54</v>
      </c>
      <c r="F700" s="14" t="s">
        <v>207</v>
      </c>
      <c r="G700" s="14" t="s">
        <v>80</v>
      </c>
      <c r="H700" s="14">
        <v>1</v>
      </c>
      <c r="I700" s="14">
        <v>234450</v>
      </c>
      <c r="J700" s="14">
        <v>0</v>
      </c>
      <c r="K700" s="14">
        <v>234450</v>
      </c>
      <c r="L700" s="14" t="s">
        <v>3979</v>
      </c>
      <c r="M700" s="14" t="s">
        <v>3980</v>
      </c>
      <c r="N700" s="14" t="s">
        <v>3983</v>
      </c>
      <c r="O700" s="14" t="str">
        <f>IFERROR(INDEX(Cleaned_Products!$C$2:$C$61,MATCH(F700,Cleaned_Products!$A$2:$A$61,0)),"Unknown")</f>
        <v>Anklets</v>
      </c>
      <c r="P700" s="14" t="str">
        <f>IFERROR(INDEX(Cleaned_Products!$D$2:$D$61,MATCH(F700,Cleaned_Products!$A$2:$A$61,0)),"Unknown")</f>
        <v>Silver</v>
      </c>
    </row>
    <row r="701" spans="1:16" x14ac:dyDescent="0.35">
      <c r="A701" s="14" t="s">
        <v>3048</v>
      </c>
      <c r="B701" s="21">
        <v>45377</v>
      </c>
      <c r="C701" s="14" t="s">
        <v>3985</v>
      </c>
      <c r="D701" s="14">
        <v>2024</v>
      </c>
      <c r="E701" s="14" t="s">
        <v>915</v>
      </c>
      <c r="F701" s="14" t="s">
        <v>264</v>
      </c>
      <c r="G701" s="14" t="s">
        <v>72</v>
      </c>
      <c r="H701" s="14">
        <v>1</v>
      </c>
      <c r="I701" s="14">
        <v>39510</v>
      </c>
      <c r="J701" s="14">
        <v>0</v>
      </c>
      <c r="K701" s="14">
        <v>39510</v>
      </c>
      <c r="L701" s="14" t="s">
        <v>121</v>
      </c>
      <c r="M701" s="14" t="s">
        <v>3980</v>
      </c>
      <c r="N701" s="14" t="s">
        <v>3983</v>
      </c>
      <c r="O701" s="14" t="str">
        <f>IFERROR(INDEX(Cleaned_Products!$C$2:$C$61,MATCH(F701,Cleaned_Products!$A$2:$A$61,0)),"Unknown")</f>
        <v>Pendants</v>
      </c>
      <c r="P701" s="14" t="str">
        <f>IFERROR(INDEX(Cleaned_Products!$D$2:$D$61,MATCH(F701,Cleaned_Products!$A$2:$A$61,0)),"Unknown")</f>
        <v>Silver</v>
      </c>
    </row>
    <row r="702" spans="1:16" x14ac:dyDescent="0.35">
      <c r="A702" s="14" t="s">
        <v>3050</v>
      </c>
      <c r="B702" s="21">
        <v>45836</v>
      </c>
      <c r="C702" s="14" t="s">
        <v>3997</v>
      </c>
      <c r="D702" s="14">
        <v>2025</v>
      </c>
      <c r="E702" s="14" t="s">
        <v>203</v>
      </c>
      <c r="F702" s="14" t="s">
        <v>255</v>
      </c>
      <c r="G702" s="14" t="s">
        <v>56</v>
      </c>
      <c r="H702" s="14">
        <v>1</v>
      </c>
      <c r="I702" s="14">
        <v>87430</v>
      </c>
      <c r="J702" s="14">
        <v>5</v>
      </c>
      <c r="K702" s="14">
        <v>83058.5</v>
      </c>
      <c r="L702" s="14" t="s">
        <v>95</v>
      </c>
      <c r="M702" s="14" t="s">
        <v>3980</v>
      </c>
      <c r="N702" s="14" t="s">
        <v>3052</v>
      </c>
      <c r="O702" s="14" t="str">
        <f>IFERROR(INDEX(Cleaned_Products!$C$2:$C$61,MATCH(F702,Cleaned_Products!$A$2:$A$61,0)),"Unknown")</f>
        <v>Bracelets</v>
      </c>
      <c r="P702" s="14" t="str">
        <f>IFERROR(INDEX(Cleaned_Products!$D$2:$D$61,MATCH(F702,Cleaned_Products!$A$2:$A$61,0)),"Unknown")</f>
        <v>Rose Gold</v>
      </c>
    </row>
    <row r="703" spans="1:16" x14ac:dyDescent="0.35">
      <c r="A703" s="14" t="s">
        <v>3053</v>
      </c>
      <c r="B703" s="21">
        <v>45516</v>
      </c>
      <c r="C703" s="14" t="s">
        <v>3992</v>
      </c>
      <c r="D703" s="14">
        <v>2024</v>
      </c>
      <c r="E703" s="14" t="s">
        <v>153</v>
      </c>
      <c r="F703" s="14" t="s">
        <v>369</v>
      </c>
      <c r="G703" s="14" t="s">
        <v>113</v>
      </c>
      <c r="H703" s="14">
        <v>2</v>
      </c>
      <c r="I703" s="14">
        <v>131000</v>
      </c>
      <c r="J703" s="14">
        <v>0</v>
      </c>
      <c r="K703" s="14">
        <v>262000</v>
      </c>
      <c r="L703" s="14" t="s">
        <v>121</v>
      </c>
      <c r="M703" s="14" t="s">
        <v>3980</v>
      </c>
      <c r="N703" s="14" t="s">
        <v>3055</v>
      </c>
      <c r="O703" s="14" t="str">
        <f>IFERROR(INDEX(Cleaned_Products!$C$2:$C$61,MATCH(F703,Cleaned_Products!$A$2:$A$61,0)),"Unknown")</f>
        <v>Earrings</v>
      </c>
      <c r="P703" s="14" t="str">
        <f>IFERROR(INDEX(Cleaned_Products!$D$2:$D$61,MATCH(F703,Cleaned_Products!$A$2:$A$61,0)),"Unknown")</f>
        <v>Platinum</v>
      </c>
    </row>
    <row r="704" spans="1:16" x14ac:dyDescent="0.35">
      <c r="A704" s="14" t="s">
        <v>3060</v>
      </c>
      <c r="B704" s="21">
        <v>45138</v>
      </c>
      <c r="C704" s="14" t="s">
        <v>3988</v>
      </c>
      <c r="D704" s="14">
        <v>2023</v>
      </c>
      <c r="E704" s="14" t="s">
        <v>1142</v>
      </c>
      <c r="F704" s="14" t="s">
        <v>418</v>
      </c>
      <c r="G704" s="14" t="s">
        <v>101</v>
      </c>
      <c r="H704" s="14">
        <v>2</v>
      </c>
      <c r="I704" s="14">
        <v>245970</v>
      </c>
      <c r="J704" s="14">
        <v>5</v>
      </c>
      <c r="K704" s="14">
        <v>467343</v>
      </c>
      <c r="L704" s="14" t="s">
        <v>73</v>
      </c>
      <c r="M704" s="14" t="s">
        <v>3980</v>
      </c>
      <c r="N704" s="14" t="s">
        <v>3983</v>
      </c>
      <c r="O704" s="14" t="str">
        <f>IFERROR(INDEX(Cleaned_Products!$C$2:$C$61,MATCH(F704,Cleaned_Products!$A$2:$A$61,0)),"Unknown")</f>
        <v>Rings</v>
      </c>
      <c r="P704" s="14" t="str">
        <f>IFERROR(INDEX(Cleaned_Products!$D$2:$D$61,MATCH(F704,Cleaned_Products!$A$2:$A$61,0)),"Unknown")</f>
        <v>Rose Gold</v>
      </c>
    </row>
    <row r="705" spans="1:16" x14ac:dyDescent="0.35">
      <c r="A705" s="14" t="s">
        <v>3062</v>
      </c>
      <c r="B705" s="21">
        <v>45777</v>
      </c>
      <c r="C705" s="14" t="s">
        <v>4006</v>
      </c>
      <c r="D705" s="14">
        <v>2025</v>
      </c>
      <c r="E705" s="14" t="s">
        <v>306</v>
      </c>
      <c r="F705" s="14" t="s">
        <v>1309</v>
      </c>
      <c r="G705" s="14" t="s">
        <v>72</v>
      </c>
      <c r="H705" s="14">
        <v>2</v>
      </c>
      <c r="I705" s="14">
        <v>154170</v>
      </c>
      <c r="J705" s="14">
        <v>10</v>
      </c>
      <c r="K705" s="14">
        <v>277506</v>
      </c>
      <c r="L705" s="14" t="s">
        <v>73</v>
      </c>
      <c r="M705" s="14" t="s">
        <v>3975</v>
      </c>
      <c r="N705" s="14" t="s">
        <v>3064</v>
      </c>
      <c r="O705" s="14" t="str">
        <f>IFERROR(INDEX(Cleaned_Products!$C$2:$C$61,MATCH(F705,Cleaned_Products!$A$2:$A$61,0)),"Unknown")</f>
        <v>Rings</v>
      </c>
      <c r="P705" s="14" t="str">
        <f>IFERROR(INDEX(Cleaned_Products!$D$2:$D$61,MATCH(F705,Cleaned_Products!$A$2:$A$61,0)),"Unknown")</f>
        <v>Platinum</v>
      </c>
    </row>
    <row r="706" spans="1:16" x14ac:dyDescent="0.35">
      <c r="A706" s="14" t="s">
        <v>3067</v>
      </c>
      <c r="B706" s="21">
        <v>45686</v>
      </c>
      <c r="C706" s="14" t="s">
        <v>4005</v>
      </c>
      <c r="D706" s="14">
        <v>2025</v>
      </c>
      <c r="E706" s="14" t="s">
        <v>3995</v>
      </c>
      <c r="F706" s="14" t="s">
        <v>259</v>
      </c>
      <c r="G706" s="14" t="s">
        <v>108</v>
      </c>
      <c r="H706" s="14">
        <v>2</v>
      </c>
      <c r="I706" s="14">
        <v>163960</v>
      </c>
      <c r="J706" s="14">
        <v>0</v>
      </c>
      <c r="K706" s="14">
        <v>327920</v>
      </c>
      <c r="L706" s="14" t="s">
        <v>3979</v>
      </c>
      <c r="M706" s="14" t="s">
        <v>3980</v>
      </c>
      <c r="N706" s="14" t="s">
        <v>3983</v>
      </c>
      <c r="O706" s="14" t="str">
        <f>IFERROR(INDEX(Cleaned_Products!$C$2:$C$61,MATCH(F706,Cleaned_Products!$A$2:$A$61,0)),"Unknown")</f>
        <v>Pendants</v>
      </c>
      <c r="P706" s="14" t="str">
        <f>IFERROR(INDEX(Cleaned_Products!$D$2:$D$61,MATCH(F706,Cleaned_Products!$A$2:$A$61,0)),"Unknown")</f>
        <v>Platinum</v>
      </c>
    </row>
    <row r="707" spans="1:16" x14ac:dyDescent="0.35">
      <c r="A707" s="14" t="s">
        <v>3070</v>
      </c>
      <c r="B707" s="21">
        <v>45199</v>
      </c>
      <c r="C707" s="14" t="s">
        <v>3996</v>
      </c>
      <c r="D707" s="14">
        <v>2023</v>
      </c>
      <c r="E707" s="14" t="s">
        <v>504</v>
      </c>
      <c r="F707" s="14" t="s">
        <v>55</v>
      </c>
      <c r="G707" s="14" t="s">
        <v>64</v>
      </c>
      <c r="H707" s="14">
        <v>1</v>
      </c>
      <c r="I707" s="14">
        <v>83920</v>
      </c>
      <c r="J707" s="14">
        <v>0</v>
      </c>
      <c r="K707" s="14">
        <v>83920</v>
      </c>
      <c r="L707" s="14" t="s">
        <v>95</v>
      </c>
      <c r="M707" s="14" t="s">
        <v>3980</v>
      </c>
      <c r="N707" s="14" t="s">
        <v>3072</v>
      </c>
      <c r="O707" s="14" t="str">
        <f>IFERROR(INDEX(Cleaned_Products!$C$2:$C$61,MATCH(F707,Cleaned_Products!$A$2:$A$61,0)),"Unknown")</f>
        <v>Anklets</v>
      </c>
      <c r="P707" s="14" t="str">
        <f>IFERROR(INDEX(Cleaned_Products!$D$2:$D$61,MATCH(F707,Cleaned_Products!$A$2:$A$61,0)),"Unknown")</f>
        <v>Gold</v>
      </c>
    </row>
    <row r="708" spans="1:16" x14ac:dyDescent="0.35">
      <c r="A708" s="14" t="s">
        <v>3075</v>
      </c>
      <c r="B708" s="21">
        <v>45320</v>
      </c>
      <c r="C708" s="14" t="s">
        <v>3993</v>
      </c>
      <c r="D708" s="14">
        <v>2024</v>
      </c>
      <c r="E708" s="14" t="s">
        <v>1861</v>
      </c>
      <c r="F708" s="14" t="s">
        <v>192</v>
      </c>
      <c r="G708" s="14" t="s">
        <v>80</v>
      </c>
      <c r="H708" s="14">
        <v>2</v>
      </c>
      <c r="I708" s="14">
        <v>214980</v>
      </c>
      <c r="J708" s="14">
        <v>0</v>
      </c>
      <c r="K708" s="14">
        <v>429960</v>
      </c>
      <c r="L708" s="14" t="s">
        <v>3977</v>
      </c>
      <c r="M708" s="14" t="s">
        <v>3980</v>
      </c>
      <c r="N708" s="14" t="s">
        <v>3983</v>
      </c>
      <c r="O708" s="14" t="str">
        <f>IFERROR(INDEX(Cleaned_Products!$C$2:$C$61,MATCH(F708,Cleaned_Products!$A$2:$A$61,0)),"Unknown")</f>
        <v>Bangles</v>
      </c>
      <c r="P708" s="14" t="str">
        <f>IFERROR(INDEX(Cleaned_Products!$D$2:$D$61,MATCH(F708,Cleaned_Products!$A$2:$A$61,0)),"Unknown")</f>
        <v>Silver</v>
      </c>
    </row>
    <row r="709" spans="1:16" x14ac:dyDescent="0.35">
      <c r="A709" s="14" t="s">
        <v>3077</v>
      </c>
      <c r="B709" s="21">
        <v>45813</v>
      </c>
      <c r="C709" s="14" t="s">
        <v>3997</v>
      </c>
      <c r="D709" s="14">
        <v>2025</v>
      </c>
      <c r="E709" s="14" t="s">
        <v>674</v>
      </c>
      <c r="F709" s="14" t="s">
        <v>989</v>
      </c>
      <c r="G709" s="14" t="s">
        <v>126</v>
      </c>
      <c r="H709" s="14">
        <v>1</v>
      </c>
      <c r="I709" s="14">
        <v>99570</v>
      </c>
      <c r="J709" s="14">
        <v>5</v>
      </c>
      <c r="K709" s="14">
        <v>94591.5</v>
      </c>
      <c r="L709" s="14" t="s">
        <v>3979</v>
      </c>
      <c r="M709" s="14" t="s">
        <v>3975</v>
      </c>
      <c r="N709" s="14" t="s">
        <v>3079</v>
      </c>
      <c r="O709" s="14" t="str">
        <f>IFERROR(INDEX(Cleaned_Products!$C$2:$C$61,MATCH(F709,Cleaned_Products!$A$2:$A$61,0)),"Unknown")</f>
        <v>Anklets</v>
      </c>
      <c r="P709" s="14" t="str">
        <f>IFERROR(INDEX(Cleaned_Products!$D$2:$D$61,MATCH(F709,Cleaned_Products!$A$2:$A$61,0)),"Unknown")</f>
        <v>Rose Gold</v>
      </c>
    </row>
    <row r="710" spans="1:16" x14ac:dyDescent="0.35">
      <c r="A710" s="14" t="s">
        <v>3080</v>
      </c>
      <c r="B710" s="21">
        <v>45868</v>
      </c>
      <c r="C710" s="14" t="s">
        <v>3991</v>
      </c>
      <c r="D710" s="14">
        <v>2025</v>
      </c>
      <c r="E710" s="14" t="s">
        <v>365</v>
      </c>
      <c r="F710" s="14" t="s">
        <v>231</v>
      </c>
      <c r="G710" s="14" t="s">
        <v>101</v>
      </c>
      <c r="H710" s="14">
        <v>1</v>
      </c>
      <c r="I710" s="14">
        <v>109440</v>
      </c>
      <c r="J710" s="14">
        <v>5</v>
      </c>
      <c r="K710" s="14">
        <v>103968</v>
      </c>
      <c r="L710" s="14" t="s">
        <v>73</v>
      </c>
      <c r="M710" s="14" t="s">
        <v>3980</v>
      </c>
      <c r="N710" s="14" t="s">
        <v>3083</v>
      </c>
      <c r="O710" s="14" t="str">
        <f>IFERROR(INDEX(Cleaned_Products!$C$2:$C$61,MATCH(F710,Cleaned_Products!$A$2:$A$61,0)),"Unknown")</f>
        <v>Nose Pins</v>
      </c>
      <c r="P710" s="14" t="str">
        <f>IFERROR(INDEX(Cleaned_Products!$D$2:$D$61,MATCH(F710,Cleaned_Products!$A$2:$A$61,0)),"Unknown")</f>
        <v>Platinum</v>
      </c>
    </row>
    <row r="711" spans="1:16" x14ac:dyDescent="0.35">
      <c r="A711" s="14" t="s">
        <v>3084</v>
      </c>
      <c r="B711" s="21">
        <v>45488</v>
      </c>
      <c r="C711" s="14" t="s">
        <v>4009</v>
      </c>
      <c r="D711" s="14">
        <v>2024</v>
      </c>
      <c r="E711" s="14" t="s">
        <v>661</v>
      </c>
      <c r="F711" s="14" t="s">
        <v>529</v>
      </c>
      <c r="G711" s="14" t="s">
        <v>101</v>
      </c>
      <c r="H711" s="14">
        <v>1</v>
      </c>
      <c r="I711" s="14">
        <v>191640</v>
      </c>
      <c r="J711" s="14">
        <v>10</v>
      </c>
      <c r="K711" s="14">
        <v>172476</v>
      </c>
      <c r="L711" s="14" t="s">
        <v>121</v>
      </c>
      <c r="M711" s="14" t="s">
        <v>3980</v>
      </c>
      <c r="N711" s="14" t="s">
        <v>3086</v>
      </c>
      <c r="O711" s="14" t="str">
        <f>IFERROR(INDEX(Cleaned_Products!$C$2:$C$61,MATCH(F711,Cleaned_Products!$A$2:$A$61,0)),"Unknown")</f>
        <v>Bangles</v>
      </c>
      <c r="P711" s="14" t="str">
        <f>IFERROR(INDEX(Cleaned_Products!$D$2:$D$61,MATCH(F711,Cleaned_Products!$A$2:$A$61,0)),"Unknown")</f>
        <v>Silver</v>
      </c>
    </row>
    <row r="712" spans="1:16" x14ac:dyDescent="0.35">
      <c r="A712" s="14" t="s">
        <v>3087</v>
      </c>
      <c r="B712" s="21">
        <v>45099</v>
      </c>
      <c r="C712" s="14" t="s">
        <v>3994</v>
      </c>
      <c r="D712" s="14">
        <v>2023</v>
      </c>
      <c r="E712" s="14" t="s">
        <v>389</v>
      </c>
      <c r="F712" s="14" t="s">
        <v>71</v>
      </c>
      <c r="G712" s="14" t="s">
        <v>56</v>
      </c>
      <c r="H712" s="14">
        <v>2</v>
      </c>
      <c r="I712" s="14">
        <v>132620</v>
      </c>
      <c r="J712" s="14">
        <v>10</v>
      </c>
      <c r="K712" s="14">
        <v>238716</v>
      </c>
      <c r="L712" s="14" t="s">
        <v>121</v>
      </c>
      <c r="M712" s="14" t="s">
        <v>3975</v>
      </c>
      <c r="N712" s="14" t="s">
        <v>3090</v>
      </c>
      <c r="O712" s="14" t="str">
        <f>IFERROR(INDEX(Cleaned_Products!$C$2:$C$61,MATCH(F712,Cleaned_Products!$A$2:$A$61,0)),"Unknown")</f>
        <v>Bracelets</v>
      </c>
      <c r="P712" s="14" t="str">
        <f>IFERROR(INDEX(Cleaned_Products!$D$2:$D$61,MATCH(F712,Cleaned_Products!$A$2:$A$61,0)),"Unknown")</f>
        <v>Rose Gold</v>
      </c>
    </row>
    <row r="713" spans="1:16" x14ac:dyDescent="0.35">
      <c r="A713" s="14" t="s">
        <v>3091</v>
      </c>
      <c r="B713" s="21">
        <v>45762</v>
      </c>
      <c r="C713" s="14" t="s">
        <v>4006</v>
      </c>
      <c r="D713" s="14">
        <v>2025</v>
      </c>
      <c r="E713" s="14" t="s">
        <v>562</v>
      </c>
      <c r="F713" s="14" t="s">
        <v>342</v>
      </c>
      <c r="G713" s="14" t="s">
        <v>126</v>
      </c>
      <c r="H713" s="14">
        <v>2</v>
      </c>
      <c r="I713" s="14">
        <v>233840</v>
      </c>
      <c r="J713" s="14">
        <v>0</v>
      </c>
      <c r="K713" s="14">
        <v>467680</v>
      </c>
      <c r="L713" s="14" t="s">
        <v>3979</v>
      </c>
      <c r="M713" s="14" t="s">
        <v>3980</v>
      </c>
      <c r="N713" s="14" t="s">
        <v>3983</v>
      </c>
      <c r="O713" s="14" t="str">
        <f>IFERROR(INDEX(Cleaned_Products!$C$2:$C$61,MATCH(F713,Cleaned_Products!$A$2:$A$61,0)),"Unknown")</f>
        <v>Necklaces</v>
      </c>
      <c r="P713" s="14" t="str">
        <f>IFERROR(INDEX(Cleaned_Products!$D$2:$D$61,MATCH(F713,Cleaned_Products!$A$2:$A$61,0)),"Unknown")</f>
        <v>Diamond</v>
      </c>
    </row>
    <row r="714" spans="1:16" x14ac:dyDescent="0.35">
      <c r="A714" s="14" t="s">
        <v>3097</v>
      </c>
      <c r="B714" s="21">
        <v>45435</v>
      </c>
      <c r="C714" s="14" t="s">
        <v>4007</v>
      </c>
      <c r="D714" s="14">
        <v>2024</v>
      </c>
      <c r="E714" s="14" t="s">
        <v>267</v>
      </c>
      <c r="F714" s="14" t="s">
        <v>163</v>
      </c>
      <c r="G714" s="14" t="s">
        <v>108</v>
      </c>
      <c r="H714" s="14">
        <v>1</v>
      </c>
      <c r="I714" s="14">
        <v>115260</v>
      </c>
      <c r="J714" s="14">
        <v>0</v>
      </c>
      <c r="K714" s="14">
        <v>115260</v>
      </c>
      <c r="L714" s="14" t="s">
        <v>3974</v>
      </c>
      <c r="M714" s="14" t="s">
        <v>3975</v>
      </c>
      <c r="N714" s="14" t="s">
        <v>3098</v>
      </c>
      <c r="O714" s="14" t="str">
        <f>IFERROR(INDEX(Cleaned_Products!$C$2:$C$61,MATCH(F714,Cleaned_Products!$A$2:$A$61,0)),"Unknown")</f>
        <v>Earrings</v>
      </c>
      <c r="P714" s="14" t="str">
        <f>IFERROR(INDEX(Cleaned_Products!$D$2:$D$61,MATCH(F714,Cleaned_Products!$A$2:$A$61,0)),"Unknown")</f>
        <v>Diamond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N61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13" customWidth="1"/>
    <col min="2" max="2" width="24" customWidth="1"/>
    <col min="3" max="4" width="13" customWidth="1"/>
    <col min="5" max="5" width="20" customWidth="1"/>
    <col min="6" max="7" width="13" customWidth="1"/>
    <col min="8" max="8" width="14" customWidth="1"/>
    <col min="9" max="11" width="13" customWidth="1"/>
    <col min="12" max="12" width="32" customWidth="1"/>
    <col min="13" max="13" width="23" customWidth="1"/>
    <col min="14" max="14" width="21" customWidth="1"/>
  </cols>
  <sheetData>
    <row r="1" spans="1:14" x14ac:dyDescent="0.35">
      <c r="A1" s="17" t="s">
        <v>44</v>
      </c>
      <c r="B1" s="17" t="s">
        <v>3099</v>
      </c>
      <c r="C1" s="17" t="s">
        <v>3100</v>
      </c>
      <c r="D1" s="17" t="s">
        <v>3101</v>
      </c>
      <c r="E1" s="17" t="s">
        <v>3102</v>
      </c>
      <c r="F1" s="17" t="s">
        <v>3103</v>
      </c>
      <c r="G1" s="17" t="s">
        <v>3104</v>
      </c>
      <c r="H1" s="17" t="s">
        <v>3105</v>
      </c>
      <c r="I1" s="17" t="s">
        <v>4012</v>
      </c>
      <c r="J1" s="17" t="s">
        <v>4013</v>
      </c>
      <c r="K1" s="17" t="s">
        <v>3106</v>
      </c>
      <c r="L1" s="17" t="s">
        <v>4014</v>
      </c>
      <c r="M1" s="17" t="s">
        <v>3107</v>
      </c>
      <c r="N1" s="17" t="s">
        <v>3108</v>
      </c>
    </row>
    <row r="2" spans="1:14" x14ac:dyDescent="0.35">
      <c r="A2" s="14" t="s">
        <v>348</v>
      </c>
      <c r="B2" s="14" t="s">
        <v>3109</v>
      </c>
      <c r="C2" s="14" t="s">
        <v>3110</v>
      </c>
      <c r="D2" s="14" t="s">
        <v>3173</v>
      </c>
      <c r="E2" s="14" t="s">
        <v>3112</v>
      </c>
      <c r="F2" s="14">
        <v>13.46</v>
      </c>
      <c r="G2" s="14">
        <v>55220</v>
      </c>
      <c r="H2" s="14">
        <v>79770</v>
      </c>
      <c r="I2" s="14">
        <v>24550</v>
      </c>
      <c r="J2" s="14">
        <v>30.78</v>
      </c>
      <c r="K2" s="14">
        <v>84</v>
      </c>
      <c r="L2" s="14" t="s">
        <v>4015</v>
      </c>
      <c r="M2" s="14" t="s">
        <v>3113</v>
      </c>
      <c r="N2" s="21">
        <v>45293</v>
      </c>
    </row>
    <row r="3" spans="1:14" x14ac:dyDescent="0.35">
      <c r="A3" s="14" t="s">
        <v>989</v>
      </c>
      <c r="B3" s="14" t="s">
        <v>3115</v>
      </c>
      <c r="C3" s="14" t="s">
        <v>3149</v>
      </c>
      <c r="D3" s="14" t="s">
        <v>3137</v>
      </c>
      <c r="E3" s="14" t="s">
        <v>3118</v>
      </c>
      <c r="F3" s="14">
        <v>21.04</v>
      </c>
      <c r="G3" s="14">
        <v>89440</v>
      </c>
      <c r="H3" s="14">
        <v>133960</v>
      </c>
      <c r="I3" s="14">
        <v>44520</v>
      </c>
      <c r="J3" s="14">
        <v>33.229999999999997</v>
      </c>
      <c r="K3" s="14">
        <v>95</v>
      </c>
      <c r="L3" s="14" t="s">
        <v>4015</v>
      </c>
      <c r="M3" s="14" t="s">
        <v>3119</v>
      </c>
      <c r="N3" s="21">
        <v>43792</v>
      </c>
    </row>
    <row r="4" spans="1:14" x14ac:dyDescent="0.35">
      <c r="A4" s="14" t="s">
        <v>435</v>
      </c>
      <c r="B4" s="14" t="s">
        <v>3121</v>
      </c>
      <c r="C4" s="14" t="s">
        <v>3122</v>
      </c>
      <c r="D4" s="14" t="s">
        <v>3156</v>
      </c>
      <c r="E4" s="14" t="s">
        <v>3124</v>
      </c>
      <c r="F4" s="14">
        <v>33.24</v>
      </c>
      <c r="G4" s="14">
        <v>164470</v>
      </c>
      <c r="H4" s="14">
        <v>253160</v>
      </c>
      <c r="I4" s="14">
        <v>88690</v>
      </c>
      <c r="J4" s="14">
        <v>35.03</v>
      </c>
      <c r="K4" s="14">
        <v>46</v>
      </c>
      <c r="L4" s="14" t="s">
        <v>4015</v>
      </c>
      <c r="M4" s="14" t="s">
        <v>3127</v>
      </c>
      <c r="N4" s="21">
        <v>44653</v>
      </c>
    </row>
    <row r="5" spans="1:14" x14ac:dyDescent="0.35">
      <c r="A5" s="14" t="s">
        <v>135</v>
      </c>
      <c r="B5" s="14" t="s">
        <v>3129</v>
      </c>
      <c r="C5" s="14" t="s">
        <v>3172</v>
      </c>
      <c r="D5" s="14" t="s">
        <v>3131</v>
      </c>
      <c r="E5" s="14" t="s">
        <v>3132</v>
      </c>
      <c r="F5" s="14">
        <v>13.59</v>
      </c>
      <c r="G5" s="14">
        <v>70890</v>
      </c>
      <c r="H5" s="14">
        <v>91870</v>
      </c>
      <c r="I5" s="14">
        <v>20980</v>
      </c>
      <c r="J5" s="14">
        <v>22.84</v>
      </c>
      <c r="K5" s="14">
        <v>45</v>
      </c>
      <c r="L5" s="14" t="s">
        <v>4015</v>
      </c>
      <c r="M5" s="14" t="s">
        <v>3133</v>
      </c>
      <c r="N5" s="21">
        <v>43895</v>
      </c>
    </row>
    <row r="6" spans="1:14" x14ac:dyDescent="0.35">
      <c r="A6" s="14" t="s">
        <v>179</v>
      </c>
      <c r="B6" s="14" t="s">
        <v>3135</v>
      </c>
      <c r="C6" s="14" t="s">
        <v>3185</v>
      </c>
      <c r="D6" s="14" t="s">
        <v>3137</v>
      </c>
      <c r="E6" s="14" t="s">
        <v>3138</v>
      </c>
      <c r="F6" s="14">
        <v>38.159999999999997</v>
      </c>
      <c r="G6" s="14">
        <v>213510</v>
      </c>
      <c r="H6" s="14">
        <v>265100</v>
      </c>
      <c r="I6" s="14">
        <v>51590</v>
      </c>
      <c r="J6" s="14">
        <v>19.46</v>
      </c>
      <c r="K6" s="14">
        <v>2</v>
      </c>
      <c r="L6" s="14" t="s">
        <v>4015</v>
      </c>
      <c r="M6" s="14" t="s">
        <v>3119</v>
      </c>
      <c r="N6" s="21">
        <v>44112</v>
      </c>
    </row>
    <row r="7" spans="1:14" x14ac:dyDescent="0.35">
      <c r="A7" s="14" t="s">
        <v>163</v>
      </c>
      <c r="B7" s="14" t="s">
        <v>3140</v>
      </c>
      <c r="C7" s="14" t="s">
        <v>3177</v>
      </c>
      <c r="D7" s="14" t="s">
        <v>3213</v>
      </c>
      <c r="E7" s="14" t="s">
        <v>3143</v>
      </c>
      <c r="F7" s="14">
        <v>7.57</v>
      </c>
      <c r="G7" s="14">
        <v>41720</v>
      </c>
      <c r="H7" s="14">
        <v>56970</v>
      </c>
      <c r="I7" s="14">
        <v>15250</v>
      </c>
      <c r="J7" s="14">
        <v>26.77</v>
      </c>
      <c r="K7" s="14">
        <v>93</v>
      </c>
      <c r="L7" s="14" t="s">
        <v>4015</v>
      </c>
      <c r="M7" s="14" t="s">
        <v>3146</v>
      </c>
      <c r="N7" s="21">
        <v>44343</v>
      </c>
    </row>
    <row r="8" spans="1:14" x14ac:dyDescent="0.35">
      <c r="A8" s="14" t="s">
        <v>207</v>
      </c>
      <c r="B8" s="14" t="s">
        <v>3148</v>
      </c>
      <c r="C8" s="14" t="s">
        <v>3149</v>
      </c>
      <c r="D8" s="14" t="s">
        <v>3131</v>
      </c>
      <c r="E8" s="14" t="s">
        <v>3151</v>
      </c>
      <c r="F8" s="14">
        <v>18.239999999999998</v>
      </c>
      <c r="G8" s="14">
        <v>93190</v>
      </c>
      <c r="H8" s="14">
        <v>124620</v>
      </c>
      <c r="I8" s="14">
        <v>31430</v>
      </c>
      <c r="J8" s="14">
        <v>25.22</v>
      </c>
      <c r="K8" s="14">
        <v>30</v>
      </c>
      <c r="L8" s="14" t="s">
        <v>4015</v>
      </c>
      <c r="M8" s="14" t="s">
        <v>3146</v>
      </c>
      <c r="N8" s="21">
        <v>45228</v>
      </c>
    </row>
    <row r="9" spans="1:14" x14ac:dyDescent="0.35">
      <c r="A9" s="14" t="s">
        <v>369</v>
      </c>
      <c r="B9" s="14" t="s">
        <v>3154</v>
      </c>
      <c r="C9" s="14" t="s">
        <v>3177</v>
      </c>
      <c r="D9" s="14" t="s">
        <v>3156</v>
      </c>
      <c r="E9" s="14" t="s">
        <v>3124</v>
      </c>
      <c r="F9" s="14">
        <v>39.369999999999997</v>
      </c>
      <c r="G9" s="14">
        <v>169520</v>
      </c>
      <c r="H9" s="14">
        <v>238270</v>
      </c>
      <c r="I9" s="14">
        <v>68750</v>
      </c>
      <c r="J9" s="14">
        <v>28.85</v>
      </c>
      <c r="K9" s="14">
        <v>75</v>
      </c>
      <c r="L9" s="14" t="s">
        <v>4015</v>
      </c>
      <c r="M9" s="14" t="s">
        <v>3157</v>
      </c>
      <c r="N9" s="21">
        <v>43749</v>
      </c>
    </row>
    <row r="10" spans="1:14" x14ac:dyDescent="0.35">
      <c r="A10" s="14" t="s">
        <v>154</v>
      </c>
      <c r="B10" s="14" t="s">
        <v>3159</v>
      </c>
      <c r="C10" s="14" t="s">
        <v>3110</v>
      </c>
      <c r="D10" s="14" t="s">
        <v>3131</v>
      </c>
      <c r="E10" s="14" t="s">
        <v>3151</v>
      </c>
      <c r="F10" s="14">
        <v>39.69</v>
      </c>
      <c r="G10" s="14">
        <v>240390</v>
      </c>
      <c r="H10" s="14">
        <v>284680</v>
      </c>
      <c r="I10" s="14">
        <v>44290</v>
      </c>
      <c r="J10" s="14">
        <v>15.56</v>
      </c>
      <c r="K10" s="14">
        <v>60</v>
      </c>
      <c r="L10" s="14" t="s">
        <v>4015</v>
      </c>
      <c r="M10" s="14" t="s">
        <v>3119</v>
      </c>
      <c r="N10" s="21">
        <v>43607</v>
      </c>
    </row>
    <row r="11" spans="1:14" x14ac:dyDescent="0.35">
      <c r="A11" s="14" t="s">
        <v>255</v>
      </c>
      <c r="B11" s="14" t="s">
        <v>3163</v>
      </c>
      <c r="C11" s="14" t="s">
        <v>3185</v>
      </c>
      <c r="D11" s="14" t="s">
        <v>3137</v>
      </c>
      <c r="E11" s="14" t="s">
        <v>3138</v>
      </c>
      <c r="F11" s="14">
        <v>18.86</v>
      </c>
      <c r="G11" s="14">
        <v>100210</v>
      </c>
      <c r="H11" s="14">
        <v>130210</v>
      </c>
      <c r="I11" s="14">
        <v>30000</v>
      </c>
      <c r="J11" s="14">
        <v>23.04</v>
      </c>
      <c r="K11" s="14">
        <v>113</v>
      </c>
      <c r="L11" s="14" t="s">
        <v>4015</v>
      </c>
      <c r="M11" s="14" t="s">
        <v>3146</v>
      </c>
      <c r="N11" s="21">
        <v>44390</v>
      </c>
    </row>
    <row r="12" spans="1:14" x14ac:dyDescent="0.35">
      <c r="A12" s="14" t="s">
        <v>172</v>
      </c>
      <c r="B12" s="14" t="s">
        <v>3167</v>
      </c>
      <c r="C12" s="14" t="s">
        <v>3185</v>
      </c>
      <c r="D12" s="14" t="s">
        <v>3173</v>
      </c>
      <c r="E12" s="14" t="s">
        <v>3118</v>
      </c>
      <c r="F12" s="14">
        <v>40.89</v>
      </c>
      <c r="G12" s="14">
        <v>238020</v>
      </c>
      <c r="H12" s="14">
        <v>280470</v>
      </c>
      <c r="I12" s="14">
        <v>42450</v>
      </c>
      <c r="J12" s="14">
        <v>15.14</v>
      </c>
      <c r="K12" s="14">
        <v>28</v>
      </c>
      <c r="L12" s="14" t="s">
        <v>4015</v>
      </c>
      <c r="M12" s="14" t="s">
        <v>3133</v>
      </c>
      <c r="N12" s="21">
        <v>44836</v>
      </c>
    </row>
    <row r="13" spans="1:14" x14ac:dyDescent="0.35">
      <c r="A13" s="14" t="s">
        <v>144</v>
      </c>
      <c r="B13" s="14" t="s">
        <v>3171</v>
      </c>
      <c r="C13" s="14" t="s">
        <v>3172</v>
      </c>
      <c r="D13" s="14" t="s">
        <v>3173</v>
      </c>
      <c r="E13" s="14" t="s">
        <v>3112</v>
      </c>
      <c r="F13" s="14">
        <v>20.25</v>
      </c>
      <c r="G13" s="14">
        <v>94030</v>
      </c>
      <c r="H13" s="14">
        <v>125700</v>
      </c>
      <c r="I13" s="14">
        <v>31670</v>
      </c>
      <c r="J13" s="14">
        <v>25.19</v>
      </c>
      <c r="K13" s="14">
        <v>91</v>
      </c>
      <c r="L13" s="14" t="s">
        <v>4015</v>
      </c>
      <c r="M13" s="14" t="s">
        <v>3127</v>
      </c>
      <c r="N13" s="21">
        <v>44845</v>
      </c>
    </row>
    <row r="14" spans="1:14" x14ac:dyDescent="0.35">
      <c r="A14" s="14" t="s">
        <v>520</v>
      </c>
      <c r="B14" s="14" t="s">
        <v>3176</v>
      </c>
      <c r="C14" s="14" t="s">
        <v>3177</v>
      </c>
      <c r="D14" s="14"/>
      <c r="E14" s="14" t="s">
        <v>3143</v>
      </c>
      <c r="F14" s="14">
        <v>21.62</v>
      </c>
      <c r="G14" s="14">
        <v>126720</v>
      </c>
      <c r="H14" s="14">
        <v>149550</v>
      </c>
      <c r="I14" s="14">
        <v>22830</v>
      </c>
      <c r="J14" s="14">
        <v>15.27</v>
      </c>
      <c r="K14" s="14">
        <v>101</v>
      </c>
      <c r="L14" s="14" t="s">
        <v>4015</v>
      </c>
      <c r="M14" s="14" t="s">
        <v>3119</v>
      </c>
      <c r="N14" s="21">
        <v>45219</v>
      </c>
    </row>
    <row r="15" spans="1:14" x14ac:dyDescent="0.35">
      <c r="A15" s="14" t="s">
        <v>100</v>
      </c>
      <c r="B15" s="14" t="s">
        <v>3180</v>
      </c>
      <c r="C15" s="14" t="s">
        <v>3231</v>
      </c>
      <c r="D15" s="14" t="s">
        <v>3213</v>
      </c>
      <c r="E15" s="14" t="s">
        <v>3143</v>
      </c>
      <c r="F15" s="14">
        <v>10.8</v>
      </c>
      <c r="G15" s="14">
        <v>49490</v>
      </c>
      <c r="H15" s="14">
        <v>58070</v>
      </c>
      <c r="I15" s="14">
        <v>8580</v>
      </c>
      <c r="J15" s="14">
        <v>14.78</v>
      </c>
      <c r="K15" s="14">
        <v>46</v>
      </c>
      <c r="L15" s="14" t="s">
        <v>4015</v>
      </c>
      <c r="M15" s="14" t="s">
        <v>3127</v>
      </c>
      <c r="N15" s="21">
        <v>44472</v>
      </c>
    </row>
    <row r="16" spans="1:14" x14ac:dyDescent="0.35">
      <c r="A16" s="14" t="s">
        <v>1544</v>
      </c>
      <c r="B16" s="14" t="s">
        <v>3184</v>
      </c>
      <c r="C16" s="14" t="s">
        <v>3185</v>
      </c>
      <c r="D16" s="14" t="s">
        <v>3156</v>
      </c>
      <c r="E16" s="14" t="s">
        <v>3124</v>
      </c>
      <c r="F16" s="14">
        <v>26.69</v>
      </c>
      <c r="G16" s="14">
        <v>132490</v>
      </c>
      <c r="H16" s="14">
        <v>192000</v>
      </c>
      <c r="I16" s="14">
        <v>59510</v>
      </c>
      <c r="J16" s="14">
        <v>30.99</v>
      </c>
      <c r="K16" s="14">
        <v>5</v>
      </c>
      <c r="L16" s="14" t="s">
        <v>4015</v>
      </c>
      <c r="M16" s="14" t="s">
        <v>3127</v>
      </c>
      <c r="N16" s="21">
        <v>44662</v>
      </c>
    </row>
    <row r="17" spans="1:14" x14ac:dyDescent="0.35">
      <c r="A17" s="14" t="s">
        <v>482</v>
      </c>
      <c r="B17" s="14" t="s">
        <v>3189</v>
      </c>
      <c r="C17" s="14" t="s">
        <v>3172</v>
      </c>
      <c r="D17" s="14" t="s">
        <v>3213</v>
      </c>
      <c r="E17" s="14" t="s">
        <v>3190</v>
      </c>
      <c r="F17" s="14">
        <v>26.68</v>
      </c>
      <c r="G17" s="14">
        <v>96240</v>
      </c>
      <c r="H17" s="14">
        <v>113830</v>
      </c>
      <c r="I17" s="14">
        <v>17590</v>
      </c>
      <c r="J17" s="14">
        <v>15.45</v>
      </c>
      <c r="K17" s="14">
        <v>82</v>
      </c>
      <c r="L17" s="14" t="s">
        <v>4015</v>
      </c>
      <c r="M17" s="14" t="s">
        <v>3146</v>
      </c>
      <c r="N17" s="21">
        <v>44623</v>
      </c>
    </row>
    <row r="18" spans="1:14" x14ac:dyDescent="0.35">
      <c r="A18" s="14" t="s">
        <v>120</v>
      </c>
      <c r="B18" s="14" t="s">
        <v>3193</v>
      </c>
      <c r="C18" s="14" t="s">
        <v>3172</v>
      </c>
      <c r="D18" s="14" t="s">
        <v>3156</v>
      </c>
      <c r="E18" s="14" t="s">
        <v>3124</v>
      </c>
      <c r="F18" s="14">
        <v>21.44</v>
      </c>
      <c r="G18" s="14">
        <v>132840</v>
      </c>
      <c r="H18" s="14">
        <v>205690</v>
      </c>
      <c r="I18" s="14">
        <v>72850</v>
      </c>
      <c r="J18" s="14">
        <v>35.42</v>
      </c>
      <c r="K18" s="14">
        <v>7</v>
      </c>
      <c r="L18" s="14" t="s">
        <v>4015</v>
      </c>
      <c r="M18" s="14" t="s">
        <v>3146</v>
      </c>
      <c r="N18" s="21">
        <v>43902</v>
      </c>
    </row>
    <row r="19" spans="1:14" x14ac:dyDescent="0.35">
      <c r="A19" s="14" t="s">
        <v>1309</v>
      </c>
      <c r="B19" s="14" t="s">
        <v>3196</v>
      </c>
      <c r="C19" s="14" t="s">
        <v>3110</v>
      </c>
      <c r="D19" s="14" t="s">
        <v>3156</v>
      </c>
      <c r="E19" s="14" t="s">
        <v>3124</v>
      </c>
      <c r="F19" s="14">
        <v>42.03</v>
      </c>
      <c r="G19" s="14">
        <v>158860</v>
      </c>
      <c r="H19" s="14">
        <v>238490</v>
      </c>
      <c r="I19" s="14">
        <v>79630</v>
      </c>
      <c r="J19" s="14">
        <v>33.39</v>
      </c>
      <c r="K19" s="14">
        <v>31</v>
      </c>
      <c r="L19" s="14" t="s">
        <v>4015</v>
      </c>
      <c r="M19" s="14" t="s">
        <v>3127</v>
      </c>
      <c r="N19" s="21">
        <v>45288</v>
      </c>
    </row>
    <row r="20" spans="1:14" x14ac:dyDescent="0.35">
      <c r="A20" s="14" t="s">
        <v>445</v>
      </c>
      <c r="B20" s="14" t="s">
        <v>3199</v>
      </c>
      <c r="C20" s="14" t="s">
        <v>3122</v>
      </c>
      <c r="D20" s="14" t="s">
        <v>3213</v>
      </c>
      <c r="E20" s="14" t="s">
        <v>3190</v>
      </c>
      <c r="F20" s="14">
        <v>26.57</v>
      </c>
      <c r="G20" s="14">
        <v>25590</v>
      </c>
      <c r="H20" s="14">
        <v>32260</v>
      </c>
      <c r="I20" s="14">
        <v>6670</v>
      </c>
      <c r="J20" s="14">
        <v>20.68</v>
      </c>
      <c r="K20" s="14">
        <v>0</v>
      </c>
      <c r="L20" s="14" t="s">
        <v>4016</v>
      </c>
      <c r="M20" s="14" t="s">
        <v>3133</v>
      </c>
      <c r="N20" s="21">
        <v>45045</v>
      </c>
    </row>
    <row r="21" spans="1:14" x14ac:dyDescent="0.35">
      <c r="A21" s="14" t="s">
        <v>736</v>
      </c>
      <c r="B21" s="14" t="s">
        <v>3204</v>
      </c>
      <c r="C21" s="14" t="s">
        <v>3110</v>
      </c>
      <c r="D21" s="14" t="s">
        <v>3131</v>
      </c>
      <c r="E21" s="14" t="s">
        <v>3132</v>
      </c>
      <c r="F21" s="14">
        <v>26.84</v>
      </c>
      <c r="G21" s="14">
        <v>104670</v>
      </c>
      <c r="H21" s="14">
        <v>125710</v>
      </c>
      <c r="I21" s="14">
        <v>21040</v>
      </c>
      <c r="J21" s="14">
        <v>16.739999999999998</v>
      </c>
      <c r="K21" s="14">
        <v>37</v>
      </c>
      <c r="L21" s="14" t="s">
        <v>4015</v>
      </c>
      <c r="M21" s="14" t="s">
        <v>3133</v>
      </c>
      <c r="N21" s="21">
        <v>45307</v>
      </c>
    </row>
    <row r="22" spans="1:14" x14ac:dyDescent="0.35">
      <c r="A22" s="14" t="s">
        <v>216</v>
      </c>
      <c r="B22" s="14" t="s">
        <v>3207</v>
      </c>
      <c r="C22" s="14" t="s">
        <v>3185</v>
      </c>
      <c r="D22" s="14" t="s">
        <v>3131</v>
      </c>
      <c r="E22" s="14" t="s">
        <v>3151</v>
      </c>
      <c r="F22" s="14">
        <v>43.96</v>
      </c>
      <c r="G22" s="14">
        <v>250090</v>
      </c>
      <c r="H22" s="14">
        <v>375780</v>
      </c>
      <c r="I22" s="14">
        <v>125690</v>
      </c>
      <c r="J22" s="14">
        <v>33.450000000000003</v>
      </c>
      <c r="K22" s="14">
        <v>1</v>
      </c>
      <c r="L22" s="14" t="s">
        <v>4015</v>
      </c>
      <c r="M22" s="14" t="s">
        <v>3157</v>
      </c>
      <c r="N22" s="21">
        <v>44974</v>
      </c>
    </row>
    <row r="23" spans="1:14" x14ac:dyDescent="0.35">
      <c r="A23" s="14" t="s">
        <v>360</v>
      </c>
      <c r="B23" s="14" t="s">
        <v>3211</v>
      </c>
      <c r="C23" s="14" t="s">
        <v>3248</v>
      </c>
      <c r="D23" s="14" t="s">
        <v>3213</v>
      </c>
      <c r="E23" s="14" t="s">
        <v>3143</v>
      </c>
      <c r="F23" s="14">
        <v>37.19</v>
      </c>
      <c r="G23" s="14">
        <v>217660</v>
      </c>
      <c r="H23" s="14">
        <v>269720</v>
      </c>
      <c r="I23" s="14">
        <v>52060</v>
      </c>
      <c r="J23" s="14">
        <v>19.3</v>
      </c>
      <c r="K23" s="14">
        <v>82</v>
      </c>
      <c r="L23" s="14" t="s">
        <v>4015</v>
      </c>
      <c r="M23" s="14" t="s">
        <v>3157</v>
      </c>
      <c r="N23" s="21">
        <v>44282</v>
      </c>
    </row>
    <row r="24" spans="1:14" x14ac:dyDescent="0.35">
      <c r="A24" s="14" t="s">
        <v>88</v>
      </c>
      <c r="B24" s="14" t="s">
        <v>3215</v>
      </c>
      <c r="C24" s="14" t="s">
        <v>3172</v>
      </c>
      <c r="D24" s="14" t="s">
        <v>3173</v>
      </c>
      <c r="E24" s="14" t="s">
        <v>3138</v>
      </c>
      <c r="F24" s="14">
        <v>9.27</v>
      </c>
      <c r="G24" s="14">
        <v>56540</v>
      </c>
      <c r="H24" s="14">
        <v>71020</v>
      </c>
      <c r="I24" s="14">
        <v>14480</v>
      </c>
      <c r="J24" s="14">
        <v>20.39</v>
      </c>
      <c r="K24" s="14">
        <v>11</v>
      </c>
      <c r="L24" s="14" t="s">
        <v>4015</v>
      </c>
      <c r="M24" s="14" t="s">
        <v>3146</v>
      </c>
      <c r="N24" s="21">
        <v>44414</v>
      </c>
    </row>
    <row r="25" spans="1:14" x14ac:dyDescent="0.35">
      <c r="A25" s="14" t="s">
        <v>463</v>
      </c>
      <c r="B25" s="14" t="s">
        <v>3218</v>
      </c>
      <c r="C25" s="14" t="s">
        <v>3185</v>
      </c>
      <c r="D25" s="14" t="s">
        <v>3173</v>
      </c>
      <c r="E25" s="14" t="s">
        <v>3138</v>
      </c>
      <c r="F25" s="14">
        <v>20.260000000000002</v>
      </c>
      <c r="G25" s="14">
        <v>122820</v>
      </c>
      <c r="H25" s="14">
        <v>186480</v>
      </c>
      <c r="I25" s="14">
        <v>63660</v>
      </c>
      <c r="J25" s="14">
        <v>34.14</v>
      </c>
      <c r="K25" s="14">
        <v>77</v>
      </c>
      <c r="L25" s="14" t="s">
        <v>4015</v>
      </c>
      <c r="M25" s="14" t="s">
        <v>3133</v>
      </c>
      <c r="N25" s="21">
        <v>44824</v>
      </c>
    </row>
    <row r="26" spans="1:14" x14ac:dyDescent="0.35">
      <c r="A26" s="14" t="s">
        <v>226</v>
      </c>
      <c r="B26" s="14" t="s">
        <v>3222</v>
      </c>
      <c r="C26" s="14" t="s">
        <v>3177</v>
      </c>
      <c r="D26" s="14" t="s">
        <v>3213</v>
      </c>
      <c r="E26" s="14" t="s">
        <v>3143</v>
      </c>
      <c r="F26" s="14">
        <v>19.16</v>
      </c>
      <c r="G26" s="14">
        <v>110190</v>
      </c>
      <c r="H26" s="14">
        <v>140110</v>
      </c>
      <c r="I26" s="14">
        <v>29920</v>
      </c>
      <c r="J26" s="14">
        <v>21.35</v>
      </c>
      <c r="K26" s="14">
        <v>24</v>
      </c>
      <c r="L26" s="14" t="s">
        <v>4015</v>
      </c>
      <c r="M26" s="14" t="s">
        <v>3223</v>
      </c>
      <c r="N26" s="21">
        <v>45075</v>
      </c>
    </row>
    <row r="27" spans="1:14" x14ac:dyDescent="0.35">
      <c r="A27" s="14" t="s">
        <v>295</v>
      </c>
      <c r="B27" s="14" t="s">
        <v>3225</v>
      </c>
      <c r="C27" s="14" t="s">
        <v>3172</v>
      </c>
      <c r="D27" s="14" t="s">
        <v>3131</v>
      </c>
      <c r="E27" s="14" t="s">
        <v>3132</v>
      </c>
      <c r="F27" s="14">
        <v>23.92</v>
      </c>
      <c r="G27" s="14">
        <v>124600</v>
      </c>
      <c r="H27" s="14">
        <v>160000</v>
      </c>
      <c r="I27" s="14">
        <v>35400</v>
      </c>
      <c r="J27" s="14">
        <v>22.12</v>
      </c>
      <c r="K27" s="14">
        <v>102</v>
      </c>
      <c r="L27" s="14" t="s">
        <v>4015</v>
      </c>
      <c r="M27" s="14" t="s">
        <v>3119</v>
      </c>
      <c r="N27" s="21">
        <v>43947</v>
      </c>
    </row>
    <row r="28" spans="1:14" x14ac:dyDescent="0.35">
      <c r="A28" s="14" t="s">
        <v>63</v>
      </c>
      <c r="B28" s="14" t="s">
        <v>3227</v>
      </c>
      <c r="C28" s="14" t="s">
        <v>3149</v>
      </c>
      <c r="D28" s="14" t="s">
        <v>3213</v>
      </c>
      <c r="E28" s="14" t="s">
        <v>3190</v>
      </c>
      <c r="F28" s="14">
        <v>32.75</v>
      </c>
      <c r="G28" s="14">
        <v>148580</v>
      </c>
      <c r="H28" s="14">
        <v>194620</v>
      </c>
      <c r="I28" s="14">
        <v>46040</v>
      </c>
      <c r="J28" s="14">
        <v>23.66</v>
      </c>
      <c r="K28" s="14">
        <v>16</v>
      </c>
      <c r="L28" s="14" t="s">
        <v>4015</v>
      </c>
      <c r="M28" s="14" t="s">
        <v>3113</v>
      </c>
      <c r="N28" s="21">
        <v>44874</v>
      </c>
    </row>
    <row r="29" spans="1:14" x14ac:dyDescent="0.35">
      <c r="A29" s="14" t="s">
        <v>329</v>
      </c>
      <c r="B29" s="14" t="s">
        <v>3230</v>
      </c>
      <c r="C29" s="14" t="s">
        <v>3231</v>
      </c>
      <c r="D29" s="14" t="s">
        <v>3173</v>
      </c>
      <c r="E29" s="14" t="s">
        <v>3118</v>
      </c>
      <c r="F29" s="14">
        <v>36.36</v>
      </c>
      <c r="G29" s="14">
        <v>192800</v>
      </c>
      <c r="H29" s="14">
        <v>297910</v>
      </c>
      <c r="I29" s="14">
        <v>105110</v>
      </c>
      <c r="J29" s="14">
        <v>35.28</v>
      </c>
      <c r="K29" s="14">
        <v>74</v>
      </c>
      <c r="L29" s="14" t="s">
        <v>4015</v>
      </c>
      <c r="M29" s="14" t="s">
        <v>3133</v>
      </c>
      <c r="N29" s="21">
        <v>45411</v>
      </c>
    </row>
    <row r="30" spans="1:14" x14ac:dyDescent="0.35">
      <c r="A30" s="14" t="s">
        <v>529</v>
      </c>
      <c r="B30" s="14" t="s">
        <v>3234</v>
      </c>
      <c r="C30" s="14" t="s">
        <v>3122</v>
      </c>
      <c r="D30" s="14" t="s">
        <v>3131</v>
      </c>
      <c r="E30" s="14" t="s">
        <v>3132</v>
      </c>
      <c r="F30" s="14">
        <v>28.76</v>
      </c>
      <c r="G30" s="14">
        <v>121980</v>
      </c>
      <c r="H30" s="14">
        <v>144060</v>
      </c>
      <c r="I30" s="14">
        <v>22080</v>
      </c>
      <c r="J30" s="14">
        <v>15.33</v>
      </c>
      <c r="K30" s="14">
        <v>34</v>
      </c>
      <c r="L30" s="14" t="s">
        <v>4015</v>
      </c>
      <c r="M30" s="14" t="s">
        <v>3157</v>
      </c>
      <c r="N30" s="21">
        <v>44111</v>
      </c>
    </row>
    <row r="31" spans="1:14" x14ac:dyDescent="0.35">
      <c r="A31" s="14" t="s">
        <v>94</v>
      </c>
      <c r="B31" s="14" t="s">
        <v>3237</v>
      </c>
      <c r="C31" s="14" t="s">
        <v>3231</v>
      </c>
      <c r="D31" s="14" t="s">
        <v>3137</v>
      </c>
      <c r="E31" s="14" t="s">
        <v>3138</v>
      </c>
      <c r="F31" s="14">
        <v>4.21</v>
      </c>
      <c r="G31" s="14">
        <v>24200</v>
      </c>
      <c r="H31" s="14">
        <v>31600</v>
      </c>
      <c r="I31" s="14">
        <v>7400</v>
      </c>
      <c r="J31" s="14">
        <v>23.42</v>
      </c>
      <c r="K31" s="14">
        <v>96</v>
      </c>
      <c r="L31" s="14" t="s">
        <v>4015</v>
      </c>
      <c r="M31" s="14" t="s">
        <v>3146</v>
      </c>
      <c r="N31" s="21">
        <v>45403</v>
      </c>
    </row>
    <row r="32" spans="1:14" x14ac:dyDescent="0.35">
      <c r="A32" s="14" t="s">
        <v>916</v>
      </c>
      <c r="B32" s="14" t="s">
        <v>3240</v>
      </c>
      <c r="C32" s="14" t="s">
        <v>3185</v>
      </c>
      <c r="D32" s="14" t="s">
        <v>3137</v>
      </c>
      <c r="E32" s="14" t="s">
        <v>3138</v>
      </c>
      <c r="F32" s="14">
        <v>11.04</v>
      </c>
      <c r="G32" s="14">
        <v>51630</v>
      </c>
      <c r="H32" s="14">
        <v>59970</v>
      </c>
      <c r="I32" s="14">
        <v>8340</v>
      </c>
      <c r="J32" s="14">
        <v>13.91</v>
      </c>
      <c r="K32" s="14">
        <v>41</v>
      </c>
      <c r="L32" s="14" t="s">
        <v>4015</v>
      </c>
      <c r="M32" s="14" t="s">
        <v>3113</v>
      </c>
      <c r="N32" s="21">
        <v>44856</v>
      </c>
    </row>
    <row r="33" spans="1:14" x14ac:dyDescent="0.35">
      <c r="A33" s="14" t="s">
        <v>55</v>
      </c>
      <c r="B33" s="14" t="s">
        <v>3242</v>
      </c>
      <c r="C33" s="14" t="s">
        <v>3149</v>
      </c>
      <c r="D33" s="14" t="s">
        <v>3173</v>
      </c>
      <c r="E33" s="14" t="s">
        <v>3118</v>
      </c>
      <c r="F33" s="14">
        <v>39.21</v>
      </c>
      <c r="G33" s="14">
        <v>156470</v>
      </c>
      <c r="H33" s="14">
        <v>196220</v>
      </c>
      <c r="I33" s="14">
        <v>39750</v>
      </c>
      <c r="J33" s="14">
        <v>20.260000000000002</v>
      </c>
      <c r="K33" s="14">
        <v>39</v>
      </c>
      <c r="L33" s="14" t="s">
        <v>4015</v>
      </c>
      <c r="M33" s="14" t="s">
        <v>3157</v>
      </c>
      <c r="N33" s="21">
        <v>44397</v>
      </c>
    </row>
    <row r="34" spans="1:14" x14ac:dyDescent="0.35">
      <c r="A34" s="14" t="s">
        <v>310</v>
      </c>
      <c r="B34" s="14" t="s">
        <v>3245</v>
      </c>
      <c r="C34" s="14" t="s">
        <v>3248</v>
      </c>
      <c r="D34" s="14" t="s">
        <v>3173</v>
      </c>
      <c r="E34" s="14" t="s">
        <v>3118</v>
      </c>
      <c r="F34" s="14">
        <v>29.78</v>
      </c>
      <c r="G34" s="14">
        <v>167050</v>
      </c>
      <c r="H34" s="14">
        <v>235660</v>
      </c>
      <c r="I34" s="14">
        <v>68610</v>
      </c>
      <c r="J34" s="14">
        <v>29.11</v>
      </c>
      <c r="K34" s="14">
        <v>94</v>
      </c>
      <c r="L34" s="14" t="s">
        <v>4015</v>
      </c>
      <c r="M34" s="14" t="s">
        <v>3127</v>
      </c>
      <c r="N34" s="21">
        <v>45410</v>
      </c>
    </row>
    <row r="35" spans="1:14" x14ac:dyDescent="0.35">
      <c r="A35" s="14" t="s">
        <v>259</v>
      </c>
      <c r="B35" s="14" t="s">
        <v>3247</v>
      </c>
      <c r="C35" s="14" t="s">
        <v>3248</v>
      </c>
      <c r="D35" s="14" t="s">
        <v>3156</v>
      </c>
      <c r="E35" s="14" t="s">
        <v>3124</v>
      </c>
      <c r="F35" s="14">
        <v>27.86</v>
      </c>
      <c r="G35" s="14">
        <v>170000</v>
      </c>
      <c r="H35" s="14">
        <v>244350</v>
      </c>
      <c r="I35" s="14">
        <v>74350</v>
      </c>
      <c r="J35" s="14">
        <v>30.43</v>
      </c>
      <c r="K35" s="14">
        <v>97</v>
      </c>
      <c r="L35" s="14" t="s">
        <v>4015</v>
      </c>
      <c r="M35" s="14" t="s">
        <v>3119</v>
      </c>
      <c r="N35" s="21">
        <v>43508</v>
      </c>
    </row>
    <row r="36" spans="1:14" x14ac:dyDescent="0.35">
      <c r="A36" s="14" t="s">
        <v>315</v>
      </c>
      <c r="B36" s="14" t="s">
        <v>3251</v>
      </c>
      <c r="C36" s="14" t="s">
        <v>3185</v>
      </c>
      <c r="D36" s="14" t="s">
        <v>3137</v>
      </c>
      <c r="E36" s="14" t="s">
        <v>3118</v>
      </c>
      <c r="F36" s="14">
        <v>31.83</v>
      </c>
      <c r="G36" s="14">
        <v>137320</v>
      </c>
      <c r="H36" s="14">
        <v>195500</v>
      </c>
      <c r="I36" s="14">
        <v>58180</v>
      </c>
      <c r="J36" s="14">
        <v>29.76</v>
      </c>
      <c r="K36" s="14">
        <v>101</v>
      </c>
      <c r="L36" s="14" t="s">
        <v>4015</v>
      </c>
      <c r="M36" s="14" t="s">
        <v>3127</v>
      </c>
      <c r="N36" s="21">
        <v>45096</v>
      </c>
    </row>
    <row r="37" spans="1:14" x14ac:dyDescent="0.35">
      <c r="A37" s="14" t="s">
        <v>342</v>
      </c>
      <c r="B37" s="14" t="s">
        <v>3254</v>
      </c>
      <c r="C37" s="14" t="s">
        <v>3172</v>
      </c>
      <c r="D37" s="14" t="s">
        <v>3213</v>
      </c>
      <c r="E37" s="14" t="s">
        <v>3143</v>
      </c>
      <c r="F37" s="14">
        <v>43.29</v>
      </c>
      <c r="G37" s="14">
        <v>225800</v>
      </c>
      <c r="H37" s="14">
        <v>334520</v>
      </c>
      <c r="I37" s="14">
        <v>108720</v>
      </c>
      <c r="J37" s="14">
        <v>32.5</v>
      </c>
      <c r="K37" s="14">
        <v>88</v>
      </c>
      <c r="L37" s="14" t="s">
        <v>4015</v>
      </c>
      <c r="M37" s="14" t="s">
        <v>3157</v>
      </c>
      <c r="N37" s="21">
        <v>44357</v>
      </c>
    </row>
    <row r="38" spans="1:14" x14ac:dyDescent="0.35">
      <c r="A38" s="14" t="s">
        <v>390</v>
      </c>
      <c r="B38" s="14" t="s">
        <v>3256</v>
      </c>
      <c r="C38" s="14" t="s">
        <v>3185</v>
      </c>
      <c r="D38" s="14" t="s">
        <v>3156</v>
      </c>
      <c r="E38" s="14" t="s">
        <v>3124</v>
      </c>
      <c r="F38" s="14">
        <v>13.63</v>
      </c>
      <c r="G38" s="14">
        <v>64290</v>
      </c>
      <c r="H38" s="14">
        <v>93230</v>
      </c>
      <c r="I38" s="14">
        <v>28940</v>
      </c>
      <c r="J38" s="14">
        <v>31.04</v>
      </c>
      <c r="K38" s="14">
        <v>70</v>
      </c>
      <c r="L38" s="14" t="s">
        <v>4015</v>
      </c>
      <c r="M38" s="14" t="s">
        <v>3146</v>
      </c>
      <c r="N38" s="21">
        <v>44834</v>
      </c>
    </row>
    <row r="39" spans="1:14" x14ac:dyDescent="0.35">
      <c r="A39" s="14" t="s">
        <v>125</v>
      </c>
      <c r="B39" s="14" t="s">
        <v>3260</v>
      </c>
      <c r="C39" s="14" t="s">
        <v>3185</v>
      </c>
      <c r="D39" s="14" t="s">
        <v>3137</v>
      </c>
      <c r="E39" s="14" t="s">
        <v>3118</v>
      </c>
      <c r="F39" s="14">
        <v>23.97</v>
      </c>
      <c r="G39" s="14">
        <v>96260</v>
      </c>
      <c r="H39" s="14">
        <v>119990</v>
      </c>
      <c r="I39" s="14">
        <v>23730</v>
      </c>
      <c r="J39" s="14">
        <v>19.78</v>
      </c>
      <c r="K39" s="14">
        <v>50</v>
      </c>
      <c r="L39" s="14" t="s">
        <v>4015</v>
      </c>
      <c r="M39" s="14" t="s">
        <v>3223</v>
      </c>
      <c r="N39" s="21">
        <v>44603</v>
      </c>
    </row>
    <row r="40" spans="1:14" x14ac:dyDescent="0.35">
      <c r="A40" s="14" t="s">
        <v>231</v>
      </c>
      <c r="B40" s="14" t="s">
        <v>3263</v>
      </c>
      <c r="C40" s="14" t="s">
        <v>3231</v>
      </c>
      <c r="D40" s="14" t="s">
        <v>3156</v>
      </c>
      <c r="E40" s="14" t="s">
        <v>3124</v>
      </c>
      <c r="F40" s="14">
        <v>20.010000000000002</v>
      </c>
      <c r="G40" s="14">
        <v>110340</v>
      </c>
      <c r="H40" s="14">
        <v>141490</v>
      </c>
      <c r="I40" s="14">
        <v>31150</v>
      </c>
      <c r="J40" s="14">
        <v>22.02</v>
      </c>
      <c r="K40" s="14">
        <v>87</v>
      </c>
      <c r="L40" s="14" t="s">
        <v>4015</v>
      </c>
      <c r="M40" s="14" t="s">
        <v>3223</v>
      </c>
      <c r="N40" s="21">
        <v>44050</v>
      </c>
    </row>
    <row r="41" spans="1:14" x14ac:dyDescent="0.35">
      <c r="A41" s="14" t="s">
        <v>684</v>
      </c>
      <c r="B41" s="14" t="s">
        <v>3267</v>
      </c>
      <c r="C41" s="14" t="s">
        <v>3231</v>
      </c>
      <c r="D41" s="14" t="s">
        <v>3131</v>
      </c>
      <c r="E41" s="14" t="s">
        <v>3132</v>
      </c>
      <c r="F41" s="14">
        <v>33.020000000000003</v>
      </c>
      <c r="G41" s="14">
        <v>202640</v>
      </c>
      <c r="H41" s="14">
        <v>275560</v>
      </c>
      <c r="I41" s="14">
        <v>72920</v>
      </c>
      <c r="J41" s="14">
        <v>26.46</v>
      </c>
      <c r="K41" s="14">
        <v>34</v>
      </c>
      <c r="L41" s="14" t="s">
        <v>4015</v>
      </c>
      <c r="M41" s="14" t="s">
        <v>3127</v>
      </c>
      <c r="N41" s="21">
        <v>45171</v>
      </c>
    </row>
    <row r="42" spans="1:14" x14ac:dyDescent="0.35">
      <c r="A42" s="14" t="s">
        <v>107</v>
      </c>
      <c r="B42" s="14" t="s">
        <v>3270</v>
      </c>
      <c r="C42" s="14" t="s">
        <v>3177</v>
      </c>
      <c r="D42" s="14" t="s">
        <v>3156</v>
      </c>
      <c r="E42" s="14" t="s">
        <v>3124</v>
      </c>
      <c r="F42" s="14">
        <v>5.96</v>
      </c>
      <c r="G42" s="14">
        <v>21060</v>
      </c>
      <c r="H42" s="14">
        <v>26610</v>
      </c>
      <c r="I42" s="14">
        <v>5550</v>
      </c>
      <c r="J42" s="14">
        <v>20.86</v>
      </c>
      <c r="K42" s="14">
        <v>59</v>
      </c>
      <c r="L42" s="14" t="s">
        <v>4015</v>
      </c>
      <c r="M42" s="14" t="s">
        <v>3223</v>
      </c>
      <c r="N42" s="21">
        <v>44163</v>
      </c>
    </row>
    <row r="43" spans="1:14" x14ac:dyDescent="0.35">
      <c r="A43" s="14" t="s">
        <v>432</v>
      </c>
      <c r="B43" s="14" t="s">
        <v>3273</v>
      </c>
      <c r="C43" s="14" t="s">
        <v>3177</v>
      </c>
      <c r="D43" s="14" t="s">
        <v>3173</v>
      </c>
      <c r="E43" s="14" t="s">
        <v>3118</v>
      </c>
      <c r="F43" s="14">
        <v>36.78</v>
      </c>
      <c r="G43" s="14">
        <v>222980</v>
      </c>
      <c r="H43" s="14">
        <v>264020</v>
      </c>
      <c r="I43" s="14">
        <v>41040</v>
      </c>
      <c r="J43" s="14">
        <v>15.54</v>
      </c>
      <c r="K43" s="14">
        <v>29</v>
      </c>
      <c r="L43" s="14" t="s">
        <v>4015</v>
      </c>
      <c r="M43" s="14" t="s">
        <v>3127</v>
      </c>
      <c r="N43" s="21">
        <v>44608</v>
      </c>
    </row>
    <row r="44" spans="1:14" x14ac:dyDescent="0.35">
      <c r="A44" s="14" t="s">
        <v>418</v>
      </c>
      <c r="B44" s="14" t="s">
        <v>3275</v>
      </c>
      <c r="C44" s="14" t="s">
        <v>3110</v>
      </c>
      <c r="D44" s="14" t="s">
        <v>3137</v>
      </c>
      <c r="E44" s="14" t="s">
        <v>3118</v>
      </c>
      <c r="F44" s="14">
        <v>42.72</v>
      </c>
      <c r="G44" s="14">
        <v>173490</v>
      </c>
      <c r="H44" s="14">
        <v>214160</v>
      </c>
      <c r="I44" s="14">
        <v>40670</v>
      </c>
      <c r="J44" s="14">
        <v>18.989999999999998</v>
      </c>
      <c r="K44" s="14">
        <v>82</v>
      </c>
      <c r="L44" s="14" t="s">
        <v>4015</v>
      </c>
      <c r="M44" s="14" t="s">
        <v>3127</v>
      </c>
      <c r="N44" s="21">
        <v>43787</v>
      </c>
    </row>
    <row r="45" spans="1:14" x14ac:dyDescent="0.35">
      <c r="A45" s="14" t="s">
        <v>472</v>
      </c>
      <c r="B45" s="14" t="s">
        <v>3279</v>
      </c>
      <c r="C45" s="14" t="s">
        <v>3231</v>
      </c>
      <c r="D45" s="14" t="s">
        <v>3156</v>
      </c>
      <c r="E45" s="14" t="s">
        <v>3124</v>
      </c>
      <c r="F45" s="14">
        <v>31.4</v>
      </c>
      <c r="G45" s="14">
        <v>188230</v>
      </c>
      <c r="H45" s="14">
        <v>275780</v>
      </c>
      <c r="I45" s="14">
        <v>87550</v>
      </c>
      <c r="J45" s="14">
        <v>31.75</v>
      </c>
      <c r="K45" s="14">
        <v>78</v>
      </c>
      <c r="L45" s="14" t="s">
        <v>4015</v>
      </c>
      <c r="M45" s="14" t="s">
        <v>3146</v>
      </c>
      <c r="N45" s="21">
        <v>44820</v>
      </c>
    </row>
    <row r="46" spans="1:14" x14ac:dyDescent="0.35">
      <c r="A46" s="14" t="s">
        <v>240</v>
      </c>
      <c r="B46" s="14" t="s">
        <v>3283</v>
      </c>
      <c r="C46" s="14" t="s">
        <v>3122</v>
      </c>
      <c r="D46" s="14" t="s">
        <v>3156</v>
      </c>
      <c r="E46" s="14" t="s">
        <v>3124</v>
      </c>
      <c r="F46" s="14">
        <v>6.91</v>
      </c>
      <c r="G46" s="14">
        <v>37030</v>
      </c>
      <c r="H46" s="14">
        <v>52950</v>
      </c>
      <c r="I46" s="14">
        <v>15920</v>
      </c>
      <c r="J46" s="14">
        <v>30.07</v>
      </c>
      <c r="K46" s="14">
        <v>118</v>
      </c>
      <c r="L46" s="14" t="s">
        <v>4015</v>
      </c>
      <c r="M46" s="14" t="s">
        <v>3133</v>
      </c>
      <c r="N46" s="21">
        <v>44490</v>
      </c>
    </row>
    <row r="47" spans="1:14" x14ac:dyDescent="0.35">
      <c r="A47" s="14" t="s">
        <v>79</v>
      </c>
      <c r="B47" s="14" t="s">
        <v>3289</v>
      </c>
      <c r="C47" s="14" t="s">
        <v>3110</v>
      </c>
      <c r="D47" s="14" t="s">
        <v>3137</v>
      </c>
      <c r="E47" s="14" t="s">
        <v>3138</v>
      </c>
      <c r="F47" s="14">
        <v>26.57</v>
      </c>
      <c r="G47" s="14">
        <v>147740</v>
      </c>
      <c r="H47" s="14">
        <v>180250</v>
      </c>
      <c r="I47" s="14">
        <v>32510</v>
      </c>
      <c r="J47" s="14">
        <v>18.04</v>
      </c>
      <c r="K47" s="14">
        <v>64</v>
      </c>
      <c r="L47" s="14" t="s">
        <v>4015</v>
      </c>
      <c r="M47" s="14" t="s">
        <v>3113</v>
      </c>
      <c r="N47" s="21">
        <v>44371</v>
      </c>
    </row>
    <row r="48" spans="1:14" x14ac:dyDescent="0.35">
      <c r="A48" s="14" t="s">
        <v>264</v>
      </c>
      <c r="B48" s="14" t="s">
        <v>3292</v>
      </c>
      <c r="C48" s="14" t="s">
        <v>3248</v>
      </c>
      <c r="D48" s="14" t="s">
        <v>3131</v>
      </c>
      <c r="E48" s="14" t="s">
        <v>3132</v>
      </c>
      <c r="F48" s="14">
        <v>31.67</v>
      </c>
      <c r="G48" s="14">
        <v>135490</v>
      </c>
      <c r="H48" s="14">
        <v>207040</v>
      </c>
      <c r="I48" s="14">
        <v>71550</v>
      </c>
      <c r="J48" s="14">
        <v>34.56</v>
      </c>
      <c r="K48" s="14">
        <v>102</v>
      </c>
      <c r="L48" s="14" t="s">
        <v>4015</v>
      </c>
      <c r="M48" s="14" t="s">
        <v>3119</v>
      </c>
      <c r="N48" s="21">
        <v>44592</v>
      </c>
    </row>
    <row r="49" spans="1:14" x14ac:dyDescent="0.35">
      <c r="A49" s="14" t="s">
        <v>167</v>
      </c>
      <c r="B49" s="14" t="s">
        <v>3295</v>
      </c>
      <c r="C49" s="14" t="s">
        <v>3231</v>
      </c>
      <c r="D49" s="14" t="s">
        <v>3137</v>
      </c>
      <c r="E49" s="14" t="s">
        <v>3138</v>
      </c>
      <c r="F49" s="14">
        <v>3.86</v>
      </c>
      <c r="G49" s="14">
        <v>18910</v>
      </c>
      <c r="H49" s="14">
        <v>26460</v>
      </c>
      <c r="I49" s="14">
        <v>7550</v>
      </c>
      <c r="J49" s="14">
        <v>28.53</v>
      </c>
      <c r="K49" s="14">
        <v>61</v>
      </c>
      <c r="L49" s="14" t="s">
        <v>4015</v>
      </c>
      <c r="M49" s="14" t="s">
        <v>3113</v>
      </c>
      <c r="N49" s="21">
        <v>44371</v>
      </c>
    </row>
    <row r="50" spans="1:14" x14ac:dyDescent="0.35">
      <c r="A50" s="14" t="s">
        <v>71</v>
      </c>
      <c r="B50" s="14" t="s">
        <v>3299</v>
      </c>
      <c r="C50" s="14" t="s">
        <v>3185</v>
      </c>
      <c r="D50" s="14" t="s">
        <v>3137</v>
      </c>
      <c r="E50" s="14" t="s">
        <v>3118</v>
      </c>
      <c r="F50" s="14">
        <v>15.02</v>
      </c>
      <c r="G50" s="14">
        <v>53120</v>
      </c>
      <c r="H50" s="14">
        <v>69760</v>
      </c>
      <c r="I50" s="14">
        <v>16640</v>
      </c>
      <c r="J50" s="14">
        <v>23.85</v>
      </c>
      <c r="K50" s="14">
        <v>26</v>
      </c>
      <c r="L50" s="14" t="s">
        <v>4015</v>
      </c>
      <c r="M50" s="14" t="s">
        <v>3119</v>
      </c>
      <c r="N50" s="21">
        <v>45335</v>
      </c>
    </row>
    <row r="51" spans="1:14" x14ac:dyDescent="0.35">
      <c r="A51" s="14" t="s">
        <v>638</v>
      </c>
      <c r="B51" s="14" t="s">
        <v>3301</v>
      </c>
      <c r="C51" s="14" t="s">
        <v>3231</v>
      </c>
      <c r="D51" s="14" t="s">
        <v>3213</v>
      </c>
      <c r="E51" s="14" t="s">
        <v>3190</v>
      </c>
      <c r="F51" s="14">
        <v>21.37</v>
      </c>
      <c r="G51" s="14">
        <v>83140</v>
      </c>
      <c r="H51" s="14">
        <v>101950</v>
      </c>
      <c r="I51" s="14">
        <v>18810</v>
      </c>
      <c r="J51" s="14">
        <v>18.45</v>
      </c>
      <c r="K51" s="14">
        <v>74</v>
      </c>
      <c r="L51" s="14" t="s">
        <v>4015</v>
      </c>
      <c r="M51" s="14" t="s">
        <v>3146</v>
      </c>
      <c r="N51" s="21">
        <v>44994</v>
      </c>
    </row>
    <row r="52" spans="1:14" x14ac:dyDescent="0.35">
      <c r="A52" s="14" t="s">
        <v>212</v>
      </c>
      <c r="B52" s="14" t="s">
        <v>3305</v>
      </c>
      <c r="C52" s="14" t="s">
        <v>3231</v>
      </c>
      <c r="D52" s="14" t="s">
        <v>3156</v>
      </c>
      <c r="E52" s="14" t="s">
        <v>3124</v>
      </c>
      <c r="F52" s="14">
        <v>20.92</v>
      </c>
      <c r="G52" s="14">
        <v>100580</v>
      </c>
      <c r="H52" s="14">
        <v>129040</v>
      </c>
      <c r="I52" s="14">
        <v>28460</v>
      </c>
      <c r="J52" s="14">
        <v>22.06</v>
      </c>
      <c r="K52" s="14">
        <v>95</v>
      </c>
      <c r="L52" s="14" t="s">
        <v>4015</v>
      </c>
      <c r="M52" s="14" t="s">
        <v>3146</v>
      </c>
      <c r="N52" s="21">
        <v>44238</v>
      </c>
    </row>
    <row r="53" spans="1:14" x14ac:dyDescent="0.35">
      <c r="A53" s="14" t="s">
        <v>948</v>
      </c>
      <c r="B53" s="14" t="s">
        <v>3308</v>
      </c>
      <c r="C53" s="14" t="s">
        <v>3149</v>
      </c>
      <c r="D53" s="14" t="s">
        <v>3213</v>
      </c>
      <c r="E53" s="14" t="s">
        <v>3143</v>
      </c>
      <c r="F53" s="14">
        <v>44.5</v>
      </c>
      <c r="G53" s="14">
        <v>250960</v>
      </c>
      <c r="H53" s="14">
        <v>354060</v>
      </c>
      <c r="I53" s="14">
        <v>103100</v>
      </c>
      <c r="J53" s="14">
        <v>29.12</v>
      </c>
      <c r="K53" s="14">
        <v>17</v>
      </c>
      <c r="L53" s="14" t="s">
        <v>4015</v>
      </c>
      <c r="M53" s="14" t="s">
        <v>3223</v>
      </c>
      <c r="N53" s="21">
        <v>45441</v>
      </c>
    </row>
    <row r="54" spans="1:14" x14ac:dyDescent="0.35">
      <c r="A54" s="14" t="s">
        <v>278</v>
      </c>
      <c r="B54" s="14" t="s">
        <v>3311</v>
      </c>
      <c r="C54" s="14" t="s">
        <v>3177</v>
      </c>
      <c r="D54" s="14" t="s">
        <v>3213</v>
      </c>
      <c r="E54" s="14" t="s">
        <v>3190</v>
      </c>
      <c r="F54" s="14">
        <v>21.92</v>
      </c>
      <c r="G54" s="14">
        <v>134080</v>
      </c>
      <c r="H54" s="14">
        <v>172350</v>
      </c>
      <c r="I54" s="14">
        <v>38270</v>
      </c>
      <c r="J54" s="14">
        <v>22.2</v>
      </c>
      <c r="K54" s="14">
        <v>86</v>
      </c>
      <c r="L54" s="14" t="s">
        <v>4015</v>
      </c>
      <c r="M54" s="14" t="s">
        <v>3223</v>
      </c>
      <c r="N54" s="21">
        <v>44796</v>
      </c>
    </row>
    <row r="55" spans="1:14" x14ac:dyDescent="0.35">
      <c r="A55" s="14" t="s">
        <v>458</v>
      </c>
      <c r="B55" s="14" t="s">
        <v>3314</v>
      </c>
      <c r="C55" s="14" t="s">
        <v>3122</v>
      </c>
      <c r="D55" s="14" t="s">
        <v>3131</v>
      </c>
      <c r="E55" s="14" t="s">
        <v>3151</v>
      </c>
      <c r="F55" s="14">
        <v>33.979999999999997</v>
      </c>
      <c r="G55" s="14">
        <v>158750</v>
      </c>
      <c r="H55" s="14">
        <v>188810</v>
      </c>
      <c r="I55" s="14">
        <v>30060</v>
      </c>
      <c r="J55" s="14">
        <v>15.92</v>
      </c>
      <c r="K55" s="14">
        <v>79</v>
      </c>
      <c r="L55" s="14" t="s">
        <v>4015</v>
      </c>
      <c r="M55" s="14" t="s">
        <v>3113</v>
      </c>
      <c r="N55" s="21">
        <v>45253</v>
      </c>
    </row>
    <row r="56" spans="1:14" x14ac:dyDescent="0.35">
      <c r="A56" s="14" t="s">
        <v>550</v>
      </c>
      <c r="B56" s="14" t="s">
        <v>3317</v>
      </c>
      <c r="C56" s="14" t="s">
        <v>3185</v>
      </c>
      <c r="D56" s="14" t="s">
        <v>3131</v>
      </c>
      <c r="E56" s="14" t="s">
        <v>3132</v>
      </c>
      <c r="F56" s="14">
        <v>26.12</v>
      </c>
      <c r="G56" s="14">
        <v>147310</v>
      </c>
      <c r="H56" s="14">
        <v>179420</v>
      </c>
      <c r="I56" s="14">
        <v>32110</v>
      </c>
      <c r="J56" s="14">
        <v>17.899999999999999</v>
      </c>
      <c r="K56" s="14">
        <v>8</v>
      </c>
      <c r="L56" s="14" t="s">
        <v>4015</v>
      </c>
      <c r="M56" s="14" t="s">
        <v>3146</v>
      </c>
      <c r="N56" s="21">
        <v>45249</v>
      </c>
    </row>
    <row r="57" spans="1:14" x14ac:dyDescent="0.35">
      <c r="A57" s="14" t="s">
        <v>576</v>
      </c>
      <c r="B57" s="14" t="s">
        <v>3319</v>
      </c>
      <c r="C57" s="14" t="s">
        <v>3122</v>
      </c>
      <c r="D57" s="14" t="s">
        <v>3213</v>
      </c>
      <c r="E57" s="14" t="s">
        <v>3190</v>
      </c>
      <c r="F57" s="14">
        <v>4.71</v>
      </c>
      <c r="G57" s="14">
        <v>28510</v>
      </c>
      <c r="H57" s="14">
        <v>44050</v>
      </c>
      <c r="I57" s="14">
        <v>15540</v>
      </c>
      <c r="J57" s="14">
        <v>35.28</v>
      </c>
      <c r="K57" s="14">
        <v>36</v>
      </c>
      <c r="L57" s="14" t="s">
        <v>4015</v>
      </c>
      <c r="M57" s="14" t="s">
        <v>3113</v>
      </c>
      <c r="N57" s="21">
        <v>45436</v>
      </c>
    </row>
    <row r="58" spans="1:14" x14ac:dyDescent="0.35">
      <c r="A58" s="14" t="s">
        <v>112</v>
      </c>
      <c r="B58" s="14" t="s">
        <v>3322</v>
      </c>
      <c r="C58" s="14" t="s">
        <v>3122</v>
      </c>
      <c r="D58" s="14" t="s">
        <v>3137</v>
      </c>
      <c r="E58" s="14" t="s">
        <v>3138</v>
      </c>
      <c r="F58" s="14">
        <v>2.4500000000000002</v>
      </c>
      <c r="G58" s="14">
        <v>14070</v>
      </c>
      <c r="H58" s="14">
        <v>18410</v>
      </c>
      <c r="I58" s="14">
        <v>4340</v>
      </c>
      <c r="J58" s="14">
        <v>23.57</v>
      </c>
      <c r="K58" s="14">
        <v>0</v>
      </c>
      <c r="L58" s="14" t="s">
        <v>4016</v>
      </c>
      <c r="M58" s="14" t="s">
        <v>3146</v>
      </c>
      <c r="N58" s="21">
        <v>45237</v>
      </c>
    </row>
    <row r="59" spans="1:14" x14ac:dyDescent="0.35">
      <c r="A59" s="14" t="s">
        <v>192</v>
      </c>
      <c r="B59" s="14" t="s">
        <v>3325</v>
      </c>
      <c r="C59" s="14" t="s">
        <v>3122</v>
      </c>
      <c r="D59" s="14" t="s">
        <v>3131</v>
      </c>
      <c r="E59" s="14" t="s">
        <v>3151</v>
      </c>
      <c r="F59" s="14">
        <v>28.83</v>
      </c>
      <c r="G59" s="14">
        <v>171230</v>
      </c>
      <c r="H59" s="14">
        <v>241180</v>
      </c>
      <c r="I59" s="14">
        <v>69950</v>
      </c>
      <c r="J59" s="14">
        <v>29</v>
      </c>
      <c r="K59" s="14">
        <v>37</v>
      </c>
      <c r="L59" s="14" t="s">
        <v>4015</v>
      </c>
      <c r="M59" s="14" t="s">
        <v>3119</v>
      </c>
      <c r="N59" s="21">
        <v>44368</v>
      </c>
    </row>
    <row r="60" spans="1:14" x14ac:dyDescent="0.35">
      <c r="A60" s="14" t="s">
        <v>249</v>
      </c>
      <c r="B60" s="14" t="s">
        <v>3329</v>
      </c>
      <c r="C60" s="14" t="s">
        <v>3248</v>
      </c>
      <c r="D60" s="14" t="s">
        <v>3137</v>
      </c>
      <c r="E60" s="14" t="s">
        <v>3138</v>
      </c>
      <c r="F60" s="14">
        <v>37.630000000000003</v>
      </c>
      <c r="G60" s="14">
        <v>157810</v>
      </c>
      <c r="H60" s="14">
        <v>233540</v>
      </c>
      <c r="I60" s="14">
        <v>75730</v>
      </c>
      <c r="J60" s="14">
        <v>32.43</v>
      </c>
      <c r="K60" s="14">
        <v>59</v>
      </c>
      <c r="L60" s="14" t="s">
        <v>4015</v>
      </c>
      <c r="M60" s="14" t="s">
        <v>3119</v>
      </c>
      <c r="N60" s="21">
        <v>44070</v>
      </c>
    </row>
    <row r="61" spans="1:14" x14ac:dyDescent="0.35">
      <c r="A61" s="14" t="s">
        <v>196</v>
      </c>
      <c r="B61" s="14" t="s">
        <v>3331</v>
      </c>
      <c r="C61" s="14" t="s">
        <v>3248</v>
      </c>
      <c r="D61" s="14" t="s">
        <v>3213</v>
      </c>
      <c r="E61" s="14" t="s">
        <v>3190</v>
      </c>
      <c r="F61" s="14">
        <v>35.89</v>
      </c>
      <c r="G61" s="14">
        <v>126960</v>
      </c>
      <c r="H61" s="14">
        <v>173250</v>
      </c>
      <c r="I61" s="14">
        <v>46290</v>
      </c>
      <c r="J61" s="14">
        <v>26.72</v>
      </c>
      <c r="K61" s="14">
        <v>56</v>
      </c>
      <c r="L61" s="14" t="s">
        <v>4015</v>
      </c>
      <c r="M61" s="14" t="s">
        <v>3133</v>
      </c>
      <c r="N61" s="21">
        <v>44843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150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13" customWidth="1"/>
    <col min="2" max="2" width="22" customWidth="1"/>
    <col min="3" max="5" width="13" customWidth="1"/>
    <col min="6" max="6" width="15" customWidth="1"/>
    <col min="7" max="7" width="30" customWidth="1"/>
    <col min="8" max="8" width="14" customWidth="1"/>
    <col min="9" max="9" width="16" customWidth="1"/>
    <col min="10" max="10" width="21" customWidth="1"/>
  </cols>
  <sheetData>
    <row r="1" spans="1:10" x14ac:dyDescent="0.35">
      <c r="A1" s="17" t="s">
        <v>43</v>
      </c>
      <c r="B1" s="17" t="s">
        <v>3334</v>
      </c>
      <c r="C1" s="17" t="s">
        <v>3335</v>
      </c>
      <c r="D1" s="17" t="s">
        <v>3336</v>
      </c>
      <c r="E1" s="17" t="s">
        <v>3337</v>
      </c>
      <c r="F1" s="17" t="s">
        <v>3338</v>
      </c>
      <c r="G1" s="17" t="s">
        <v>3339</v>
      </c>
      <c r="H1" s="17" t="s">
        <v>3340</v>
      </c>
      <c r="I1" s="17" t="s">
        <v>3341</v>
      </c>
      <c r="J1" s="17" t="s">
        <v>3342</v>
      </c>
    </row>
    <row r="2" spans="1:10" x14ac:dyDescent="0.35">
      <c r="A2" s="14" t="s">
        <v>1578</v>
      </c>
      <c r="B2" s="14" t="s">
        <v>3343</v>
      </c>
      <c r="C2" s="14" t="s">
        <v>3351</v>
      </c>
      <c r="D2" s="14">
        <v>44</v>
      </c>
      <c r="E2" s="14" t="s">
        <v>3925</v>
      </c>
      <c r="F2" s="14" t="s">
        <v>3346</v>
      </c>
      <c r="G2" s="14" t="s">
        <v>3347</v>
      </c>
      <c r="H2" s="14" t="s">
        <v>3348</v>
      </c>
      <c r="I2" s="14" t="s">
        <v>3131</v>
      </c>
      <c r="J2" s="21">
        <v>45002</v>
      </c>
    </row>
    <row r="3" spans="1:10" x14ac:dyDescent="0.35">
      <c r="A3" s="14" t="s">
        <v>511</v>
      </c>
      <c r="B3" s="14" t="s">
        <v>3350</v>
      </c>
      <c r="C3" s="14" t="s">
        <v>3351</v>
      </c>
      <c r="D3" s="14">
        <v>43</v>
      </c>
      <c r="E3" s="14" t="s">
        <v>3352</v>
      </c>
      <c r="F3" s="14" t="s">
        <v>3352</v>
      </c>
      <c r="G3" s="14" t="s">
        <v>3353</v>
      </c>
      <c r="H3" s="14" t="s">
        <v>4017</v>
      </c>
      <c r="I3" s="14" t="s">
        <v>3173</v>
      </c>
      <c r="J3" s="21">
        <v>45302</v>
      </c>
    </row>
    <row r="4" spans="1:10" x14ac:dyDescent="0.35">
      <c r="A4" s="14" t="s">
        <v>439</v>
      </c>
      <c r="B4" s="14" t="s">
        <v>3355</v>
      </c>
      <c r="C4" s="14" t="s">
        <v>3370</v>
      </c>
      <c r="D4" s="14">
        <v>43</v>
      </c>
      <c r="E4" s="14" t="s">
        <v>3357</v>
      </c>
      <c r="F4" s="14" t="s">
        <v>3358</v>
      </c>
      <c r="G4" s="14" t="s">
        <v>3359</v>
      </c>
      <c r="H4" s="14" t="s">
        <v>4018</v>
      </c>
      <c r="I4" s="14" t="s">
        <v>3156</v>
      </c>
      <c r="J4" s="21">
        <v>44246</v>
      </c>
    </row>
    <row r="5" spans="1:10" x14ac:dyDescent="0.35">
      <c r="A5" s="14" t="s">
        <v>2494</v>
      </c>
      <c r="B5" s="14" t="s">
        <v>3362</v>
      </c>
      <c r="C5" s="14" t="s">
        <v>3370</v>
      </c>
      <c r="D5" s="14">
        <v>43</v>
      </c>
      <c r="E5" s="14" t="s">
        <v>3364</v>
      </c>
      <c r="F5" s="14" t="s">
        <v>3365</v>
      </c>
      <c r="G5" s="14" t="s">
        <v>3366</v>
      </c>
      <c r="H5" s="14" t="s">
        <v>4019</v>
      </c>
      <c r="I5" s="14" t="s">
        <v>3131</v>
      </c>
      <c r="J5" s="21">
        <v>43349</v>
      </c>
    </row>
    <row r="6" spans="1:10" x14ac:dyDescent="0.35">
      <c r="A6" s="14" t="s">
        <v>1254</v>
      </c>
      <c r="B6" s="14" t="s">
        <v>3369</v>
      </c>
      <c r="C6" s="14" t="s">
        <v>3370</v>
      </c>
      <c r="D6" s="14">
        <v>43</v>
      </c>
      <c r="E6" s="14" t="s">
        <v>3371</v>
      </c>
      <c r="F6" s="14" t="s">
        <v>3372</v>
      </c>
      <c r="G6" s="14" t="s">
        <v>3373</v>
      </c>
      <c r="H6" s="14" t="s">
        <v>4020</v>
      </c>
      <c r="I6" s="14" t="s">
        <v>3131</v>
      </c>
      <c r="J6" s="21">
        <v>43616</v>
      </c>
    </row>
    <row r="7" spans="1:10" x14ac:dyDescent="0.35">
      <c r="A7" s="14" t="s">
        <v>1097</v>
      </c>
      <c r="B7" s="14" t="s">
        <v>3376</v>
      </c>
      <c r="C7" s="14" t="s">
        <v>3370</v>
      </c>
      <c r="D7" s="14">
        <v>43</v>
      </c>
      <c r="E7" s="14" t="s">
        <v>3935</v>
      </c>
      <c r="F7" s="14" t="s">
        <v>3379</v>
      </c>
      <c r="G7" s="14" t="s">
        <v>3380</v>
      </c>
      <c r="H7" s="14" t="s">
        <v>3381</v>
      </c>
      <c r="I7" s="14" t="s">
        <v>3173</v>
      </c>
      <c r="J7" s="21">
        <v>43693</v>
      </c>
    </row>
    <row r="8" spans="1:10" x14ac:dyDescent="0.35">
      <c r="A8" s="14" t="s">
        <v>678</v>
      </c>
      <c r="B8" s="14" t="s">
        <v>3383</v>
      </c>
      <c r="C8" s="14" t="s">
        <v>3351</v>
      </c>
      <c r="D8" s="14">
        <v>43</v>
      </c>
      <c r="E8" s="14" t="s">
        <v>3357</v>
      </c>
      <c r="F8" s="14" t="s">
        <v>3358</v>
      </c>
      <c r="G8" s="14" t="s">
        <v>3385</v>
      </c>
      <c r="H8" s="14" t="s">
        <v>3386</v>
      </c>
      <c r="I8" s="14" t="s">
        <v>3131</v>
      </c>
      <c r="J8" s="21">
        <v>43165</v>
      </c>
    </row>
    <row r="9" spans="1:10" x14ac:dyDescent="0.35">
      <c r="A9" s="14" t="s">
        <v>124</v>
      </c>
      <c r="B9" s="14" t="s">
        <v>3388</v>
      </c>
      <c r="C9" s="14" t="s">
        <v>3351</v>
      </c>
      <c r="D9" s="14">
        <v>57</v>
      </c>
      <c r="E9" s="14" t="s">
        <v>3357</v>
      </c>
      <c r="F9" s="14" t="s">
        <v>3358</v>
      </c>
      <c r="G9" s="14" t="s">
        <v>3389</v>
      </c>
      <c r="H9" s="14" t="s">
        <v>4021</v>
      </c>
      <c r="I9" s="14" t="s">
        <v>3131</v>
      </c>
      <c r="J9" s="21">
        <v>44952</v>
      </c>
    </row>
    <row r="10" spans="1:10" x14ac:dyDescent="0.35">
      <c r="A10" s="14" t="s">
        <v>534</v>
      </c>
      <c r="B10" s="14" t="s">
        <v>3391</v>
      </c>
      <c r="C10" s="14" t="s">
        <v>3370</v>
      </c>
      <c r="D10" s="14">
        <v>43</v>
      </c>
      <c r="E10" s="14" t="s">
        <v>3392</v>
      </c>
      <c r="F10" s="14" t="s">
        <v>3358</v>
      </c>
      <c r="G10" s="14" t="s">
        <v>4022</v>
      </c>
      <c r="H10" s="14" t="s">
        <v>3393</v>
      </c>
      <c r="I10" s="14" t="s">
        <v>3131</v>
      </c>
      <c r="J10" s="21">
        <v>44847</v>
      </c>
    </row>
    <row r="11" spans="1:10" x14ac:dyDescent="0.35">
      <c r="A11" s="14" t="s">
        <v>683</v>
      </c>
      <c r="B11" s="14" t="s">
        <v>3395</v>
      </c>
      <c r="C11" s="14" t="s">
        <v>3370</v>
      </c>
      <c r="D11" s="14">
        <v>43</v>
      </c>
      <c r="E11" s="14" t="s">
        <v>3945</v>
      </c>
      <c r="F11" s="14" t="s">
        <v>3398</v>
      </c>
      <c r="G11" s="14" t="s">
        <v>3399</v>
      </c>
      <c r="H11" s="14" t="s">
        <v>4023</v>
      </c>
      <c r="I11" s="14" t="s">
        <v>3173</v>
      </c>
      <c r="J11" s="21">
        <v>45658</v>
      </c>
    </row>
    <row r="12" spans="1:10" x14ac:dyDescent="0.35">
      <c r="A12" s="14" t="s">
        <v>385</v>
      </c>
      <c r="B12" s="14" t="s">
        <v>3402</v>
      </c>
      <c r="C12" s="14" t="s">
        <v>3351</v>
      </c>
      <c r="D12" s="14">
        <v>43</v>
      </c>
      <c r="E12" s="14" t="s">
        <v>3403</v>
      </c>
      <c r="F12" s="14" t="s">
        <v>3404</v>
      </c>
      <c r="G12" s="14" t="s">
        <v>3405</v>
      </c>
      <c r="H12" s="14" t="s">
        <v>4024</v>
      </c>
      <c r="I12" s="14"/>
      <c r="J12" s="21">
        <v>45359</v>
      </c>
    </row>
    <row r="13" spans="1:10" x14ac:dyDescent="0.35">
      <c r="A13" s="14" t="s">
        <v>365</v>
      </c>
      <c r="B13" s="14" t="s">
        <v>3407</v>
      </c>
      <c r="C13" s="14" t="s">
        <v>3351</v>
      </c>
      <c r="D13" s="14">
        <v>43</v>
      </c>
      <c r="E13" s="14" t="s">
        <v>3409</v>
      </c>
      <c r="F13" s="14" t="s">
        <v>3379</v>
      </c>
      <c r="G13" s="14" t="s">
        <v>3410</v>
      </c>
      <c r="H13" s="14" t="s">
        <v>4024</v>
      </c>
      <c r="I13" s="14" t="s">
        <v>3131</v>
      </c>
      <c r="J13" s="21">
        <v>44381</v>
      </c>
    </row>
    <row r="14" spans="1:10" x14ac:dyDescent="0.35">
      <c r="A14" s="14" t="s">
        <v>750</v>
      </c>
      <c r="B14" s="14" t="s">
        <v>3412</v>
      </c>
      <c r="C14" s="14" t="s">
        <v>3370</v>
      </c>
      <c r="D14" s="14">
        <v>43</v>
      </c>
      <c r="E14" s="14" t="s">
        <v>3409</v>
      </c>
      <c r="F14" s="14" t="s">
        <v>3379</v>
      </c>
      <c r="G14" s="14" t="s">
        <v>3413</v>
      </c>
      <c r="H14" s="14" t="s">
        <v>4024</v>
      </c>
      <c r="I14" s="14" t="s">
        <v>3173</v>
      </c>
      <c r="J14" s="21">
        <v>44627</v>
      </c>
    </row>
    <row r="15" spans="1:10" x14ac:dyDescent="0.35">
      <c r="A15" s="14" t="s">
        <v>477</v>
      </c>
      <c r="B15" s="14" t="s">
        <v>3415</v>
      </c>
      <c r="C15" s="14" t="s">
        <v>3351</v>
      </c>
      <c r="D15" s="14">
        <v>43</v>
      </c>
      <c r="E15" s="14" t="s">
        <v>3416</v>
      </c>
      <c r="F15" s="14" t="s">
        <v>3417</v>
      </c>
      <c r="G15" s="14" t="s">
        <v>3418</v>
      </c>
      <c r="H15" s="14" t="s">
        <v>4025</v>
      </c>
      <c r="I15" s="14" t="s">
        <v>3173</v>
      </c>
      <c r="J15" s="21">
        <v>44541</v>
      </c>
    </row>
    <row r="16" spans="1:10" x14ac:dyDescent="0.35">
      <c r="A16" s="14" t="s">
        <v>206</v>
      </c>
      <c r="B16" s="14" t="s">
        <v>3421</v>
      </c>
      <c r="C16" s="14" t="s">
        <v>3351</v>
      </c>
      <c r="D16" s="14">
        <v>45</v>
      </c>
      <c r="E16" s="14" t="s">
        <v>3371</v>
      </c>
      <c r="F16" s="14" t="s">
        <v>3372</v>
      </c>
      <c r="G16" s="14" t="s">
        <v>3422</v>
      </c>
      <c r="H16" s="14" t="s">
        <v>4026</v>
      </c>
      <c r="I16" s="14" t="s">
        <v>3131</v>
      </c>
      <c r="J16" s="21">
        <v>44242</v>
      </c>
    </row>
    <row r="17" spans="1:10" x14ac:dyDescent="0.35">
      <c r="A17" s="14" t="s">
        <v>153</v>
      </c>
      <c r="B17" s="14" t="s">
        <v>3425</v>
      </c>
      <c r="C17" s="14" t="s">
        <v>3351</v>
      </c>
      <c r="D17" s="14">
        <v>43</v>
      </c>
      <c r="E17" s="14" t="s">
        <v>3371</v>
      </c>
      <c r="F17" s="14" t="s">
        <v>3372</v>
      </c>
      <c r="G17" s="14" t="s">
        <v>4022</v>
      </c>
      <c r="H17" s="14" t="s">
        <v>3427</v>
      </c>
      <c r="I17" s="14"/>
      <c r="J17" s="21">
        <v>43126</v>
      </c>
    </row>
    <row r="18" spans="1:10" x14ac:dyDescent="0.35">
      <c r="A18" s="14" t="s">
        <v>203</v>
      </c>
      <c r="B18" s="14" t="s">
        <v>3429</v>
      </c>
      <c r="C18" s="14" t="s">
        <v>3370</v>
      </c>
      <c r="D18" s="14">
        <v>43</v>
      </c>
      <c r="E18" s="14" t="s">
        <v>3409</v>
      </c>
      <c r="F18" s="14" t="s">
        <v>3379</v>
      </c>
      <c r="G18" s="14" t="s">
        <v>3430</v>
      </c>
      <c r="H18" s="14" t="s">
        <v>3431</v>
      </c>
      <c r="I18" s="14" t="s">
        <v>3173</v>
      </c>
      <c r="J18" s="21">
        <v>44497</v>
      </c>
    </row>
    <row r="19" spans="1:10" x14ac:dyDescent="0.35">
      <c r="A19" s="14" t="s">
        <v>786</v>
      </c>
      <c r="B19" s="14" t="s">
        <v>3433</v>
      </c>
      <c r="C19" s="14" t="s">
        <v>3370</v>
      </c>
      <c r="D19" s="14">
        <v>43</v>
      </c>
      <c r="E19" s="14" t="s">
        <v>3357</v>
      </c>
      <c r="F19" s="14" t="s">
        <v>3358</v>
      </c>
      <c r="G19" s="14" t="s">
        <v>3435</v>
      </c>
      <c r="H19" s="14" t="s">
        <v>4024</v>
      </c>
      <c r="I19" s="14" t="s">
        <v>3173</v>
      </c>
      <c r="J19" s="21">
        <v>43112</v>
      </c>
    </row>
    <row r="20" spans="1:10" x14ac:dyDescent="0.35">
      <c r="A20" s="14" t="s">
        <v>811</v>
      </c>
      <c r="B20" s="14" t="s">
        <v>3437</v>
      </c>
      <c r="C20" s="14" t="s">
        <v>3370</v>
      </c>
      <c r="D20" s="14">
        <v>43</v>
      </c>
      <c r="E20" s="14" t="s">
        <v>3409</v>
      </c>
      <c r="F20" s="14" t="s">
        <v>3379</v>
      </c>
      <c r="G20" s="14" t="s">
        <v>4022</v>
      </c>
      <c r="H20" s="14" t="s">
        <v>4024</v>
      </c>
      <c r="I20" s="14" t="s">
        <v>3156</v>
      </c>
      <c r="J20" s="21">
        <v>44261</v>
      </c>
    </row>
    <row r="21" spans="1:10" x14ac:dyDescent="0.35">
      <c r="A21" s="14" t="s">
        <v>859</v>
      </c>
      <c r="B21" s="14" t="s">
        <v>3439</v>
      </c>
      <c r="C21" s="14" t="s">
        <v>3370</v>
      </c>
      <c r="D21" s="14">
        <v>43</v>
      </c>
      <c r="E21" s="14" t="s">
        <v>3925</v>
      </c>
      <c r="F21" s="14" t="s">
        <v>3346</v>
      </c>
      <c r="G21" s="14" t="s">
        <v>3441</v>
      </c>
      <c r="H21" s="14" t="s">
        <v>4024</v>
      </c>
      <c r="I21" s="14"/>
      <c r="J21" s="21">
        <v>43966</v>
      </c>
    </row>
    <row r="22" spans="1:10" x14ac:dyDescent="0.35">
      <c r="A22" s="14" t="s">
        <v>254</v>
      </c>
      <c r="B22" s="14" t="s">
        <v>3443</v>
      </c>
      <c r="C22" s="14" t="s">
        <v>3370</v>
      </c>
      <c r="D22" s="14">
        <v>43</v>
      </c>
      <c r="E22" s="14" t="s">
        <v>3409</v>
      </c>
      <c r="F22" s="14" t="s">
        <v>3379</v>
      </c>
      <c r="G22" s="14" t="s">
        <v>4022</v>
      </c>
      <c r="H22" s="14" t="s">
        <v>3444</v>
      </c>
      <c r="I22" s="14"/>
      <c r="J22" s="21">
        <v>45150</v>
      </c>
    </row>
    <row r="23" spans="1:10" x14ac:dyDescent="0.35">
      <c r="A23" s="14" t="s">
        <v>491</v>
      </c>
      <c r="B23" s="14" t="s">
        <v>3446</v>
      </c>
      <c r="C23" s="14" t="s">
        <v>3351</v>
      </c>
      <c r="D23" s="14">
        <v>43</v>
      </c>
      <c r="E23" s="14" t="s">
        <v>3371</v>
      </c>
      <c r="F23" s="14" t="s">
        <v>3372</v>
      </c>
      <c r="G23" s="14" t="s">
        <v>3447</v>
      </c>
      <c r="H23" s="14" t="s">
        <v>3448</v>
      </c>
      <c r="I23" s="14" t="s">
        <v>3156</v>
      </c>
      <c r="J23" s="21">
        <v>45449</v>
      </c>
    </row>
    <row r="24" spans="1:10" x14ac:dyDescent="0.35">
      <c r="A24" s="14" t="s">
        <v>674</v>
      </c>
      <c r="B24" s="14" t="s">
        <v>3450</v>
      </c>
      <c r="C24" s="14" t="s">
        <v>3370</v>
      </c>
      <c r="D24" s="14">
        <v>43</v>
      </c>
      <c r="E24" s="14" t="s">
        <v>3392</v>
      </c>
      <c r="F24" s="14" t="s">
        <v>3358</v>
      </c>
      <c r="G24" s="14" t="s">
        <v>3451</v>
      </c>
      <c r="H24" s="14" t="s">
        <v>3452</v>
      </c>
      <c r="I24" s="14"/>
      <c r="J24" s="21">
        <v>43461</v>
      </c>
    </row>
    <row r="25" spans="1:10" x14ac:dyDescent="0.35">
      <c r="A25" s="14" t="s">
        <v>903</v>
      </c>
      <c r="B25" s="14" t="s">
        <v>3454</v>
      </c>
      <c r="C25" s="14" t="s">
        <v>3351</v>
      </c>
      <c r="D25" s="14">
        <v>43</v>
      </c>
      <c r="E25" s="14" t="s">
        <v>3925</v>
      </c>
      <c r="F25" s="14" t="s">
        <v>3346</v>
      </c>
      <c r="G25" s="14" t="s">
        <v>3455</v>
      </c>
      <c r="H25" s="14" t="s">
        <v>4027</v>
      </c>
      <c r="I25" s="14" t="s">
        <v>3173</v>
      </c>
      <c r="J25" s="21">
        <v>43789</v>
      </c>
    </row>
    <row r="26" spans="1:10" x14ac:dyDescent="0.35">
      <c r="A26" s="14" t="s">
        <v>1009</v>
      </c>
      <c r="B26" s="14" t="s">
        <v>3458</v>
      </c>
      <c r="C26" s="14" t="s">
        <v>3370</v>
      </c>
      <c r="D26" s="14">
        <v>27</v>
      </c>
      <c r="E26" s="14" t="s">
        <v>3352</v>
      </c>
      <c r="F26" s="14" t="s">
        <v>3352</v>
      </c>
      <c r="G26" s="14" t="s">
        <v>3459</v>
      </c>
      <c r="H26" s="14" t="s">
        <v>4024</v>
      </c>
      <c r="I26" s="14" t="s">
        <v>3131</v>
      </c>
      <c r="J26" s="21">
        <v>44149</v>
      </c>
    </row>
    <row r="27" spans="1:10" x14ac:dyDescent="0.35">
      <c r="A27" s="14" t="s">
        <v>248</v>
      </c>
      <c r="B27" s="14" t="s">
        <v>3461</v>
      </c>
      <c r="C27" s="14" t="s">
        <v>3351</v>
      </c>
      <c r="D27" s="14">
        <v>43</v>
      </c>
      <c r="E27" s="14" t="s">
        <v>3462</v>
      </c>
      <c r="F27" s="14" t="s">
        <v>3346</v>
      </c>
      <c r="G27" s="14" t="s">
        <v>3463</v>
      </c>
      <c r="H27" s="14" t="s">
        <v>4028</v>
      </c>
      <c r="I27" s="14" t="s">
        <v>3173</v>
      </c>
      <c r="J27" s="21">
        <v>44395</v>
      </c>
    </row>
    <row r="28" spans="1:10" x14ac:dyDescent="0.35">
      <c r="A28" s="14" t="s">
        <v>106</v>
      </c>
      <c r="B28" s="14" t="s">
        <v>3466</v>
      </c>
      <c r="C28" s="14" t="s">
        <v>3351</v>
      </c>
      <c r="D28" s="14">
        <v>43</v>
      </c>
      <c r="E28" s="14" t="s">
        <v>3352</v>
      </c>
      <c r="F28" s="14" t="s">
        <v>3352</v>
      </c>
      <c r="G28" s="14" t="s">
        <v>4022</v>
      </c>
      <c r="H28" s="14" t="s">
        <v>3467</v>
      </c>
      <c r="I28" s="14" t="s">
        <v>3131</v>
      </c>
      <c r="J28" s="21">
        <v>44992</v>
      </c>
    </row>
    <row r="29" spans="1:10" x14ac:dyDescent="0.35">
      <c r="A29" s="14" t="s">
        <v>558</v>
      </c>
      <c r="B29" s="14" t="s">
        <v>3469</v>
      </c>
      <c r="C29" s="14" t="s">
        <v>3351</v>
      </c>
      <c r="D29" s="14">
        <v>43</v>
      </c>
      <c r="E29" s="14" t="s">
        <v>3357</v>
      </c>
      <c r="F29" s="14" t="s">
        <v>3358</v>
      </c>
      <c r="G29" s="14" t="s">
        <v>3470</v>
      </c>
      <c r="H29" s="14" t="s">
        <v>3471</v>
      </c>
      <c r="I29" s="14" t="s">
        <v>3156</v>
      </c>
      <c r="J29" s="21">
        <v>44943</v>
      </c>
    </row>
    <row r="30" spans="1:10" x14ac:dyDescent="0.35">
      <c r="A30" s="14" t="s">
        <v>129</v>
      </c>
      <c r="B30" s="14" t="s">
        <v>3473</v>
      </c>
      <c r="C30" s="14" t="s">
        <v>3351</v>
      </c>
      <c r="D30" s="14">
        <v>43</v>
      </c>
      <c r="E30" s="14" t="s">
        <v>3364</v>
      </c>
      <c r="F30" s="14" t="s">
        <v>3365</v>
      </c>
      <c r="G30" s="14" t="s">
        <v>3474</v>
      </c>
      <c r="H30" s="14" t="s">
        <v>4029</v>
      </c>
      <c r="I30" s="14" t="s">
        <v>3156</v>
      </c>
      <c r="J30" s="21">
        <v>43261</v>
      </c>
    </row>
    <row r="31" spans="1:10" x14ac:dyDescent="0.35">
      <c r="A31" s="14" t="s">
        <v>854</v>
      </c>
      <c r="B31" s="14" t="s">
        <v>3477</v>
      </c>
      <c r="C31" s="14" t="s">
        <v>3351</v>
      </c>
      <c r="D31" s="14">
        <v>43</v>
      </c>
      <c r="E31" s="14" t="s">
        <v>3935</v>
      </c>
      <c r="F31" s="14" t="s">
        <v>3379</v>
      </c>
      <c r="G31" s="14" t="s">
        <v>3478</v>
      </c>
      <c r="H31" s="14" t="s">
        <v>4030</v>
      </c>
      <c r="I31" s="14" t="s">
        <v>3131</v>
      </c>
      <c r="J31" s="21">
        <v>43370</v>
      </c>
    </row>
    <row r="32" spans="1:10" x14ac:dyDescent="0.35">
      <c r="A32" s="14" t="s">
        <v>157</v>
      </c>
      <c r="B32" s="14" t="s">
        <v>3481</v>
      </c>
      <c r="C32" s="14" t="s">
        <v>3370</v>
      </c>
      <c r="D32" s="14">
        <v>43</v>
      </c>
      <c r="E32" s="14" t="s">
        <v>3416</v>
      </c>
      <c r="F32" s="14" t="s">
        <v>3417</v>
      </c>
      <c r="G32" s="14" t="s">
        <v>3482</v>
      </c>
      <c r="H32" s="14" t="s">
        <v>4031</v>
      </c>
      <c r="I32" s="14" t="s">
        <v>3156</v>
      </c>
      <c r="J32" s="21">
        <v>43629</v>
      </c>
    </row>
    <row r="33" spans="1:10" x14ac:dyDescent="0.35">
      <c r="A33" s="14" t="s">
        <v>87</v>
      </c>
      <c r="B33" s="14" t="s">
        <v>3485</v>
      </c>
      <c r="C33" s="14" t="s">
        <v>3370</v>
      </c>
      <c r="D33" s="14">
        <v>43</v>
      </c>
      <c r="E33" s="14" t="s">
        <v>3364</v>
      </c>
      <c r="F33" s="14" t="s">
        <v>3365</v>
      </c>
      <c r="G33" s="14" t="s">
        <v>3486</v>
      </c>
      <c r="H33" s="14" t="s">
        <v>4024</v>
      </c>
      <c r="I33" s="14" t="s">
        <v>3131</v>
      </c>
      <c r="J33" s="21">
        <v>43175</v>
      </c>
    </row>
    <row r="34" spans="1:10" x14ac:dyDescent="0.35">
      <c r="A34" s="14" t="s">
        <v>234</v>
      </c>
      <c r="B34" s="14" t="s">
        <v>3488</v>
      </c>
      <c r="C34" s="14" t="s">
        <v>3370</v>
      </c>
      <c r="D34" s="14">
        <v>65</v>
      </c>
      <c r="E34" s="14" t="s">
        <v>3352</v>
      </c>
      <c r="F34" s="14" t="s">
        <v>3352</v>
      </c>
      <c r="G34" s="14" t="s">
        <v>3489</v>
      </c>
      <c r="H34" s="14" t="s">
        <v>4032</v>
      </c>
      <c r="I34" s="14"/>
      <c r="J34" s="21">
        <v>43515</v>
      </c>
    </row>
    <row r="35" spans="1:10" x14ac:dyDescent="0.35">
      <c r="A35" s="14" t="s">
        <v>298</v>
      </c>
      <c r="B35" s="14" t="s">
        <v>3492</v>
      </c>
      <c r="C35" s="14" t="s">
        <v>3370</v>
      </c>
      <c r="D35" s="14">
        <v>43</v>
      </c>
      <c r="E35" s="14" t="s">
        <v>3945</v>
      </c>
      <c r="F35" s="14" t="s">
        <v>3398</v>
      </c>
      <c r="G35" s="14" t="s">
        <v>3494</v>
      </c>
      <c r="H35" s="14" t="s">
        <v>4033</v>
      </c>
      <c r="I35" s="14" t="s">
        <v>3173</v>
      </c>
      <c r="J35" s="21">
        <v>44893</v>
      </c>
    </row>
    <row r="36" spans="1:10" x14ac:dyDescent="0.35">
      <c r="A36" s="14" t="s">
        <v>727</v>
      </c>
      <c r="B36" s="14" t="s">
        <v>3497</v>
      </c>
      <c r="C36" s="14" t="s">
        <v>3351</v>
      </c>
      <c r="D36" s="14">
        <v>43</v>
      </c>
      <c r="E36" s="14" t="s">
        <v>3364</v>
      </c>
      <c r="F36" s="14" t="s">
        <v>3365</v>
      </c>
      <c r="G36" s="14" t="s">
        <v>3498</v>
      </c>
      <c r="H36" s="14" t="s">
        <v>4024</v>
      </c>
      <c r="I36" s="14"/>
      <c r="J36" s="21">
        <v>44368</v>
      </c>
    </row>
    <row r="37" spans="1:10" x14ac:dyDescent="0.35">
      <c r="A37" s="14" t="s">
        <v>621</v>
      </c>
      <c r="B37" s="14" t="s">
        <v>3500</v>
      </c>
      <c r="C37" s="14" t="s">
        <v>3351</v>
      </c>
      <c r="D37" s="14">
        <v>43</v>
      </c>
      <c r="E37" s="14" t="s">
        <v>3364</v>
      </c>
      <c r="F37" s="14" t="s">
        <v>3365</v>
      </c>
      <c r="G37" s="14" t="s">
        <v>4022</v>
      </c>
      <c r="H37" s="14" t="s">
        <v>4024</v>
      </c>
      <c r="I37" s="14"/>
      <c r="J37" s="21">
        <v>43764</v>
      </c>
    </row>
    <row r="38" spans="1:10" x14ac:dyDescent="0.35">
      <c r="A38" s="14" t="s">
        <v>1470</v>
      </c>
      <c r="B38" s="14" t="s">
        <v>3502</v>
      </c>
      <c r="C38" s="14" t="s">
        <v>3370</v>
      </c>
      <c r="D38" s="14">
        <v>43</v>
      </c>
      <c r="E38" s="14" t="s">
        <v>3352</v>
      </c>
      <c r="F38" s="14" t="s">
        <v>3352</v>
      </c>
      <c r="G38" s="14" t="s">
        <v>3503</v>
      </c>
      <c r="H38" s="14" t="s">
        <v>3504</v>
      </c>
      <c r="I38" s="14" t="s">
        <v>3131</v>
      </c>
      <c r="J38" s="21">
        <v>43444</v>
      </c>
    </row>
    <row r="39" spans="1:10" x14ac:dyDescent="0.35">
      <c r="A39" s="14" t="s">
        <v>148</v>
      </c>
      <c r="B39" s="14" t="s">
        <v>3506</v>
      </c>
      <c r="C39" s="14" t="s">
        <v>3370</v>
      </c>
      <c r="D39" s="14">
        <v>43</v>
      </c>
      <c r="E39" s="14" t="s">
        <v>3371</v>
      </c>
      <c r="F39" s="14" t="s">
        <v>3372</v>
      </c>
      <c r="G39" s="14" t="s">
        <v>3507</v>
      </c>
      <c r="H39" s="14" t="s">
        <v>3508</v>
      </c>
      <c r="I39" s="14" t="s">
        <v>3173</v>
      </c>
      <c r="J39" s="21">
        <v>44800</v>
      </c>
    </row>
    <row r="40" spans="1:10" x14ac:dyDescent="0.35">
      <c r="A40" s="14" t="s">
        <v>1013</v>
      </c>
      <c r="B40" s="14" t="s">
        <v>3510</v>
      </c>
      <c r="C40" s="14" t="s">
        <v>3370</v>
      </c>
      <c r="D40" s="14">
        <v>43</v>
      </c>
      <c r="E40" s="14" t="s">
        <v>3352</v>
      </c>
      <c r="F40" s="14" t="s">
        <v>3352</v>
      </c>
      <c r="G40" s="14" t="s">
        <v>3511</v>
      </c>
      <c r="H40" s="14" t="s">
        <v>4024</v>
      </c>
      <c r="I40" s="14" t="s">
        <v>3131</v>
      </c>
      <c r="J40" s="21">
        <v>43699</v>
      </c>
    </row>
    <row r="41" spans="1:10" x14ac:dyDescent="0.35">
      <c r="A41" s="14" t="s">
        <v>314</v>
      </c>
      <c r="B41" s="14" t="s">
        <v>3513</v>
      </c>
      <c r="C41" s="14" t="s">
        <v>3370</v>
      </c>
      <c r="D41" s="14">
        <v>43</v>
      </c>
      <c r="E41" s="14" t="s">
        <v>3935</v>
      </c>
      <c r="F41" s="14" t="s">
        <v>3379</v>
      </c>
      <c r="G41" s="14" t="s">
        <v>3514</v>
      </c>
      <c r="H41" s="14" t="s">
        <v>4034</v>
      </c>
      <c r="I41" s="14" t="s">
        <v>3173</v>
      </c>
      <c r="J41" s="21">
        <v>43984</v>
      </c>
    </row>
    <row r="42" spans="1:10" x14ac:dyDescent="0.35">
      <c r="A42" s="14" t="s">
        <v>309</v>
      </c>
      <c r="B42" s="14" t="s">
        <v>3517</v>
      </c>
      <c r="C42" s="14" t="s">
        <v>3370</v>
      </c>
      <c r="D42" s="14">
        <v>49</v>
      </c>
      <c r="E42" s="14" t="s">
        <v>3925</v>
      </c>
      <c r="F42" s="14" t="s">
        <v>3346</v>
      </c>
      <c r="G42" s="14" t="s">
        <v>3519</v>
      </c>
      <c r="H42" s="14" t="s">
        <v>4035</v>
      </c>
      <c r="I42" s="14" t="s">
        <v>3131</v>
      </c>
      <c r="J42" s="21">
        <v>45652</v>
      </c>
    </row>
    <row r="43" spans="1:10" x14ac:dyDescent="0.35">
      <c r="A43" s="14" t="s">
        <v>78</v>
      </c>
      <c r="B43" s="14" t="s">
        <v>3522</v>
      </c>
      <c r="C43" s="14" t="s">
        <v>3351</v>
      </c>
      <c r="D43" s="14">
        <v>29</v>
      </c>
      <c r="E43" s="14" t="s">
        <v>3935</v>
      </c>
      <c r="F43" s="14" t="s">
        <v>3379</v>
      </c>
      <c r="G43" s="14" t="s">
        <v>3524</v>
      </c>
      <c r="H43" s="14" t="s">
        <v>4036</v>
      </c>
      <c r="I43" s="14" t="s">
        <v>3173</v>
      </c>
      <c r="J43" s="21">
        <v>44546</v>
      </c>
    </row>
    <row r="44" spans="1:10" x14ac:dyDescent="0.35">
      <c r="A44" s="14" t="s">
        <v>1025</v>
      </c>
      <c r="B44" s="14" t="s">
        <v>3527</v>
      </c>
      <c r="C44" s="14" t="s">
        <v>3370</v>
      </c>
      <c r="D44" s="14">
        <v>43</v>
      </c>
      <c r="E44" s="14" t="s">
        <v>3392</v>
      </c>
      <c r="F44" s="14" t="s">
        <v>3358</v>
      </c>
      <c r="G44" s="14" t="s">
        <v>3528</v>
      </c>
      <c r="H44" s="14" t="s">
        <v>4037</v>
      </c>
      <c r="I44" s="14" t="s">
        <v>3131</v>
      </c>
      <c r="J44" s="21">
        <v>44656</v>
      </c>
    </row>
    <row r="45" spans="1:10" x14ac:dyDescent="0.35">
      <c r="A45" s="14" t="s">
        <v>1378</v>
      </c>
      <c r="B45" s="14" t="s">
        <v>3531</v>
      </c>
      <c r="C45" s="14" t="s">
        <v>3370</v>
      </c>
      <c r="D45" s="14">
        <v>43</v>
      </c>
      <c r="E45" s="14" t="s">
        <v>3403</v>
      </c>
      <c r="F45" s="14" t="s">
        <v>3404</v>
      </c>
      <c r="G45" s="14" t="s">
        <v>3532</v>
      </c>
      <c r="H45" s="14" t="s">
        <v>4024</v>
      </c>
      <c r="I45" s="14" t="s">
        <v>3173</v>
      </c>
      <c r="J45" s="21">
        <v>43647</v>
      </c>
    </row>
    <row r="46" spans="1:10" x14ac:dyDescent="0.35">
      <c r="A46" s="14" t="s">
        <v>768</v>
      </c>
      <c r="B46" s="14" t="s">
        <v>3534</v>
      </c>
      <c r="C46" s="14" t="s">
        <v>3351</v>
      </c>
      <c r="D46" s="14">
        <v>43</v>
      </c>
      <c r="E46" s="14" t="s">
        <v>3945</v>
      </c>
      <c r="F46" s="14" t="s">
        <v>3398</v>
      </c>
      <c r="G46" s="14" t="s">
        <v>3536</v>
      </c>
      <c r="H46" s="14" t="s">
        <v>4038</v>
      </c>
      <c r="I46" s="14" t="s">
        <v>3131</v>
      </c>
      <c r="J46" s="21">
        <v>44975</v>
      </c>
    </row>
    <row r="47" spans="1:10" x14ac:dyDescent="0.35">
      <c r="A47" s="14" t="s">
        <v>325</v>
      </c>
      <c r="B47" s="14" t="s">
        <v>3539</v>
      </c>
      <c r="C47" s="14" t="s">
        <v>3351</v>
      </c>
      <c r="D47" s="14">
        <v>40</v>
      </c>
      <c r="E47" s="14" t="s">
        <v>3392</v>
      </c>
      <c r="F47" s="14" t="s">
        <v>3358</v>
      </c>
      <c r="G47" s="14" t="s">
        <v>3540</v>
      </c>
      <c r="H47" s="14" t="s">
        <v>4039</v>
      </c>
      <c r="I47" s="14" t="s">
        <v>3131</v>
      </c>
      <c r="J47" s="21">
        <v>43250</v>
      </c>
    </row>
    <row r="48" spans="1:10" x14ac:dyDescent="0.35">
      <c r="A48" s="14" t="s">
        <v>285</v>
      </c>
      <c r="B48" s="14" t="s">
        <v>3543</v>
      </c>
      <c r="C48" s="14" t="s">
        <v>3351</v>
      </c>
      <c r="D48" s="14">
        <v>43</v>
      </c>
      <c r="E48" s="14" t="s">
        <v>3409</v>
      </c>
      <c r="F48" s="14" t="s">
        <v>3379</v>
      </c>
      <c r="G48" s="14" t="s">
        <v>3544</v>
      </c>
      <c r="H48" s="14" t="s">
        <v>4040</v>
      </c>
      <c r="I48" s="14"/>
      <c r="J48" s="21">
        <v>44625</v>
      </c>
    </row>
    <row r="49" spans="1:10" x14ac:dyDescent="0.35">
      <c r="A49" s="14" t="s">
        <v>1289</v>
      </c>
      <c r="B49" s="14" t="s">
        <v>3547</v>
      </c>
      <c r="C49" s="14" t="s">
        <v>3351</v>
      </c>
      <c r="D49" s="14">
        <v>43</v>
      </c>
      <c r="E49" s="14" t="s">
        <v>3409</v>
      </c>
      <c r="F49" s="14" t="s">
        <v>3379</v>
      </c>
      <c r="G49" s="14" t="s">
        <v>3548</v>
      </c>
      <c r="H49" s="14" t="s">
        <v>4041</v>
      </c>
      <c r="I49" s="14" t="s">
        <v>3131</v>
      </c>
      <c r="J49" s="21">
        <v>45335</v>
      </c>
    </row>
    <row r="50" spans="1:10" x14ac:dyDescent="0.35">
      <c r="A50" s="14" t="s">
        <v>1224</v>
      </c>
      <c r="B50" s="14" t="s">
        <v>3551</v>
      </c>
      <c r="C50" s="14" t="s">
        <v>3351</v>
      </c>
      <c r="D50" s="14">
        <v>43</v>
      </c>
      <c r="E50" s="14" t="s">
        <v>3403</v>
      </c>
      <c r="F50" s="14" t="s">
        <v>3404</v>
      </c>
      <c r="G50" s="14" t="s">
        <v>3552</v>
      </c>
      <c r="H50" s="14" t="s">
        <v>3553</v>
      </c>
      <c r="I50" s="14" t="s">
        <v>3131</v>
      </c>
      <c r="J50" s="21">
        <v>44540</v>
      </c>
    </row>
    <row r="51" spans="1:10" x14ac:dyDescent="0.35">
      <c r="A51" s="14" t="s">
        <v>368</v>
      </c>
      <c r="B51" s="14" t="s">
        <v>3555</v>
      </c>
      <c r="C51" s="14" t="s">
        <v>3351</v>
      </c>
      <c r="D51" s="14">
        <v>43</v>
      </c>
      <c r="E51" s="14" t="s">
        <v>3364</v>
      </c>
      <c r="F51" s="14" t="s">
        <v>3365</v>
      </c>
      <c r="G51" s="14" t="s">
        <v>4022</v>
      </c>
      <c r="H51" s="14" t="s">
        <v>3556</v>
      </c>
      <c r="I51" s="14"/>
      <c r="J51" s="21">
        <v>43228</v>
      </c>
    </row>
    <row r="52" spans="1:10" x14ac:dyDescent="0.35">
      <c r="A52" s="14" t="s">
        <v>263</v>
      </c>
      <c r="B52" s="14" t="s">
        <v>3558</v>
      </c>
      <c r="C52" s="14" t="s">
        <v>3351</v>
      </c>
      <c r="D52" s="14">
        <v>43</v>
      </c>
      <c r="E52" s="14" t="s">
        <v>3409</v>
      </c>
      <c r="F52" s="14" t="s">
        <v>3379</v>
      </c>
      <c r="G52" s="14" t="s">
        <v>3559</v>
      </c>
      <c r="H52" s="14" t="s">
        <v>3560</v>
      </c>
      <c r="I52" s="14" t="s">
        <v>3156</v>
      </c>
      <c r="J52" s="21">
        <v>45579</v>
      </c>
    </row>
    <row r="53" spans="1:10" x14ac:dyDescent="0.35">
      <c r="A53" s="14" t="s">
        <v>597</v>
      </c>
      <c r="B53" s="14" t="s">
        <v>3562</v>
      </c>
      <c r="C53" s="14" t="s">
        <v>3351</v>
      </c>
      <c r="D53" s="14">
        <v>43</v>
      </c>
      <c r="E53" s="14" t="s">
        <v>3371</v>
      </c>
      <c r="F53" s="14" t="s">
        <v>3372</v>
      </c>
      <c r="G53" s="14" t="s">
        <v>3563</v>
      </c>
      <c r="H53" s="14" t="s">
        <v>3564</v>
      </c>
      <c r="I53" s="14" t="s">
        <v>3131</v>
      </c>
      <c r="J53" s="21">
        <v>44123</v>
      </c>
    </row>
    <row r="54" spans="1:10" x14ac:dyDescent="0.35">
      <c r="A54" s="14" t="s">
        <v>62</v>
      </c>
      <c r="B54" s="14" t="s">
        <v>3566</v>
      </c>
      <c r="C54" s="14" t="s">
        <v>3351</v>
      </c>
      <c r="D54" s="14">
        <v>43</v>
      </c>
      <c r="E54" s="14" t="s">
        <v>3925</v>
      </c>
      <c r="F54" s="14" t="s">
        <v>3346</v>
      </c>
      <c r="G54" s="14" t="s">
        <v>3567</v>
      </c>
      <c r="H54" s="14" t="s">
        <v>4024</v>
      </c>
      <c r="I54" s="14" t="s">
        <v>3131</v>
      </c>
      <c r="J54" s="21">
        <v>45112</v>
      </c>
    </row>
    <row r="55" spans="1:10" x14ac:dyDescent="0.35">
      <c r="A55" s="14" t="s">
        <v>661</v>
      </c>
      <c r="B55" s="14" t="s">
        <v>3569</v>
      </c>
      <c r="C55" s="14" t="s">
        <v>3351</v>
      </c>
      <c r="D55" s="14">
        <v>43</v>
      </c>
      <c r="E55" s="14" t="s">
        <v>3403</v>
      </c>
      <c r="F55" s="14" t="s">
        <v>3404</v>
      </c>
      <c r="G55" s="14" t="s">
        <v>3570</v>
      </c>
      <c r="H55" s="14" t="s">
        <v>4042</v>
      </c>
      <c r="I55" s="14" t="s">
        <v>3131</v>
      </c>
      <c r="J55" s="21">
        <v>45353</v>
      </c>
    </row>
    <row r="56" spans="1:10" x14ac:dyDescent="0.35">
      <c r="A56" s="14" t="s">
        <v>591</v>
      </c>
      <c r="B56" s="14" t="s">
        <v>3573</v>
      </c>
      <c r="C56" s="14" t="s">
        <v>3370</v>
      </c>
      <c r="D56" s="14">
        <v>43</v>
      </c>
      <c r="E56" s="14" t="s">
        <v>3925</v>
      </c>
      <c r="F56" s="14" t="s">
        <v>3346</v>
      </c>
      <c r="G56" s="14" t="s">
        <v>3575</v>
      </c>
      <c r="H56" s="14" t="s">
        <v>4043</v>
      </c>
      <c r="I56" s="14" t="s">
        <v>3131</v>
      </c>
      <c r="J56" s="21">
        <v>44070</v>
      </c>
    </row>
    <row r="57" spans="1:10" x14ac:dyDescent="0.35">
      <c r="A57" s="14" t="s">
        <v>1418</v>
      </c>
      <c r="B57" s="14" t="s">
        <v>3578</v>
      </c>
      <c r="C57" s="14" t="s">
        <v>3370</v>
      </c>
      <c r="D57" s="14">
        <v>44</v>
      </c>
      <c r="E57" s="14" t="s">
        <v>3416</v>
      </c>
      <c r="F57" s="14" t="s">
        <v>3417</v>
      </c>
      <c r="G57" s="14" t="s">
        <v>3579</v>
      </c>
      <c r="H57" s="14" t="s">
        <v>4044</v>
      </c>
      <c r="I57" s="14" t="s">
        <v>3173</v>
      </c>
      <c r="J57" s="21">
        <v>45061</v>
      </c>
    </row>
    <row r="58" spans="1:10" x14ac:dyDescent="0.35">
      <c r="A58" s="14" t="s">
        <v>804</v>
      </c>
      <c r="B58" s="14" t="s">
        <v>3582</v>
      </c>
      <c r="C58" s="14" t="s">
        <v>3351</v>
      </c>
      <c r="D58" s="14">
        <v>43</v>
      </c>
      <c r="E58" s="14" t="s">
        <v>3462</v>
      </c>
      <c r="F58" s="14" t="s">
        <v>3346</v>
      </c>
      <c r="G58" s="14" t="s">
        <v>3583</v>
      </c>
      <c r="H58" s="14" t="s">
        <v>3584</v>
      </c>
      <c r="I58" s="14" t="s">
        <v>3173</v>
      </c>
      <c r="J58" s="21">
        <v>43626</v>
      </c>
    </row>
    <row r="59" spans="1:10" x14ac:dyDescent="0.35">
      <c r="A59" s="14" t="s">
        <v>1058</v>
      </c>
      <c r="B59" s="14" t="s">
        <v>3586</v>
      </c>
      <c r="C59" s="14" t="s">
        <v>3370</v>
      </c>
      <c r="D59" s="14">
        <v>43</v>
      </c>
      <c r="E59" s="14" t="s">
        <v>3945</v>
      </c>
      <c r="F59" s="14" t="s">
        <v>3398</v>
      </c>
      <c r="G59" s="14" t="s">
        <v>3587</v>
      </c>
      <c r="H59" s="14" t="s">
        <v>4045</v>
      </c>
      <c r="I59" s="14" t="s">
        <v>3131</v>
      </c>
      <c r="J59" s="21">
        <v>44422</v>
      </c>
    </row>
    <row r="60" spans="1:10" x14ac:dyDescent="0.35">
      <c r="A60" s="14" t="s">
        <v>723</v>
      </c>
      <c r="B60" s="14" t="s">
        <v>3590</v>
      </c>
      <c r="C60" s="14" t="s">
        <v>3351</v>
      </c>
      <c r="D60" s="14">
        <v>43</v>
      </c>
      <c r="E60" s="14" t="s">
        <v>3462</v>
      </c>
      <c r="F60" s="14" t="s">
        <v>3346</v>
      </c>
      <c r="G60" s="14" t="s">
        <v>3591</v>
      </c>
      <c r="H60" s="14" t="s">
        <v>4046</v>
      </c>
      <c r="I60" s="14" t="s">
        <v>3131</v>
      </c>
      <c r="J60" s="21">
        <v>45617</v>
      </c>
    </row>
    <row r="61" spans="1:10" x14ac:dyDescent="0.35">
      <c r="A61" s="14" t="s">
        <v>171</v>
      </c>
      <c r="B61" s="14" t="s">
        <v>3594</v>
      </c>
      <c r="C61" s="14" t="s">
        <v>3351</v>
      </c>
      <c r="D61" s="14">
        <v>43</v>
      </c>
      <c r="E61" s="14" t="s">
        <v>3935</v>
      </c>
      <c r="F61" s="14" t="s">
        <v>3379</v>
      </c>
      <c r="G61" s="14" t="s">
        <v>3596</v>
      </c>
      <c r="H61" s="14" t="s">
        <v>4024</v>
      </c>
      <c r="I61" s="14"/>
      <c r="J61" s="21">
        <v>43433</v>
      </c>
    </row>
    <row r="62" spans="1:10" x14ac:dyDescent="0.35">
      <c r="A62" s="14" t="s">
        <v>1305</v>
      </c>
      <c r="B62" s="14" t="s">
        <v>3598</v>
      </c>
      <c r="C62" s="14" t="s">
        <v>3370</v>
      </c>
      <c r="D62" s="14">
        <v>43</v>
      </c>
      <c r="E62" s="14" t="s">
        <v>3462</v>
      </c>
      <c r="F62" s="14" t="s">
        <v>3346</v>
      </c>
      <c r="G62" s="14" t="s">
        <v>3599</v>
      </c>
      <c r="H62" s="14" t="s">
        <v>3600</v>
      </c>
      <c r="I62" s="14" t="s">
        <v>3131</v>
      </c>
      <c r="J62" s="21">
        <v>44338</v>
      </c>
    </row>
    <row r="63" spans="1:10" x14ac:dyDescent="0.35">
      <c r="A63" s="14" t="s">
        <v>178</v>
      </c>
      <c r="B63" s="14" t="s">
        <v>3602</v>
      </c>
      <c r="C63" s="14" t="s">
        <v>3370</v>
      </c>
      <c r="D63" s="14">
        <v>43</v>
      </c>
      <c r="E63" s="14" t="s">
        <v>3409</v>
      </c>
      <c r="F63" s="14" t="s">
        <v>3379</v>
      </c>
      <c r="G63" s="14" t="s">
        <v>3603</v>
      </c>
      <c r="H63" s="14" t="s">
        <v>4047</v>
      </c>
      <c r="I63" s="14" t="s">
        <v>3131</v>
      </c>
      <c r="J63" s="21">
        <v>45003</v>
      </c>
    </row>
    <row r="64" spans="1:10" x14ac:dyDescent="0.35">
      <c r="A64" s="14" t="s">
        <v>396</v>
      </c>
      <c r="B64" s="14" t="s">
        <v>3606</v>
      </c>
      <c r="C64" s="14" t="s">
        <v>3351</v>
      </c>
      <c r="D64" s="14">
        <v>43</v>
      </c>
      <c r="E64" s="14" t="s">
        <v>3945</v>
      </c>
      <c r="F64" s="14" t="s">
        <v>3398</v>
      </c>
      <c r="G64" s="14" t="s">
        <v>3607</v>
      </c>
      <c r="H64" s="14" t="s">
        <v>4024</v>
      </c>
      <c r="I64" s="14" t="s">
        <v>3131</v>
      </c>
      <c r="J64" s="21">
        <v>45210</v>
      </c>
    </row>
    <row r="65" spans="1:10" x14ac:dyDescent="0.35">
      <c r="A65" s="14" t="s">
        <v>239</v>
      </c>
      <c r="B65" s="14" t="s">
        <v>3609</v>
      </c>
      <c r="C65" s="14" t="s">
        <v>3370</v>
      </c>
      <c r="D65" s="14">
        <v>43</v>
      </c>
      <c r="E65" s="14" t="s">
        <v>3416</v>
      </c>
      <c r="F65" s="14" t="s">
        <v>3417</v>
      </c>
      <c r="G65" s="14" t="s">
        <v>3610</v>
      </c>
      <c r="H65" s="14" t="s">
        <v>4048</v>
      </c>
      <c r="I65" s="14" t="s">
        <v>3131</v>
      </c>
      <c r="J65" s="21">
        <v>45621</v>
      </c>
    </row>
    <row r="66" spans="1:10" x14ac:dyDescent="0.35">
      <c r="A66" s="14" t="s">
        <v>355</v>
      </c>
      <c r="B66" s="14" t="s">
        <v>3612</v>
      </c>
      <c r="C66" s="14" t="s">
        <v>3370</v>
      </c>
      <c r="D66" s="14">
        <v>43</v>
      </c>
      <c r="E66" s="14" t="s">
        <v>3364</v>
      </c>
      <c r="F66" s="14" t="s">
        <v>3365</v>
      </c>
      <c r="G66" s="14" t="s">
        <v>3613</v>
      </c>
      <c r="H66" s="14" t="s">
        <v>4049</v>
      </c>
      <c r="I66" s="14" t="s">
        <v>3173</v>
      </c>
      <c r="J66" s="21">
        <v>45054</v>
      </c>
    </row>
    <row r="67" spans="1:10" x14ac:dyDescent="0.35">
      <c r="A67" s="14" t="s">
        <v>1218</v>
      </c>
      <c r="B67" s="14" t="s">
        <v>3615</v>
      </c>
      <c r="C67" s="14" t="s">
        <v>3351</v>
      </c>
      <c r="D67" s="14">
        <v>43</v>
      </c>
      <c r="E67" s="14" t="s">
        <v>3935</v>
      </c>
      <c r="F67" s="14" t="s">
        <v>3379</v>
      </c>
      <c r="G67" s="14" t="s">
        <v>3616</v>
      </c>
      <c r="H67" s="14" t="s">
        <v>3617</v>
      </c>
      <c r="I67" s="14"/>
      <c r="J67" s="21">
        <v>45128</v>
      </c>
    </row>
    <row r="68" spans="1:10" x14ac:dyDescent="0.35">
      <c r="A68" s="14" t="s">
        <v>319</v>
      </c>
      <c r="B68" s="14" t="s">
        <v>3619</v>
      </c>
      <c r="C68" s="14" t="s">
        <v>3351</v>
      </c>
      <c r="D68" s="14">
        <v>43</v>
      </c>
      <c r="E68" s="14" t="s">
        <v>3416</v>
      </c>
      <c r="F68" s="14" t="s">
        <v>3417</v>
      </c>
      <c r="G68" s="14" t="s">
        <v>3620</v>
      </c>
      <c r="H68" s="14" t="s">
        <v>4050</v>
      </c>
      <c r="I68" s="14" t="s">
        <v>3131</v>
      </c>
      <c r="J68" s="21">
        <v>44841</v>
      </c>
    </row>
    <row r="69" spans="1:10" x14ac:dyDescent="0.35">
      <c r="A69" s="14" t="s">
        <v>139</v>
      </c>
      <c r="B69" s="14" t="s">
        <v>3623</v>
      </c>
      <c r="C69" s="14" t="s">
        <v>3351</v>
      </c>
      <c r="D69" s="14">
        <v>43</v>
      </c>
      <c r="E69" s="14" t="s">
        <v>3416</v>
      </c>
      <c r="F69" s="14" t="s">
        <v>3417</v>
      </c>
      <c r="G69" s="14" t="s">
        <v>3624</v>
      </c>
      <c r="H69" s="14" t="s">
        <v>4051</v>
      </c>
      <c r="I69" s="14" t="s">
        <v>3173</v>
      </c>
      <c r="J69" s="21">
        <v>43628</v>
      </c>
    </row>
    <row r="70" spans="1:10" x14ac:dyDescent="0.35">
      <c r="A70" s="14" t="s">
        <v>1584</v>
      </c>
      <c r="B70" s="14" t="s">
        <v>3627</v>
      </c>
      <c r="C70" s="14" t="s">
        <v>3370</v>
      </c>
      <c r="D70" s="14">
        <v>43</v>
      </c>
      <c r="E70" s="14" t="s">
        <v>3364</v>
      </c>
      <c r="F70" s="14" t="s">
        <v>3365</v>
      </c>
      <c r="G70" s="14" t="s">
        <v>3628</v>
      </c>
      <c r="H70" s="14" t="s">
        <v>4024</v>
      </c>
      <c r="I70" s="14" t="s">
        <v>3131</v>
      </c>
      <c r="J70" s="21">
        <v>45149</v>
      </c>
    </row>
    <row r="71" spans="1:10" x14ac:dyDescent="0.35">
      <c r="A71" s="14" t="s">
        <v>359</v>
      </c>
      <c r="B71" s="14" t="s">
        <v>3630</v>
      </c>
      <c r="C71" s="14" t="s">
        <v>3370</v>
      </c>
      <c r="D71" s="14">
        <v>43</v>
      </c>
      <c r="E71" s="14" t="s">
        <v>3357</v>
      </c>
      <c r="F71" s="14" t="s">
        <v>3358</v>
      </c>
      <c r="G71" s="14" t="s">
        <v>3631</v>
      </c>
      <c r="H71" s="14" t="s">
        <v>4024</v>
      </c>
      <c r="I71" s="14"/>
      <c r="J71" s="21">
        <v>43766</v>
      </c>
    </row>
    <row r="72" spans="1:10" x14ac:dyDescent="0.35">
      <c r="A72" s="14" t="s">
        <v>689</v>
      </c>
      <c r="B72" s="14" t="s">
        <v>3633</v>
      </c>
      <c r="C72" s="14" t="s">
        <v>3351</v>
      </c>
      <c r="D72" s="14">
        <v>43</v>
      </c>
      <c r="E72" s="14" t="s">
        <v>3935</v>
      </c>
      <c r="F72" s="14" t="s">
        <v>3379</v>
      </c>
      <c r="G72" s="14" t="s">
        <v>3634</v>
      </c>
      <c r="H72" s="14" t="s">
        <v>3635</v>
      </c>
      <c r="I72" s="14" t="s">
        <v>3131</v>
      </c>
      <c r="J72" s="21">
        <v>44457</v>
      </c>
    </row>
    <row r="73" spans="1:10" x14ac:dyDescent="0.35">
      <c r="A73" s="14" t="s">
        <v>301</v>
      </c>
      <c r="B73" s="14" t="s">
        <v>3637</v>
      </c>
      <c r="C73" s="14" t="s">
        <v>3351</v>
      </c>
      <c r="D73" s="14">
        <v>43</v>
      </c>
      <c r="E73" s="14" t="s">
        <v>3357</v>
      </c>
      <c r="F73" s="14" t="s">
        <v>3358</v>
      </c>
      <c r="G73" s="14" t="s">
        <v>3638</v>
      </c>
      <c r="H73" s="14" t="s">
        <v>4052</v>
      </c>
      <c r="I73" s="14" t="s">
        <v>3173</v>
      </c>
      <c r="J73" s="21">
        <v>43311</v>
      </c>
    </row>
    <row r="74" spans="1:10" x14ac:dyDescent="0.35">
      <c r="A74" s="14" t="s">
        <v>524</v>
      </c>
      <c r="B74" s="14" t="s">
        <v>3641</v>
      </c>
      <c r="C74" s="14" t="s">
        <v>3370</v>
      </c>
      <c r="D74" s="14">
        <v>43</v>
      </c>
      <c r="E74" s="14" t="s">
        <v>3935</v>
      </c>
      <c r="F74" s="14" t="s">
        <v>3379</v>
      </c>
      <c r="G74" s="14" t="s">
        <v>3643</v>
      </c>
      <c r="H74" s="14" t="s">
        <v>4024</v>
      </c>
      <c r="I74" s="14" t="s">
        <v>3131</v>
      </c>
      <c r="J74" s="21">
        <v>44385</v>
      </c>
    </row>
    <row r="75" spans="1:10" x14ac:dyDescent="0.35">
      <c r="A75" s="14" t="s">
        <v>602</v>
      </c>
      <c r="B75" s="14" t="s">
        <v>3645</v>
      </c>
      <c r="C75" s="14" t="s">
        <v>3370</v>
      </c>
      <c r="D75" s="14">
        <v>43</v>
      </c>
      <c r="E75" s="14" t="s">
        <v>3364</v>
      </c>
      <c r="F75" s="14" t="s">
        <v>3365</v>
      </c>
      <c r="G75" s="14" t="s">
        <v>3646</v>
      </c>
      <c r="H75" s="14" t="s">
        <v>4053</v>
      </c>
      <c r="I75" s="14"/>
      <c r="J75" s="21">
        <v>45398</v>
      </c>
    </row>
    <row r="76" spans="1:10" x14ac:dyDescent="0.35">
      <c r="A76" s="14" t="s">
        <v>613</v>
      </c>
      <c r="B76" s="14" t="s">
        <v>3649</v>
      </c>
      <c r="C76" s="14" t="s">
        <v>3351</v>
      </c>
      <c r="D76" s="14">
        <v>43</v>
      </c>
      <c r="E76" s="14" t="s">
        <v>3371</v>
      </c>
      <c r="F76" s="14" t="s">
        <v>3372</v>
      </c>
      <c r="G76" s="14" t="s">
        <v>3650</v>
      </c>
      <c r="H76" s="14" t="s">
        <v>4054</v>
      </c>
      <c r="I76" s="14" t="s">
        <v>3131</v>
      </c>
      <c r="J76" s="21">
        <v>45599</v>
      </c>
    </row>
    <row r="77" spans="1:10" x14ac:dyDescent="0.35">
      <c r="A77" s="14" t="s">
        <v>457</v>
      </c>
      <c r="B77" s="14" t="s">
        <v>3653</v>
      </c>
      <c r="C77" s="14" t="s">
        <v>3351</v>
      </c>
      <c r="D77" s="14">
        <v>43</v>
      </c>
      <c r="E77" s="14" t="s">
        <v>3403</v>
      </c>
      <c r="F77" s="14" t="s">
        <v>3404</v>
      </c>
      <c r="G77" s="14" t="s">
        <v>3654</v>
      </c>
      <c r="H77" s="14" t="s">
        <v>4024</v>
      </c>
      <c r="I77" s="14" t="s">
        <v>3173</v>
      </c>
      <c r="J77" s="21">
        <v>45103</v>
      </c>
    </row>
    <row r="78" spans="1:10" x14ac:dyDescent="0.35">
      <c r="A78" s="14" t="s">
        <v>2377</v>
      </c>
      <c r="B78" s="14" t="s">
        <v>3656</v>
      </c>
      <c r="C78" s="14" t="s">
        <v>3351</v>
      </c>
      <c r="D78" s="14">
        <v>43</v>
      </c>
      <c r="E78" s="14" t="s">
        <v>3945</v>
      </c>
      <c r="F78" s="14" t="s">
        <v>3398</v>
      </c>
      <c r="G78" s="14" t="s">
        <v>3657</v>
      </c>
      <c r="H78" s="14" t="s">
        <v>4055</v>
      </c>
      <c r="I78" s="14"/>
      <c r="J78" s="21">
        <v>43273</v>
      </c>
    </row>
    <row r="79" spans="1:10" x14ac:dyDescent="0.35">
      <c r="A79" s="14" t="s">
        <v>211</v>
      </c>
      <c r="B79" s="14" t="s">
        <v>3660</v>
      </c>
      <c r="C79" s="14" t="s">
        <v>3370</v>
      </c>
      <c r="D79" s="14">
        <v>43</v>
      </c>
      <c r="E79" s="14" t="s">
        <v>3364</v>
      </c>
      <c r="F79" s="14" t="s">
        <v>3365</v>
      </c>
      <c r="G79" s="14" t="s">
        <v>3661</v>
      </c>
      <c r="H79" s="14" t="s">
        <v>4056</v>
      </c>
      <c r="I79" s="14" t="s">
        <v>3131</v>
      </c>
      <c r="J79" s="21">
        <v>45403</v>
      </c>
    </row>
    <row r="80" spans="1:10" x14ac:dyDescent="0.35">
      <c r="A80" s="14" t="s">
        <v>890</v>
      </c>
      <c r="B80" s="14" t="s">
        <v>3663</v>
      </c>
      <c r="C80" s="14" t="s">
        <v>3370</v>
      </c>
      <c r="D80" s="14">
        <v>26</v>
      </c>
      <c r="E80" s="14" t="s">
        <v>3409</v>
      </c>
      <c r="F80" s="14" t="s">
        <v>3379</v>
      </c>
      <c r="G80" s="14" t="s">
        <v>3664</v>
      </c>
      <c r="H80" s="14" t="s">
        <v>4057</v>
      </c>
      <c r="I80" s="14" t="s">
        <v>3156</v>
      </c>
      <c r="J80" s="21">
        <v>45035</v>
      </c>
    </row>
    <row r="81" spans="1:10" x14ac:dyDescent="0.35">
      <c r="A81" s="14" t="s">
        <v>967</v>
      </c>
      <c r="B81" s="14" t="s">
        <v>3667</v>
      </c>
      <c r="C81" s="14" t="s">
        <v>3351</v>
      </c>
      <c r="D81" s="14">
        <v>21</v>
      </c>
      <c r="E81" s="14" t="s">
        <v>3462</v>
      </c>
      <c r="F81" s="14" t="s">
        <v>3346</v>
      </c>
      <c r="G81" s="14" t="s">
        <v>3668</v>
      </c>
      <c r="H81" s="14" t="s">
        <v>4058</v>
      </c>
      <c r="I81" s="14" t="s">
        <v>3131</v>
      </c>
      <c r="J81" s="21">
        <v>44277</v>
      </c>
    </row>
    <row r="82" spans="1:10" x14ac:dyDescent="0.35">
      <c r="A82" s="14" t="s">
        <v>1006</v>
      </c>
      <c r="B82" s="14" t="s">
        <v>3671</v>
      </c>
      <c r="C82" s="14" t="s">
        <v>3370</v>
      </c>
      <c r="D82" s="14">
        <v>43</v>
      </c>
      <c r="E82" s="14" t="s">
        <v>3409</v>
      </c>
      <c r="F82" s="14" t="s">
        <v>3379</v>
      </c>
      <c r="G82" s="14" t="s">
        <v>3672</v>
      </c>
      <c r="H82" s="14" t="s">
        <v>3673</v>
      </c>
      <c r="I82" s="14"/>
      <c r="J82" s="21">
        <v>43249</v>
      </c>
    </row>
    <row r="83" spans="1:10" x14ac:dyDescent="0.35">
      <c r="A83" s="14" t="s">
        <v>333</v>
      </c>
      <c r="B83" s="14" t="s">
        <v>3675</v>
      </c>
      <c r="C83" s="14" t="s">
        <v>3370</v>
      </c>
      <c r="D83" s="14">
        <v>43</v>
      </c>
      <c r="E83" s="14" t="s">
        <v>3416</v>
      </c>
      <c r="F83" s="14" t="s">
        <v>3417</v>
      </c>
      <c r="G83" s="14" t="s">
        <v>3676</v>
      </c>
      <c r="H83" s="14" t="s">
        <v>3677</v>
      </c>
      <c r="I83" s="14" t="s">
        <v>3173</v>
      </c>
      <c r="J83" s="21">
        <v>45326</v>
      </c>
    </row>
    <row r="84" spans="1:10" x14ac:dyDescent="0.35">
      <c r="A84" s="14" t="s">
        <v>562</v>
      </c>
      <c r="B84" s="14" t="s">
        <v>3679</v>
      </c>
      <c r="C84" s="14" t="s">
        <v>3351</v>
      </c>
      <c r="D84" s="14">
        <v>43</v>
      </c>
      <c r="E84" s="14" t="s">
        <v>3403</v>
      </c>
      <c r="F84" s="14" t="s">
        <v>3404</v>
      </c>
      <c r="G84" s="14" t="s">
        <v>3680</v>
      </c>
      <c r="H84" s="14" t="s">
        <v>4024</v>
      </c>
      <c r="I84" s="14" t="s">
        <v>3131</v>
      </c>
      <c r="J84" s="21">
        <v>43158</v>
      </c>
    </row>
    <row r="85" spans="1:10" x14ac:dyDescent="0.35">
      <c r="A85" s="14" t="s">
        <v>1301</v>
      </c>
      <c r="B85" s="14" t="s">
        <v>3682</v>
      </c>
      <c r="C85" s="14" t="s">
        <v>3351</v>
      </c>
      <c r="D85" s="14">
        <v>33</v>
      </c>
      <c r="E85" s="14" t="s">
        <v>3409</v>
      </c>
      <c r="F85" s="14" t="s">
        <v>3379</v>
      </c>
      <c r="G85" s="14" t="s">
        <v>3683</v>
      </c>
      <c r="H85" s="14" t="s">
        <v>4059</v>
      </c>
      <c r="I85" s="14" t="s">
        <v>3173</v>
      </c>
      <c r="J85" s="21">
        <v>43857</v>
      </c>
    </row>
    <row r="86" spans="1:10" x14ac:dyDescent="0.35">
      <c r="A86" s="14" t="s">
        <v>143</v>
      </c>
      <c r="B86" s="14" t="s">
        <v>3686</v>
      </c>
      <c r="C86" s="14" t="s">
        <v>3351</v>
      </c>
      <c r="D86" s="14">
        <v>33</v>
      </c>
      <c r="E86" s="14" t="s">
        <v>3416</v>
      </c>
      <c r="F86" s="14" t="s">
        <v>3417</v>
      </c>
      <c r="G86" s="14" t="s">
        <v>3687</v>
      </c>
      <c r="H86" s="14" t="s">
        <v>4024</v>
      </c>
      <c r="I86" s="14" t="s">
        <v>3173</v>
      </c>
      <c r="J86" s="21">
        <v>44172</v>
      </c>
    </row>
    <row r="87" spans="1:10" x14ac:dyDescent="0.35">
      <c r="A87" s="14" t="s">
        <v>134</v>
      </c>
      <c r="B87" s="14" t="s">
        <v>3689</v>
      </c>
      <c r="C87" s="14" t="s">
        <v>3351</v>
      </c>
      <c r="D87" s="14">
        <v>43</v>
      </c>
      <c r="E87" s="14" t="s">
        <v>3403</v>
      </c>
      <c r="F87" s="14" t="s">
        <v>3404</v>
      </c>
      <c r="G87" s="14" t="s">
        <v>3690</v>
      </c>
      <c r="H87" s="14" t="s">
        <v>4060</v>
      </c>
      <c r="I87" s="14"/>
      <c r="J87" s="21">
        <v>43581</v>
      </c>
    </row>
    <row r="88" spans="1:10" x14ac:dyDescent="0.35">
      <c r="A88" s="14" t="s">
        <v>468</v>
      </c>
      <c r="B88" s="14" t="s">
        <v>3693</v>
      </c>
      <c r="C88" s="14" t="s">
        <v>3351</v>
      </c>
      <c r="D88" s="14">
        <v>43</v>
      </c>
      <c r="E88" s="14" t="s">
        <v>3392</v>
      </c>
      <c r="F88" s="14" t="s">
        <v>3358</v>
      </c>
      <c r="G88" s="14" t="s">
        <v>3694</v>
      </c>
      <c r="H88" s="14" t="s">
        <v>3695</v>
      </c>
      <c r="I88" s="14" t="s">
        <v>3173</v>
      </c>
      <c r="J88" s="21">
        <v>44804</v>
      </c>
    </row>
    <row r="89" spans="1:10" x14ac:dyDescent="0.35">
      <c r="A89" s="14" t="s">
        <v>220</v>
      </c>
      <c r="B89" s="14" t="s">
        <v>3697</v>
      </c>
      <c r="C89" s="14" t="s">
        <v>3351</v>
      </c>
      <c r="D89" s="14">
        <v>43</v>
      </c>
      <c r="E89" s="14" t="s">
        <v>3357</v>
      </c>
      <c r="F89" s="14" t="s">
        <v>3358</v>
      </c>
      <c r="G89" s="14" t="s">
        <v>3698</v>
      </c>
      <c r="H89" s="14" t="s">
        <v>4024</v>
      </c>
      <c r="I89" s="14"/>
      <c r="J89" s="21">
        <v>43353</v>
      </c>
    </row>
    <row r="90" spans="1:10" x14ac:dyDescent="0.35">
      <c r="A90" s="14" t="s">
        <v>740</v>
      </c>
      <c r="B90" s="14" t="s">
        <v>3700</v>
      </c>
      <c r="C90" s="14" t="s">
        <v>3370</v>
      </c>
      <c r="D90" s="14">
        <v>43</v>
      </c>
      <c r="E90" s="14" t="s">
        <v>3392</v>
      </c>
      <c r="F90" s="14" t="s">
        <v>3358</v>
      </c>
      <c r="G90" s="14" t="s">
        <v>3701</v>
      </c>
      <c r="H90" s="14" t="s">
        <v>4024</v>
      </c>
      <c r="I90" s="14"/>
      <c r="J90" s="21">
        <v>45191</v>
      </c>
    </row>
    <row r="91" spans="1:10" x14ac:dyDescent="0.35">
      <c r="A91" s="14" t="s">
        <v>70</v>
      </c>
      <c r="B91" s="14" t="s">
        <v>3703</v>
      </c>
      <c r="C91" s="14" t="s">
        <v>3351</v>
      </c>
      <c r="D91" s="14">
        <v>43</v>
      </c>
      <c r="E91" s="14" t="s">
        <v>3403</v>
      </c>
      <c r="F91" s="14" t="s">
        <v>3404</v>
      </c>
      <c r="G91" s="14" t="s">
        <v>3704</v>
      </c>
      <c r="H91" s="14" t="s">
        <v>3705</v>
      </c>
      <c r="I91" s="14"/>
      <c r="J91" s="21">
        <v>44840</v>
      </c>
    </row>
    <row r="92" spans="1:10" x14ac:dyDescent="0.35">
      <c r="A92" s="14" t="s">
        <v>462</v>
      </c>
      <c r="B92" s="14" t="s">
        <v>3707</v>
      </c>
      <c r="C92" s="14" t="s">
        <v>3370</v>
      </c>
      <c r="D92" s="14">
        <v>43</v>
      </c>
      <c r="E92" s="14" t="s">
        <v>3935</v>
      </c>
      <c r="F92" s="14" t="s">
        <v>3379</v>
      </c>
      <c r="G92" s="14" t="s">
        <v>3708</v>
      </c>
      <c r="H92" s="14" t="s">
        <v>4024</v>
      </c>
      <c r="I92" s="14" t="s">
        <v>3131</v>
      </c>
      <c r="J92" s="21">
        <v>45034</v>
      </c>
    </row>
    <row r="93" spans="1:10" x14ac:dyDescent="0.35">
      <c r="A93" s="14" t="s">
        <v>414</v>
      </c>
      <c r="B93" s="14" t="s">
        <v>3710</v>
      </c>
      <c r="C93" s="14" t="s">
        <v>3351</v>
      </c>
      <c r="D93" s="14">
        <v>43</v>
      </c>
      <c r="E93" s="14" t="s">
        <v>3409</v>
      </c>
      <c r="F93" s="14" t="s">
        <v>3379</v>
      </c>
      <c r="G93" s="14" t="s">
        <v>3711</v>
      </c>
      <c r="H93" s="14" t="s">
        <v>4061</v>
      </c>
      <c r="I93" s="14"/>
      <c r="J93" s="21">
        <v>43429</v>
      </c>
    </row>
    <row r="94" spans="1:10" x14ac:dyDescent="0.35">
      <c r="A94" s="14" t="s">
        <v>1861</v>
      </c>
      <c r="B94" s="14" t="s">
        <v>3714</v>
      </c>
      <c r="C94" s="14" t="s">
        <v>3351</v>
      </c>
      <c r="D94" s="14">
        <v>43</v>
      </c>
      <c r="E94" s="14" t="s">
        <v>3945</v>
      </c>
      <c r="F94" s="14" t="s">
        <v>3398</v>
      </c>
      <c r="G94" s="14" t="s">
        <v>3715</v>
      </c>
      <c r="H94" s="14" t="s">
        <v>4062</v>
      </c>
      <c r="I94" s="14"/>
      <c r="J94" s="21">
        <v>43115</v>
      </c>
    </row>
    <row r="95" spans="1:10" x14ac:dyDescent="0.35">
      <c r="A95" s="14" t="s">
        <v>111</v>
      </c>
      <c r="B95" s="14" t="s">
        <v>3718</v>
      </c>
      <c r="C95" s="14" t="s">
        <v>3351</v>
      </c>
      <c r="D95" s="14">
        <v>44</v>
      </c>
      <c r="E95" s="14" t="s">
        <v>3416</v>
      </c>
      <c r="F95" s="14" t="s">
        <v>3417</v>
      </c>
      <c r="G95" s="14" t="s">
        <v>3719</v>
      </c>
      <c r="H95" s="14" t="s">
        <v>3720</v>
      </c>
      <c r="I95" s="14"/>
      <c r="J95" s="21">
        <v>43563</v>
      </c>
    </row>
    <row r="96" spans="1:10" x14ac:dyDescent="0.35">
      <c r="A96" s="14" t="s">
        <v>400</v>
      </c>
      <c r="B96" s="14" t="s">
        <v>3722</v>
      </c>
      <c r="C96" s="14" t="s">
        <v>3370</v>
      </c>
      <c r="D96" s="14">
        <v>43</v>
      </c>
      <c r="E96" s="14" t="s">
        <v>3357</v>
      </c>
      <c r="F96" s="14" t="s">
        <v>3358</v>
      </c>
      <c r="G96" s="14" t="s">
        <v>3723</v>
      </c>
      <c r="H96" s="14" t="s">
        <v>3724</v>
      </c>
      <c r="I96" s="14" t="s">
        <v>3131</v>
      </c>
      <c r="J96" s="21">
        <v>44103</v>
      </c>
    </row>
    <row r="97" spans="1:10" x14ac:dyDescent="0.35">
      <c r="A97" s="14" t="s">
        <v>341</v>
      </c>
      <c r="B97" s="14" t="s">
        <v>3726</v>
      </c>
      <c r="C97" s="14" t="s">
        <v>3351</v>
      </c>
      <c r="D97" s="14">
        <v>43</v>
      </c>
      <c r="E97" s="14" t="s">
        <v>3403</v>
      </c>
      <c r="F97" s="14" t="s">
        <v>3404</v>
      </c>
      <c r="G97" s="14" t="s">
        <v>3727</v>
      </c>
      <c r="H97" s="14" t="s">
        <v>4063</v>
      </c>
      <c r="I97" s="14"/>
      <c r="J97" s="21">
        <v>45466</v>
      </c>
    </row>
    <row r="98" spans="1:10" x14ac:dyDescent="0.35">
      <c r="A98" s="14" t="s">
        <v>831</v>
      </c>
      <c r="B98" s="14" t="s">
        <v>3730</v>
      </c>
      <c r="C98" s="14" t="s">
        <v>3370</v>
      </c>
      <c r="D98" s="14">
        <v>43</v>
      </c>
      <c r="E98" s="14" t="s">
        <v>3416</v>
      </c>
      <c r="F98" s="14" t="s">
        <v>3417</v>
      </c>
      <c r="G98" s="14" t="s">
        <v>3731</v>
      </c>
      <c r="H98" s="14" t="s">
        <v>4024</v>
      </c>
      <c r="I98" s="14"/>
      <c r="J98" s="21">
        <v>43350</v>
      </c>
    </row>
    <row r="99" spans="1:10" x14ac:dyDescent="0.35">
      <c r="A99" s="14" t="s">
        <v>444</v>
      </c>
      <c r="B99" s="14" t="s">
        <v>3733</v>
      </c>
      <c r="C99" s="14" t="s">
        <v>3370</v>
      </c>
      <c r="D99" s="14">
        <v>43</v>
      </c>
      <c r="E99" s="14" t="s">
        <v>3462</v>
      </c>
      <c r="F99" s="14" t="s">
        <v>3346</v>
      </c>
      <c r="G99" s="14" t="s">
        <v>3734</v>
      </c>
      <c r="H99" s="14" t="s">
        <v>4064</v>
      </c>
      <c r="I99" s="14" t="s">
        <v>3156</v>
      </c>
      <c r="J99" s="21">
        <v>45249</v>
      </c>
    </row>
    <row r="100" spans="1:10" x14ac:dyDescent="0.35">
      <c r="A100" s="14" t="s">
        <v>162</v>
      </c>
      <c r="B100" s="14" t="s">
        <v>3737</v>
      </c>
      <c r="C100" s="14" t="s">
        <v>3351</v>
      </c>
      <c r="D100" s="14">
        <v>43</v>
      </c>
      <c r="E100" s="14" t="s">
        <v>3925</v>
      </c>
      <c r="F100" s="14" t="s">
        <v>3346</v>
      </c>
      <c r="G100" s="14" t="s">
        <v>3738</v>
      </c>
      <c r="H100" s="14" t="s">
        <v>4065</v>
      </c>
      <c r="I100" s="14"/>
      <c r="J100" s="21">
        <v>43692</v>
      </c>
    </row>
    <row r="101" spans="1:10" x14ac:dyDescent="0.35">
      <c r="A101" s="14" t="s">
        <v>753</v>
      </c>
      <c r="B101" s="14" t="s">
        <v>3741</v>
      </c>
      <c r="C101" s="14" t="s">
        <v>3351</v>
      </c>
      <c r="D101" s="14">
        <v>43</v>
      </c>
      <c r="E101" s="14" t="s">
        <v>3371</v>
      </c>
      <c r="F101" s="14" t="s">
        <v>3372</v>
      </c>
      <c r="G101" s="14" t="s">
        <v>4022</v>
      </c>
      <c r="H101" s="14" t="s">
        <v>4024</v>
      </c>
      <c r="I101" s="14" t="s">
        <v>3131</v>
      </c>
      <c r="J101" s="21">
        <v>44943</v>
      </c>
    </row>
    <row r="102" spans="1:10" x14ac:dyDescent="0.35">
      <c r="A102" s="14" t="s">
        <v>267</v>
      </c>
      <c r="B102" s="14" t="s">
        <v>3742</v>
      </c>
      <c r="C102" s="14" t="s">
        <v>3370</v>
      </c>
      <c r="D102" s="14">
        <v>43</v>
      </c>
      <c r="E102" s="14" t="s">
        <v>3925</v>
      </c>
      <c r="F102" s="14" t="s">
        <v>3346</v>
      </c>
      <c r="G102" s="14" t="s">
        <v>3743</v>
      </c>
      <c r="H102" s="14" t="s">
        <v>3744</v>
      </c>
      <c r="I102" s="14"/>
      <c r="J102" s="21">
        <v>45064</v>
      </c>
    </row>
    <row r="103" spans="1:10" x14ac:dyDescent="0.35">
      <c r="A103" s="14" t="s">
        <v>54</v>
      </c>
      <c r="B103" s="14" t="s">
        <v>3746</v>
      </c>
      <c r="C103" s="14" t="s">
        <v>3370</v>
      </c>
      <c r="D103" s="14">
        <v>43</v>
      </c>
      <c r="E103" s="14" t="s">
        <v>3403</v>
      </c>
      <c r="F103" s="14" t="s">
        <v>3404</v>
      </c>
      <c r="G103" s="14" t="s">
        <v>3747</v>
      </c>
      <c r="H103" s="14" t="s">
        <v>4066</v>
      </c>
      <c r="I103" s="14" t="s">
        <v>3173</v>
      </c>
      <c r="J103" s="21">
        <v>44094</v>
      </c>
    </row>
    <row r="104" spans="1:10" x14ac:dyDescent="0.35">
      <c r="A104" s="14" t="s">
        <v>93</v>
      </c>
      <c r="B104" s="14" t="s">
        <v>3750</v>
      </c>
      <c r="C104" s="14" t="s">
        <v>3351</v>
      </c>
      <c r="D104" s="14">
        <v>43</v>
      </c>
      <c r="E104" s="14" t="s">
        <v>3364</v>
      </c>
      <c r="F104" s="14" t="s">
        <v>3365</v>
      </c>
      <c r="G104" s="14" t="s">
        <v>3751</v>
      </c>
      <c r="H104" s="14" t="s">
        <v>4024</v>
      </c>
      <c r="I104" s="14" t="s">
        <v>3173</v>
      </c>
      <c r="J104" s="21">
        <v>44364</v>
      </c>
    </row>
    <row r="105" spans="1:10" x14ac:dyDescent="0.35">
      <c r="A105" s="14" t="s">
        <v>225</v>
      </c>
      <c r="B105" s="14" t="s">
        <v>3753</v>
      </c>
      <c r="C105" s="14" t="s">
        <v>3351</v>
      </c>
      <c r="D105" s="14">
        <v>43</v>
      </c>
      <c r="E105" s="14" t="s">
        <v>3371</v>
      </c>
      <c r="F105" s="14" t="s">
        <v>3372</v>
      </c>
      <c r="G105" s="14" t="s">
        <v>4022</v>
      </c>
      <c r="H105" s="14" t="s">
        <v>4024</v>
      </c>
      <c r="I105" s="14" t="s">
        <v>3173</v>
      </c>
      <c r="J105" s="21">
        <v>44796</v>
      </c>
    </row>
    <row r="106" spans="1:10" x14ac:dyDescent="0.35">
      <c r="A106" s="14" t="s">
        <v>758</v>
      </c>
      <c r="B106" s="14" t="s">
        <v>3754</v>
      </c>
      <c r="C106" s="14" t="s">
        <v>3370</v>
      </c>
      <c r="D106" s="14">
        <v>43</v>
      </c>
      <c r="E106" s="14" t="s">
        <v>3925</v>
      </c>
      <c r="F106" s="14" t="s">
        <v>3346</v>
      </c>
      <c r="G106" s="14" t="s">
        <v>3755</v>
      </c>
      <c r="H106" s="14" t="s">
        <v>4024</v>
      </c>
      <c r="I106" s="14" t="s">
        <v>3173</v>
      </c>
      <c r="J106" s="21">
        <v>45434</v>
      </c>
    </row>
    <row r="107" spans="1:10" x14ac:dyDescent="0.35">
      <c r="A107" s="14" t="s">
        <v>411</v>
      </c>
      <c r="B107" s="14" t="s">
        <v>3757</v>
      </c>
      <c r="C107" s="14" t="s">
        <v>3351</v>
      </c>
      <c r="D107" s="14">
        <v>43</v>
      </c>
      <c r="E107" s="14" t="s">
        <v>3945</v>
      </c>
      <c r="F107" s="14" t="s">
        <v>3398</v>
      </c>
      <c r="G107" s="14" t="s">
        <v>3758</v>
      </c>
      <c r="H107" s="14" t="s">
        <v>3759</v>
      </c>
      <c r="I107" s="14" t="s">
        <v>3156</v>
      </c>
      <c r="J107" s="21">
        <v>43794</v>
      </c>
    </row>
    <row r="108" spans="1:10" x14ac:dyDescent="0.35">
      <c r="A108" s="14" t="s">
        <v>495</v>
      </c>
      <c r="B108" s="14" t="s">
        <v>3761</v>
      </c>
      <c r="C108" s="14" t="s">
        <v>3370</v>
      </c>
      <c r="D108" s="14">
        <v>43</v>
      </c>
      <c r="E108" s="14" t="s">
        <v>3935</v>
      </c>
      <c r="F108" s="14" t="s">
        <v>3379</v>
      </c>
      <c r="G108" s="14" t="s">
        <v>4022</v>
      </c>
      <c r="H108" s="14" t="s">
        <v>4024</v>
      </c>
      <c r="I108" s="14" t="s">
        <v>3131</v>
      </c>
      <c r="J108" s="21">
        <v>43664</v>
      </c>
    </row>
    <row r="109" spans="1:10" x14ac:dyDescent="0.35">
      <c r="A109" s="14" t="s">
        <v>504</v>
      </c>
      <c r="B109" s="14" t="s">
        <v>3767</v>
      </c>
      <c r="C109" s="14" t="s">
        <v>3351</v>
      </c>
      <c r="D109" s="14">
        <v>43</v>
      </c>
      <c r="E109" s="14" t="s">
        <v>3352</v>
      </c>
      <c r="F109" s="14" t="s">
        <v>3352</v>
      </c>
      <c r="G109" s="14" t="s">
        <v>3768</v>
      </c>
      <c r="H109" s="14" t="s">
        <v>4067</v>
      </c>
      <c r="I109" s="14" t="s">
        <v>3131</v>
      </c>
      <c r="J109" s="21">
        <v>45248</v>
      </c>
    </row>
    <row r="110" spans="1:10" x14ac:dyDescent="0.35">
      <c r="A110" s="14" t="s">
        <v>1486</v>
      </c>
      <c r="B110" s="14" t="s">
        <v>3771</v>
      </c>
      <c r="C110" s="14" t="s">
        <v>3370</v>
      </c>
      <c r="D110" s="14">
        <v>43</v>
      </c>
      <c r="E110" s="14" t="s">
        <v>3409</v>
      </c>
      <c r="F110" s="14" t="s">
        <v>3379</v>
      </c>
      <c r="G110" s="14" t="s">
        <v>3772</v>
      </c>
      <c r="H110" s="14" t="s">
        <v>3773</v>
      </c>
      <c r="I110" s="14"/>
      <c r="J110" s="21">
        <v>45415</v>
      </c>
    </row>
    <row r="111" spans="1:10" x14ac:dyDescent="0.35">
      <c r="A111" s="14" t="s">
        <v>183</v>
      </c>
      <c r="B111" s="14" t="s">
        <v>3775</v>
      </c>
      <c r="C111" s="14" t="s">
        <v>3370</v>
      </c>
      <c r="D111" s="14">
        <v>58</v>
      </c>
      <c r="E111" s="14" t="s">
        <v>3409</v>
      </c>
      <c r="F111" s="14" t="s">
        <v>3379</v>
      </c>
      <c r="G111" s="14" t="s">
        <v>3776</v>
      </c>
      <c r="H111" s="14" t="s">
        <v>3777</v>
      </c>
      <c r="I111" s="14" t="s">
        <v>3173</v>
      </c>
      <c r="J111" s="21">
        <v>44645</v>
      </c>
    </row>
    <row r="112" spans="1:10" x14ac:dyDescent="0.35">
      <c r="A112" s="14" t="s">
        <v>1829</v>
      </c>
      <c r="B112" s="14" t="s">
        <v>3779</v>
      </c>
      <c r="C112" s="14" t="s">
        <v>3351</v>
      </c>
      <c r="D112" s="14">
        <v>43</v>
      </c>
      <c r="E112" s="14" t="s">
        <v>3357</v>
      </c>
      <c r="F112" s="14" t="s">
        <v>3358</v>
      </c>
      <c r="G112" s="14" t="s">
        <v>3780</v>
      </c>
      <c r="H112" s="14" t="s">
        <v>3781</v>
      </c>
      <c r="I112" s="14" t="s">
        <v>3131</v>
      </c>
      <c r="J112" s="21">
        <v>45264</v>
      </c>
    </row>
    <row r="113" spans="1:10" x14ac:dyDescent="0.35">
      <c r="A113" s="14" t="s">
        <v>637</v>
      </c>
      <c r="B113" s="14" t="s">
        <v>3783</v>
      </c>
      <c r="C113" s="14" t="s">
        <v>3351</v>
      </c>
      <c r="D113" s="14">
        <v>43</v>
      </c>
      <c r="E113" s="14" t="s">
        <v>3357</v>
      </c>
      <c r="F113" s="14" t="s">
        <v>3358</v>
      </c>
      <c r="G113" s="14" t="s">
        <v>3784</v>
      </c>
      <c r="H113" s="14" t="s">
        <v>4024</v>
      </c>
      <c r="I113" s="14" t="s">
        <v>3131</v>
      </c>
      <c r="J113" s="21">
        <v>43952</v>
      </c>
    </row>
    <row r="114" spans="1:10" x14ac:dyDescent="0.35">
      <c r="A114" s="14" t="s">
        <v>898</v>
      </c>
      <c r="B114" s="14" t="s">
        <v>3786</v>
      </c>
      <c r="C114" s="14" t="s">
        <v>3351</v>
      </c>
      <c r="D114" s="14">
        <v>43</v>
      </c>
      <c r="E114" s="14" t="s">
        <v>3357</v>
      </c>
      <c r="F114" s="14" t="s">
        <v>3358</v>
      </c>
      <c r="G114" s="14" t="s">
        <v>3787</v>
      </c>
      <c r="H114" s="14" t="s">
        <v>4068</v>
      </c>
      <c r="I114" s="14" t="s">
        <v>3156</v>
      </c>
      <c r="J114" s="21">
        <v>45422</v>
      </c>
    </row>
    <row r="115" spans="1:10" x14ac:dyDescent="0.35">
      <c r="A115" s="14" t="s">
        <v>573</v>
      </c>
      <c r="B115" s="14" t="s">
        <v>3790</v>
      </c>
      <c r="C115" s="14" t="s">
        <v>3370</v>
      </c>
      <c r="D115" s="14">
        <v>43</v>
      </c>
      <c r="E115" s="14" t="s">
        <v>3403</v>
      </c>
      <c r="F115" s="14" t="s">
        <v>3404</v>
      </c>
      <c r="G115" s="14" t="s">
        <v>3791</v>
      </c>
      <c r="H115" s="14" t="s">
        <v>4024</v>
      </c>
      <c r="I115" s="14" t="s">
        <v>3173</v>
      </c>
      <c r="J115" s="21">
        <v>43320</v>
      </c>
    </row>
    <row r="116" spans="1:10" x14ac:dyDescent="0.35">
      <c r="A116" s="14" t="s">
        <v>1244</v>
      </c>
      <c r="B116" s="14" t="s">
        <v>3793</v>
      </c>
      <c r="C116" s="14" t="s">
        <v>3351</v>
      </c>
      <c r="D116" s="14">
        <v>43</v>
      </c>
      <c r="E116" s="14" t="s">
        <v>3462</v>
      </c>
      <c r="F116" s="14" t="s">
        <v>3346</v>
      </c>
      <c r="G116" s="14" t="s">
        <v>3794</v>
      </c>
      <c r="H116" s="14" t="s">
        <v>4024</v>
      </c>
      <c r="I116" s="14" t="s">
        <v>3131</v>
      </c>
      <c r="J116" s="21">
        <v>44946</v>
      </c>
    </row>
    <row r="117" spans="1:10" x14ac:dyDescent="0.35">
      <c r="A117" s="14" t="s">
        <v>230</v>
      </c>
      <c r="B117" s="14" t="s">
        <v>3796</v>
      </c>
      <c r="C117" s="14" t="s">
        <v>3351</v>
      </c>
      <c r="D117" s="14">
        <v>43</v>
      </c>
      <c r="E117" s="14" t="s">
        <v>3403</v>
      </c>
      <c r="F117" s="14" t="s">
        <v>3404</v>
      </c>
      <c r="G117" s="14" t="s">
        <v>3797</v>
      </c>
      <c r="H117" s="14" t="s">
        <v>4069</v>
      </c>
      <c r="I117" s="14" t="s">
        <v>3131</v>
      </c>
      <c r="J117" s="21">
        <v>43171</v>
      </c>
    </row>
    <row r="118" spans="1:10" x14ac:dyDescent="0.35">
      <c r="A118" s="14" t="s">
        <v>187</v>
      </c>
      <c r="B118" s="14" t="s">
        <v>3800</v>
      </c>
      <c r="C118" s="14" t="s">
        <v>3370</v>
      </c>
      <c r="D118" s="14">
        <v>43</v>
      </c>
      <c r="E118" s="14" t="s">
        <v>3416</v>
      </c>
      <c r="F118" s="14" t="s">
        <v>3417</v>
      </c>
      <c r="G118" s="14" t="s">
        <v>3801</v>
      </c>
      <c r="H118" s="14" t="s">
        <v>4024</v>
      </c>
      <c r="I118" s="14" t="s">
        <v>3131</v>
      </c>
      <c r="J118" s="21">
        <v>44575</v>
      </c>
    </row>
    <row r="119" spans="1:10" x14ac:dyDescent="0.35">
      <c r="A119" s="14" t="s">
        <v>791</v>
      </c>
      <c r="B119" s="14" t="s">
        <v>3803</v>
      </c>
      <c r="C119" s="14" t="s">
        <v>3370</v>
      </c>
      <c r="D119" s="14">
        <v>42</v>
      </c>
      <c r="E119" s="14" t="s">
        <v>3364</v>
      </c>
      <c r="F119" s="14" t="s">
        <v>3365</v>
      </c>
      <c r="G119" s="14" t="s">
        <v>3804</v>
      </c>
      <c r="H119" s="14" t="s">
        <v>4024</v>
      </c>
      <c r="I119" s="14"/>
      <c r="J119" s="21">
        <v>45546</v>
      </c>
    </row>
    <row r="120" spans="1:10" x14ac:dyDescent="0.35">
      <c r="A120" s="14" t="s">
        <v>376</v>
      </c>
      <c r="B120" s="14" t="s">
        <v>3805</v>
      </c>
      <c r="C120" s="14" t="s">
        <v>3370</v>
      </c>
      <c r="D120" s="14">
        <v>43</v>
      </c>
      <c r="E120" s="14" t="s">
        <v>3364</v>
      </c>
      <c r="F120" s="14" t="s">
        <v>3365</v>
      </c>
      <c r="G120" s="14" t="s">
        <v>3806</v>
      </c>
      <c r="H120" s="14" t="s">
        <v>3807</v>
      </c>
      <c r="I120" s="14" t="s">
        <v>3131</v>
      </c>
      <c r="J120" s="21">
        <v>44660</v>
      </c>
    </row>
    <row r="121" spans="1:10" x14ac:dyDescent="0.35">
      <c r="A121" s="14" t="s">
        <v>1336</v>
      </c>
      <c r="B121" s="14" t="s">
        <v>3809</v>
      </c>
      <c r="C121" s="14" t="s">
        <v>3351</v>
      </c>
      <c r="D121" s="14">
        <v>43</v>
      </c>
      <c r="E121" s="14" t="s">
        <v>3416</v>
      </c>
      <c r="F121" s="14" t="s">
        <v>3417</v>
      </c>
      <c r="G121" s="14" t="s">
        <v>3810</v>
      </c>
      <c r="H121" s="14" t="s">
        <v>4070</v>
      </c>
      <c r="I121" s="14" t="s">
        <v>3131</v>
      </c>
      <c r="J121" s="21">
        <v>43445</v>
      </c>
    </row>
    <row r="122" spans="1:10" x14ac:dyDescent="0.35">
      <c r="A122" s="14" t="s">
        <v>1321</v>
      </c>
      <c r="B122" s="14" t="s">
        <v>3813</v>
      </c>
      <c r="C122" s="14" t="s">
        <v>3370</v>
      </c>
      <c r="D122" s="14">
        <v>43</v>
      </c>
      <c r="E122" s="14" t="s">
        <v>3935</v>
      </c>
      <c r="F122" s="14" t="s">
        <v>3379</v>
      </c>
      <c r="G122" s="14" t="s">
        <v>3814</v>
      </c>
      <c r="H122" s="14" t="s">
        <v>4071</v>
      </c>
      <c r="I122" s="14" t="s">
        <v>3173</v>
      </c>
      <c r="J122" s="21">
        <v>44461</v>
      </c>
    </row>
    <row r="123" spans="1:10" x14ac:dyDescent="0.35">
      <c r="A123" s="14" t="s">
        <v>498</v>
      </c>
      <c r="B123" s="14" t="s">
        <v>3817</v>
      </c>
      <c r="C123" s="14" t="s">
        <v>3370</v>
      </c>
      <c r="D123" s="14">
        <v>43</v>
      </c>
      <c r="E123" s="14" t="s">
        <v>3371</v>
      </c>
      <c r="F123" s="14" t="s">
        <v>3372</v>
      </c>
      <c r="G123" s="14" t="s">
        <v>3818</v>
      </c>
      <c r="H123" s="14" t="s">
        <v>4072</v>
      </c>
      <c r="I123" s="14" t="s">
        <v>3131</v>
      </c>
      <c r="J123" s="21">
        <v>44732</v>
      </c>
    </row>
    <row r="124" spans="1:10" x14ac:dyDescent="0.35">
      <c r="A124" s="14" t="s">
        <v>277</v>
      </c>
      <c r="B124" s="14" t="s">
        <v>3821</v>
      </c>
      <c r="C124" s="14" t="s">
        <v>3351</v>
      </c>
      <c r="D124" s="14">
        <v>43</v>
      </c>
      <c r="E124" s="14" t="s">
        <v>3371</v>
      </c>
      <c r="F124" s="14" t="s">
        <v>3372</v>
      </c>
      <c r="G124" s="14" t="s">
        <v>3822</v>
      </c>
      <c r="H124" s="14" t="s">
        <v>3823</v>
      </c>
      <c r="I124" s="14" t="s">
        <v>3173</v>
      </c>
      <c r="J124" s="21">
        <v>45410</v>
      </c>
    </row>
    <row r="125" spans="1:10" x14ac:dyDescent="0.35">
      <c r="A125" s="14" t="s">
        <v>1240</v>
      </c>
      <c r="B125" s="14" t="s">
        <v>3824</v>
      </c>
      <c r="C125" s="14" t="s">
        <v>3351</v>
      </c>
      <c r="D125" s="14">
        <v>43</v>
      </c>
      <c r="E125" s="14" t="s">
        <v>3392</v>
      </c>
      <c r="F125" s="14" t="s">
        <v>3358</v>
      </c>
      <c r="G125" s="14" t="s">
        <v>3825</v>
      </c>
      <c r="H125" s="14" t="s">
        <v>4073</v>
      </c>
      <c r="I125" s="14" t="s">
        <v>3156</v>
      </c>
      <c r="J125" s="21">
        <v>43384</v>
      </c>
    </row>
    <row r="126" spans="1:10" x14ac:dyDescent="0.35">
      <c r="A126" s="14" t="s">
        <v>389</v>
      </c>
      <c r="B126" s="14" t="s">
        <v>3828</v>
      </c>
      <c r="C126" s="14" t="s">
        <v>3351</v>
      </c>
      <c r="D126" s="14">
        <v>43</v>
      </c>
      <c r="E126" s="14" t="s">
        <v>3392</v>
      </c>
      <c r="F126" s="14" t="s">
        <v>3358</v>
      </c>
      <c r="G126" s="14" t="s">
        <v>3829</v>
      </c>
      <c r="H126" s="14" t="s">
        <v>4074</v>
      </c>
      <c r="I126" s="14" t="s">
        <v>3173</v>
      </c>
      <c r="J126" s="21">
        <v>45485</v>
      </c>
    </row>
    <row r="127" spans="1:10" x14ac:dyDescent="0.35">
      <c r="A127" s="14" t="s">
        <v>915</v>
      </c>
      <c r="B127" s="14" t="s">
        <v>3832</v>
      </c>
      <c r="C127" s="14" t="s">
        <v>3370</v>
      </c>
      <c r="D127" s="14">
        <v>43</v>
      </c>
      <c r="E127" s="14" t="s">
        <v>3925</v>
      </c>
      <c r="F127" s="14" t="s">
        <v>3346</v>
      </c>
      <c r="G127" s="14" t="s">
        <v>3833</v>
      </c>
      <c r="H127" s="14" t="s">
        <v>4075</v>
      </c>
      <c r="I127" s="14" t="s">
        <v>3173</v>
      </c>
      <c r="J127" s="21">
        <v>43782</v>
      </c>
    </row>
    <row r="128" spans="1:10" x14ac:dyDescent="0.35">
      <c r="A128" s="14" t="s">
        <v>407</v>
      </c>
      <c r="B128" s="14" t="s">
        <v>3836</v>
      </c>
      <c r="C128" s="14" t="s">
        <v>3351</v>
      </c>
      <c r="D128" s="14">
        <v>43</v>
      </c>
      <c r="E128" s="14" t="s">
        <v>3935</v>
      </c>
      <c r="F128" s="14" t="s">
        <v>3379</v>
      </c>
      <c r="G128" s="14" t="s">
        <v>3837</v>
      </c>
      <c r="H128" s="14" t="s">
        <v>4024</v>
      </c>
      <c r="I128" s="14" t="s">
        <v>3173</v>
      </c>
      <c r="J128" s="21">
        <v>44160</v>
      </c>
    </row>
    <row r="129" spans="1:10" x14ac:dyDescent="0.35">
      <c r="A129" s="14" t="s">
        <v>450</v>
      </c>
      <c r="B129" s="14" t="s">
        <v>3839</v>
      </c>
      <c r="C129" s="14" t="s">
        <v>3370</v>
      </c>
      <c r="D129" s="14">
        <v>23</v>
      </c>
      <c r="E129" s="14" t="s">
        <v>3935</v>
      </c>
      <c r="F129" s="14" t="s">
        <v>3379</v>
      </c>
      <c r="G129" s="14" t="s">
        <v>3840</v>
      </c>
      <c r="H129" s="14" t="s">
        <v>4076</v>
      </c>
      <c r="I129" s="14" t="s">
        <v>3173</v>
      </c>
      <c r="J129" s="21">
        <v>43588</v>
      </c>
    </row>
    <row r="130" spans="1:10" x14ac:dyDescent="0.35">
      <c r="A130" s="14" t="s">
        <v>99</v>
      </c>
      <c r="B130" s="14" t="s">
        <v>3843</v>
      </c>
      <c r="C130" s="14" t="s">
        <v>3351</v>
      </c>
      <c r="D130" s="14">
        <v>43</v>
      </c>
      <c r="E130" s="14" t="s">
        <v>3925</v>
      </c>
      <c r="F130" s="14" t="s">
        <v>3346</v>
      </c>
      <c r="G130" s="14" t="s">
        <v>3844</v>
      </c>
      <c r="H130" s="14" t="s">
        <v>4077</v>
      </c>
      <c r="I130" s="14" t="s">
        <v>3131</v>
      </c>
      <c r="J130" s="21">
        <v>44527</v>
      </c>
    </row>
    <row r="131" spans="1:10" x14ac:dyDescent="0.35">
      <c r="A131" s="14" t="s">
        <v>352</v>
      </c>
      <c r="B131" s="14" t="s">
        <v>3847</v>
      </c>
      <c r="C131" s="14" t="s">
        <v>3370</v>
      </c>
      <c r="D131" s="14">
        <v>43</v>
      </c>
      <c r="E131" s="14" t="s">
        <v>3371</v>
      </c>
      <c r="F131" s="14" t="s">
        <v>3372</v>
      </c>
      <c r="G131" s="14" t="s">
        <v>3848</v>
      </c>
      <c r="H131" s="14" t="s">
        <v>4024</v>
      </c>
      <c r="I131" s="14" t="s">
        <v>3131</v>
      </c>
      <c r="J131" s="21">
        <v>43774</v>
      </c>
    </row>
    <row r="132" spans="1:10" x14ac:dyDescent="0.35">
      <c r="A132" s="14" t="s">
        <v>119</v>
      </c>
      <c r="B132" s="14" t="s">
        <v>3850</v>
      </c>
      <c r="C132" s="14" t="s">
        <v>3370</v>
      </c>
      <c r="D132" s="14">
        <v>43</v>
      </c>
      <c r="E132" s="14" t="s">
        <v>3462</v>
      </c>
      <c r="F132" s="14" t="s">
        <v>3346</v>
      </c>
      <c r="G132" s="14" t="s">
        <v>3851</v>
      </c>
      <c r="H132" s="14" t="s">
        <v>4078</v>
      </c>
      <c r="I132" s="14" t="s">
        <v>3156</v>
      </c>
      <c r="J132" s="21">
        <v>43864</v>
      </c>
    </row>
    <row r="133" spans="1:10" x14ac:dyDescent="0.35">
      <c r="A133" s="14" t="s">
        <v>799</v>
      </c>
      <c r="B133" s="14" t="s">
        <v>3854</v>
      </c>
      <c r="C133" s="14" t="s">
        <v>3351</v>
      </c>
      <c r="D133" s="14">
        <v>69</v>
      </c>
      <c r="E133" s="14" t="s">
        <v>3935</v>
      </c>
      <c r="F133" s="14" t="s">
        <v>3379</v>
      </c>
      <c r="G133" s="14" t="s">
        <v>3856</v>
      </c>
      <c r="H133" s="14" t="s">
        <v>4079</v>
      </c>
      <c r="I133" s="14"/>
      <c r="J133" s="21">
        <v>43943</v>
      </c>
    </row>
    <row r="134" spans="1:10" x14ac:dyDescent="0.35">
      <c r="A134" s="14" t="s">
        <v>703</v>
      </c>
      <c r="B134" s="14" t="s">
        <v>3859</v>
      </c>
      <c r="C134" s="14" t="s">
        <v>3370</v>
      </c>
      <c r="D134" s="14">
        <v>43</v>
      </c>
      <c r="E134" s="14" t="s">
        <v>3352</v>
      </c>
      <c r="F134" s="14" t="s">
        <v>3352</v>
      </c>
      <c r="G134" s="14" t="s">
        <v>3860</v>
      </c>
      <c r="H134" s="14" t="s">
        <v>3861</v>
      </c>
      <c r="I134" s="14"/>
      <c r="J134" s="21">
        <v>45105</v>
      </c>
    </row>
    <row r="135" spans="1:10" x14ac:dyDescent="0.35">
      <c r="A135" s="14" t="s">
        <v>894</v>
      </c>
      <c r="B135" s="14" t="s">
        <v>3862</v>
      </c>
      <c r="C135" s="14" t="s">
        <v>3351</v>
      </c>
      <c r="D135" s="14">
        <v>43</v>
      </c>
      <c r="E135" s="14" t="s">
        <v>3945</v>
      </c>
      <c r="F135" s="14" t="s">
        <v>3398</v>
      </c>
      <c r="G135" s="14" t="s">
        <v>3863</v>
      </c>
      <c r="H135" s="14" t="s">
        <v>4080</v>
      </c>
      <c r="I135" s="14" t="s">
        <v>3131</v>
      </c>
      <c r="J135" s="21">
        <v>45617</v>
      </c>
    </row>
    <row r="136" spans="1:10" x14ac:dyDescent="0.35">
      <c r="A136" s="14" t="s">
        <v>1075</v>
      </c>
      <c r="B136" s="14" t="s">
        <v>3865</v>
      </c>
      <c r="C136" s="14" t="s">
        <v>3351</v>
      </c>
      <c r="D136" s="14">
        <v>43</v>
      </c>
      <c r="E136" s="14" t="s">
        <v>3364</v>
      </c>
      <c r="F136" s="14" t="s">
        <v>3365</v>
      </c>
      <c r="G136" s="14" t="s">
        <v>3866</v>
      </c>
      <c r="H136" s="14" t="s">
        <v>4081</v>
      </c>
      <c r="I136" s="14" t="s">
        <v>3131</v>
      </c>
      <c r="J136" s="21">
        <v>44814</v>
      </c>
    </row>
    <row r="137" spans="1:10" x14ac:dyDescent="0.35">
      <c r="A137" s="14" t="s">
        <v>347</v>
      </c>
      <c r="B137" s="14" t="s">
        <v>3869</v>
      </c>
      <c r="C137" s="14" t="s">
        <v>3351</v>
      </c>
      <c r="D137" s="14">
        <v>40</v>
      </c>
      <c r="E137" s="14" t="s">
        <v>3945</v>
      </c>
      <c r="F137" s="14" t="s">
        <v>3398</v>
      </c>
      <c r="G137" s="14" t="s">
        <v>3870</v>
      </c>
      <c r="H137" s="14" t="s">
        <v>4082</v>
      </c>
      <c r="I137" s="14" t="s">
        <v>3173</v>
      </c>
      <c r="J137" s="21">
        <v>44389</v>
      </c>
    </row>
    <row r="138" spans="1:10" x14ac:dyDescent="0.35">
      <c r="A138" s="14" t="s">
        <v>1332</v>
      </c>
      <c r="B138" s="14" t="s">
        <v>3873</v>
      </c>
      <c r="C138" s="14" t="s">
        <v>3351</v>
      </c>
      <c r="D138" s="14">
        <v>43</v>
      </c>
      <c r="E138" s="14" t="s">
        <v>3462</v>
      </c>
      <c r="F138" s="14" t="s">
        <v>3346</v>
      </c>
      <c r="G138" s="14" t="s">
        <v>3874</v>
      </c>
      <c r="H138" s="14" t="s">
        <v>3875</v>
      </c>
      <c r="I138" s="14"/>
      <c r="J138" s="21">
        <v>44803</v>
      </c>
    </row>
    <row r="139" spans="1:10" x14ac:dyDescent="0.35">
      <c r="A139" s="14" t="s">
        <v>645</v>
      </c>
      <c r="B139" s="14" t="s">
        <v>3877</v>
      </c>
      <c r="C139" s="14" t="s">
        <v>3370</v>
      </c>
      <c r="D139" s="14">
        <v>43</v>
      </c>
      <c r="E139" s="14" t="s">
        <v>3935</v>
      </c>
      <c r="F139" s="14" t="s">
        <v>3379</v>
      </c>
      <c r="G139" s="14" t="s">
        <v>3878</v>
      </c>
      <c r="H139" s="14" t="s">
        <v>4024</v>
      </c>
      <c r="I139" s="14" t="s">
        <v>3131</v>
      </c>
      <c r="J139" s="21">
        <v>44021</v>
      </c>
    </row>
    <row r="140" spans="1:10" x14ac:dyDescent="0.35">
      <c r="A140" s="14" t="s">
        <v>549</v>
      </c>
      <c r="B140" s="14" t="s">
        <v>3880</v>
      </c>
      <c r="C140" s="14" t="s">
        <v>3370</v>
      </c>
      <c r="D140" s="14">
        <v>66</v>
      </c>
      <c r="E140" s="14" t="s">
        <v>3352</v>
      </c>
      <c r="F140" s="14" t="s">
        <v>3352</v>
      </c>
      <c r="G140" s="14" t="s">
        <v>3881</v>
      </c>
      <c r="H140" s="14" t="s">
        <v>4024</v>
      </c>
      <c r="I140" s="14" t="s">
        <v>3173</v>
      </c>
      <c r="J140" s="21">
        <v>45353</v>
      </c>
    </row>
    <row r="141" spans="1:10" x14ac:dyDescent="0.35">
      <c r="A141" s="14" t="s">
        <v>1085</v>
      </c>
      <c r="B141" s="14" t="s">
        <v>3883</v>
      </c>
      <c r="C141" s="14" t="s">
        <v>3351</v>
      </c>
      <c r="D141" s="14">
        <v>40</v>
      </c>
      <c r="E141" s="14" t="s">
        <v>3403</v>
      </c>
      <c r="F141" s="14" t="s">
        <v>3404</v>
      </c>
      <c r="G141" s="14" t="s">
        <v>3884</v>
      </c>
      <c r="H141" s="14" t="s">
        <v>3885</v>
      </c>
      <c r="I141" s="14" t="s">
        <v>3173</v>
      </c>
      <c r="J141" s="21">
        <v>44320</v>
      </c>
    </row>
    <row r="142" spans="1:10" x14ac:dyDescent="0.35">
      <c r="A142" s="14" t="s">
        <v>781</v>
      </c>
      <c r="B142" s="14" t="s">
        <v>3887</v>
      </c>
      <c r="C142" s="14" t="s">
        <v>3370</v>
      </c>
      <c r="D142" s="14">
        <v>43</v>
      </c>
      <c r="E142" s="14" t="s">
        <v>3403</v>
      </c>
      <c r="F142" s="14" t="s">
        <v>3404</v>
      </c>
      <c r="G142" s="14" t="s">
        <v>3888</v>
      </c>
      <c r="H142" s="14" t="s">
        <v>4083</v>
      </c>
      <c r="I142" s="14" t="s">
        <v>3173</v>
      </c>
      <c r="J142" s="21">
        <v>45600</v>
      </c>
    </row>
    <row r="143" spans="1:10" x14ac:dyDescent="0.35">
      <c r="A143" s="14" t="s">
        <v>579</v>
      </c>
      <c r="B143" s="14" t="s">
        <v>3891</v>
      </c>
      <c r="C143" s="14" t="s">
        <v>3351</v>
      </c>
      <c r="D143" s="14">
        <v>43</v>
      </c>
      <c r="E143" s="14" t="s">
        <v>3416</v>
      </c>
      <c r="F143" s="14" t="s">
        <v>3417</v>
      </c>
      <c r="G143" s="14" t="s">
        <v>3892</v>
      </c>
      <c r="H143" s="14" t="s">
        <v>3893</v>
      </c>
      <c r="I143" s="14" t="s">
        <v>3131</v>
      </c>
      <c r="J143" s="21">
        <v>44426</v>
      </c>
    </row>
    <row r="144" spans="1:10" x14ac:dyDescent="0.35">
      <c r="A144" s="14" t="s">
        <v>306</v>
      </c>
      <c r="B144" s="14" t="s">
        <v>3895</v>
      </c>
      <c r="C144" s="14" t="s">
        <v>3351</v>
      </c>
      <c r="D144" s="14">
        <v>43</v>
      </c>
      <c r="E144" s="14" t="s">
        <v>3416</v>
      </c>
      <c r="F144" s="14" t="s">
        <v>3417</v>
      </c>
      <c r="G144" s="14" t="s">
        <v>3896</v>
      </c>
      <c r="H144" s="14" t="s">
        <v>4024</v>
      </c>
      <c r="I144" s="14" t="s">
        <v>3131</v>
      </c>
      <c r="J144" s="21">
        <v>43644</v>
      </c>
    </row>
    <row r="145" spans="1:10" x14ac:dyDescent="0.35">
      <c r="A145" s="14" t="s">
        <v>290</v>
      </c>
      <c r="B145" s="14" t="s">
        <v>3898</v>
      </c>
      <c r="C145" s="14" t="s">
        <v>3351</v>
      </c>
      <c r="D145" s="14">
        <v>67</v>
      </c>
      <c r="E145" s="14" t="s">
        <v>3409</v>
      </c>
      <c r="F145" s="14" t="s">
        <v>3379</v>
      </c>
      <c r="G145" s="14" t="s">
        <v>3899</v>
      </c>
      <c r="H145" s="14" t="s">
        <v>4084</v>
      </c>
      <c r="I145" s="14"/>
      <c r="J145" s="21">
        <v>43410</v>
      </c>
    </row>
    <row r="146" spans="1:10" x14ac:dyDescent="0.35">
      <c r="A146" s="14" t="s">
        <v>1502</v>
      </c>
      <c r="B146" s="14" t="s">
        <v>3902</v>
      </c>
      <c r="C146" s="14" t="s">
        <v>3351</v>
      </c>
      <c r="D146" s="14">
        <v>64</v>
      </c>
      <c r="E146" s="14" t="s">
        <v>3392</v>
      </c>
      <c r="F146" s="14" t="s">
        <v>3358</v>
      </c>
      <c r="G146" s="14" t="s">
        <v>3903</v>
      </c>
      <c r="H146" s="14" t="s">
        <v>4024</v>
      </c>
      <c r="I146" s="14"/>
      <c r="J146" s="21">
        <v>45484</v>
      </c>
    </row>
    <row r="147" spans="1:10" x14ac:dyDescent="0.35">
      <c r="A147" s="14" t="s">
        <v>1142</v>
      </c>
      <c r="B147" s="14" t="s">
        <v>3905</v>
      </c>
      <c r="C147" s="14" t="s">
        <v>3351</v>
      </c>
      <c r="D147" s="14">
        <v>43</v>
      </c>
      <c r="E147" s="14" t="s">
        <v>3364</v>
      </c>
      <c r="F147" s="14" t="s">
        <v>3365</v>
      </c>
      <c r="G147" s="14" t="s">
        <v>3906</v>
      </c>
      <c r="H147" s="14" t="s">
        <v>4085</v>
      </c>
      <c r="I147" s="14"/>
      <c r="J147" s="21">
        <v>43993</v>
      </c>
    </row>
    <row r="148" spans="1:10" x14ac:dyDescent="0.35">
      <c r="A148" s="14" t="s">
        <v>294</v>
      </c>
      <c r="B148" s="14" t="s">
        <v>3909</v>
      </c>
      <c r="C148" s="14" t="s">
        <v>3370</v>
      </c>
      <c r="D148" s="14">
        <v>43</v>
      </c>
      <c r="E148" s="14" t="s">
        <v>3392</v>
      </c>
      <c r="F148" s="14" t="s">
        <v>3358</v>
      </c>
      <c r="G148" s="14" t="s">
        <v>4022</v>
      </c>
      <c r="H148" s="14" t="s">
        <v>4086</v>
      </c>
      <c r="I148" s="14" t="s">
        <v>3131</v>
      </c>
      <c r="J148" s="21">
        <v>43299</v>
      </c>
    </row>
    <row r="149" spans="1:10" x14ac:dyDescent="0.35">
      <c r="A149" s="14" t="s">
        <v>973</v>
      </c>
      <c r="B149" s="14" t="s">
        <v>3912</v>
      </c>
      <c r="C149" s="14" t="s">
        <v>3370</v>
      </c>
      <c r="D149" s="14">
        <v>35</v>
      </c>
      <c r="E149" s="14" t="s">
        <v>3925</v>
      </c>
      <c r="F149" s="14" t="s">
        <v>3346</v>
      </c>
      <c r="G149" s="14" t="s">
        <v>3913</v>
      </c>
      <c r="H149" s="14" t="s">
        <v>4087</v>
      </c>
      <c r="I149" s="14"/>
      <c r="J149" s="21">
        <v>44337</v>
      </c>
    </row>
    <row r="150" spans="1:10" x14ac:dyDescent="0.35">
      <c r="A150" s="14" t="s">
        <v>1018</v>
      </c>
      <c r="B150" s="14" t="s">
        <v>3916</v>
      </c>
      <c r="C150" s="14" t="s">
        <v>3370</v>
      </c>
      <c r="D150" s="14">
        <v>63</v>
      </c>
      <c r="E150" s="14" t="s">
        <v>3409</v>
      </c>
      <c r="F150" s="14" t="s">
        <v>3379</v>
      </c>
      <c r="G150" s="14" t="s">
        <v>4022</v>
      </c>
      <c r="H150" s="14" t="s">
        <v>4024</v>
      </c>
      <c r="I150" s="14" t="s">
        <v>3156</v>
      </c>
      <c r="J150" s="21">
        <v>44060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9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13" customWidth="1"/>
    <col min="2" max="2" width="28" customWidth="1"/>
    <col min="3" max="3" width="13" customWidth="1"/>
    <col min="4" max="4" width="15" customWidth="1"/>
    <col min="5" max="5" width="18" customWidth="1"/>
    <col min="6" max="6" width="21" customWidth="1"/>
  </cols>
  <sheetData>
    <row r="1" spans="1:6" x14ac:dyDescent="0.35">
      <c r="A1" s="17" t="s">
        <v>45</v>
      </c>
      <c r="B1" s="17" t="s">
        <v>3918</v>
      </c>
      <c r="C1" s="17" t="s">
        <v>3337</v>
      </c>
      <c r="D1" s="17" t="s">
        <v>3338</v>
      </c>
      <c r="E1" s="17" t="s">
        <v>3919</v>
      </c>
      <c r="F1" s="17" t="s">
        <v>3920</v>
      </c>
    </row>
    <row r="2" spans="1:6" x14ac:dyDescent="0.35">
      <c r="A2" s="14" t="s">
        <v>113</v>
      </c>
      <c r="B2" s="14" t="s">
        <v>3921</v>
      </c>
      <c r="C2" s="14" t="s">
        <v>3357</v>
      </c>
      <c r="D2" s="14" t="s">
        <v>3358</v>
      </c>
      <c r="E2" s="14" t="s">
        <v>3922</v>
      </c>
      <c r="F2" s="21">
        <v>42498</v>
      </c>
    </row>
    <row r="3" spans="1:6" x14ac:dyDescent="0.35">
      <c r="A3" s="14" t="s">
        <v>80</v>
      </c>
      <c r="B3" s="14" t="s">
        <v>3924</v>
      </c>
      <c r="C3" s="14" t="s">
        <v>3925</v>
      </c>
      <c r="D3" s="14" t="s">
        <v>3346</v>
      </c>
      <c r="E3" s="14" t="s">
        <v>3926</v>
      </c>
      <c r="F3" s="21">
        <v>42546</v>
      </c>
    </row>
    <row r="4" spans="1:6" x14ac:dyDescent="0.35">
      <c r="A4" s="14" t="s">
        <v>101</v>
      </c>
      <c r="B4" s="14" t="s">
        <v>3928</v>
      </c>
      <c r="C4" s="14" t="s">
        <v>3364</v>
      </c>
      <c r="D4" s="14" t="s">
        <v>3365</v>
      </c>
      <c r="E4" s="14" t="s">
        <v>3929</v>
      </c>
      <c r="F4" s="21">
        <v>42295</v>
      </c>
    </row>
    <row r="5" spans="1:6" x14ac:dyDescent="0.35">
      <c r="A5" s="14" t="s">
        <v>126</v>
      </c>
      <c r="B5" s="14" t="s">
        <v>3931</v>
      </c>
      <c r="C5" s="14" t="s">
        <v>3392</v>
      </c>
      <c r="D5" s="14" t="s">
        <v>3358</v>
      </c>
      <c r="E5" s="14" t="s">
        <v>3932</v>
      </c>
      <c r="F5" s="21">
        <v>43574</v>
      </c>
    </row>
    <row r="6" spans="1:6" x14ac:dyDescent="0.35">
      <c r="A6" s="14" t="s">
        <v>56</v>
      </c>
      <c r="B6" s="14" t="s">
        <v>3934</v>
      </c>
      <c r="C6" s="14" t="s">
        <v>3935</v>
      </c>
      <c r="D6" s="14" t="s">
        <v>3379</v>
      </c>
      <c r="E6" s="14" t="s">
        <v>3936</v>
      </c>
      <c r="F6" s="21">
        <v>42424</v>
      </c>
    </row>
    <row r="7" spans="1:6" x14ac:dyDescent="0.35">
      <c r="A7" s="14" t="s">
        <v>108</v>
      </c>
      <c r="B7" s="14" t="s">
        <v>3938</v>
      </c>
      <c r="C7" s="14" t="s">
        <v>3403</v>
      </c>
      <c r="D7" s="14" t="s">
        <v>3404</v>
      </c>
      <c r="E7" s="14" t="s">
        <v>3939</v>
      </c>
      <c r="F7" s="21">
        <v>43288</v>
      </c>
    </row>
    <row r="8" spans="1:6" x14ac:dyDescent="0.35">
      <c r="A8" s="14" t="s">
        <v>72</v>
      </c>
      <c r="B8" s="14" t="s">
        <v>3941</v>
      </c>
      <c r="C8" s="14" t="s">
        <v>3371</v>
      </c>
      <c r="D8" s="14" t="s">
        <v>3372</v>
      </c>
      <c r="E8" s="14" t="s">
        <v>3942</v>
      </c>
      <c r="F8" s="21">
        <v>43230</v>
      </c>
    </row>
    <row r="9" spans="1:6" x14ac:dyDescent="0.35">
      <c r="A9" s="14" t="s">
        <v>64</v>
      </c>
      <c r="B9" s="14" t="s">
        <v>3944</v>
      </c>
      <c r="C9" s="14" t="s">
        <v>3945</v>
      </c>
      <c r="D9" s="14" t="s">
        <v>3398</v>
      </c>
      <c r="E9" s="14" t="s">
        <v>3946</v>
      </c>
      <c r="F9" s="21">
        <v>43572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N217"/>
  <sheetViews>
    <sheetView zoomScaleNormal="100" workbookViewId="0"/>
  </sheetViews>
  <sheetFormatPr defaultColWidth="8.6328125" defaultRowHeight="14.5" x14ac:dyDescent="0.35"/>
  <cols>
    <col min="1" max="1" width="30" customWidth="1"/>
    <col min="2" max="2" width="24" customWidth="1"/>
    <col min="3" max="8" width="30" customWidth="1"/>
    <col min="14" max="14" width="14" customWidth="1"/>
  </cols>
  <sheetData>
    <row r="1" spans="1:8" ht="18" x14ac:dyDescent="0.4">
      <c r="A1" s="16" t="s">
        <v>4088</v>
      </c>
    </row>
    <row r="3" spans="1:8" ht="21.75" customHeight="1" x14ac:dyDescent="0.35">
      <c r="A3" s="1" t="s">
        <v>4089</v>
      </c>
      <c r="B3" s="1"/>
      <c r="C3" s="1"/>
      <c r="D3" s="1"/>
      <c r="E3" s="1"/>
      <c r="F3" s="1"/>
      <c r="G3" s="1"/>
      <c r="H3" s="1"/>
    </row>
    <row r="4" spans="1:8" x14ac:dyDescent="0.35">
      <c r="A4" s="17" t="s">
        <v>44</v>
      </c>
      <c r="B4" s="17" t="s">
        <v>3099</v>
      </c>
      <c r="C4" s="17" t="s">
        <v>3100</v>
      </c>
      <c r="D4" s="17" t="s">
        <v>4090</v>
      </c>
      <c r="E4" s="17" t="s">
        <v>4091</v>
      </c>
      <c r="F4" s="17" t="s">
        <v>4092</v>
      </c>
      <c r="G4" s="17" t="s">
        <v>4093</v>
      </c>
      <c r="H4" s="17" t="s">
        <v>4094</v>
      </c>
    </row>
    <row r="5" spans="1:8" x14ac:dyDescent="0.35">
      <c r="A5" s="14" t="str">
        <f>Cleaned_Products!A2</f>
        <v>P1001</v>
      </c>
      <c r="B5" s="14" t="str">
        <f>Cleaned_Products!B2</f>
        <v>Gold Ring #1</v>
      </c>
      <c r="C5" s="14" t="str">
        <f>Cleaned_Products!C2</f>
        <v>Rings</v>
      </c>
      <c r="D5" s="22">
        <f>SUMIF(Cleaned_Sales!$F$2:$F$714,A5,Cleaned_Sales!$K$2:$K$714)</f>
        <v>3796538</v>
      </c>
      <c r="E5" s="14">
        <f>SUMIF(Cleaned_Sales!$F$2:$F$714,A5,Cleaned_Sales!$H$2:$H$714)</f>
        <v>25</v>
      </c>
      <c r="F5" s="14">
        <f t="shared" ref="F5:F36" si="0">RANK(D5,$D$5:$D$64)</f>
        <v>4</v>
      </c>
      <c r="G5" s="23">
        <f t="shared" ref="G5:G36" si="1">SUMIF($F$5:$F$64,"&lt;="&amp;F5,$D$5:$D$64)/SUM($D$5:$D$64)</f>
        <v>0.12488666267302757</v>
      </c>
      <c r="H5" s="14" t="str">
        <f t="shared" ref="H5:H36" si="2">IF(G5&lt;=0.8,"A - Top Contributor",IF(G5&lt;=0.95,"B - Moderate","C - Low"))</f>
        <v>A - Top Contributor</v>
      </c>
    </row>
    <row r="6" spans="1:8" x14ac:dyDescent="0.35">
      <c r="A6" s="14" t="str">
        <f>Cleaned_Products!A3</f>
        <v>P1002</v>
      </c>
      <c r="B6" s="14" t="str">
        <f>Cleaned_Products!B3</f>
        <v>Rose Gold Anklet #2</v>
      </c>
      <c r="C6" s="14" t="str">
        <f>Cleaned_Products!C3</f>
        <v>Anklets</v>
      </c>
      <c r="D6" s="22">
        <f>SUMIF(Cleaned_Sales!$F$2:$F$714,A6,Cleaned_Sales!$K$2:$K$714)</f>
        <v>1833501</v>
      </c>
      <c r="E6" s="14">
        <f>SUMIF(Cleaned_Sales!$F$2:$F$714,A6,Cleaned_Sales!$H$2:$H$714)</f>
        <v>15</v>
      </c>
      <c r="F6" s="14">
        <f t="shared" si="0"/>
        <v>44</v>
      </c>
      <c r="G6" s="23">
        <f t="shared" si="1"/>
        <v>0.85481951864719541</v>
      </c>
      <c r="H6" s="14" t="str">
        <f t="shared" si="2"/>
        <v>B - Moderate</v>
      </c>
    </row>
    <row r="7" spans="1:8" x14ac:dyDescent="0.35">
      <c r="A7" s="14" t="str">
        <f>Cleaned_Products!A4</f>
        <v>P1003</v>
      </c>
      <c r="B7" s="14" t="str">
        <f>Cleaned_Products!B4</f>
        <v>Platinum Bangle #3</v>
      </c>
      <c r="C7" s="14" t="str">
        <f>Cleaned_Products!C4</f>
        <v>Bangles</v>
      </c>
      <c r="D7" s="22">
        <f>SUMIF(Cleaned_Sales!$F$2:$F$714,A7,Cleaned_Sales!$K$2:$K$714)</f>
        <v>2454108</v>
      </c>
      <c r="E7" s="14">
        <f>SUMIF(Cleaned_Sales!$F$2:$F$714,A7,Cleaned_Sales!$H$2:$H$714)</f>
        <v>22</v>
      </c>
      <c r="F7" s="14">
        <f t="shared" si="0"/>
        <v>26</v>
      </c>
      <c r="G7" s="23">
        <f t="shared" si="1"/>
        <v>0.58156357830338767</v>
      </c>
      <c r="H7" s="14" t="str">
        <f t="shared" si="2"/>
        <v>A - Top Contributor</v>
      </c>
    </row>
    <row r="8" spans="1:8" x14ac:dyDescent="0.35">
      <c r="A8" s="14" t="str">
        <f>Cleaned_Products!A5</f>
        <v>P1004</v>
      </c>
      <c r="B8" s="14" t="str">
        <f>Cleaned_Products!B5</f>
        <v>Silver Necklace #4</v>
      </c>
      <c r="C8" s="14" t="str">
        <f>Cleaned_Products!C5</f>
        <v>Necklaces</v>
      </c>
      <c r="D8" s="22">
        <f>SUMIF(Cleaned_Sales!$F$2:$F$714,A8,Cleaned_Sales!$K$2:$K$714)</f>
        <v>2011623</v>
      </c>
      <c r="E8" s="14">
        <f>SUMIF(Cleaned_Sales!$F$2:$F$714,A8,Cleaned_Sales!$H$2:$H$714)</f>
        <v>19</v>
      </c>
      <c r="F8" s="14">
        <f t="shared" si="0"/>
        <v>42</v>
      </c>
      <c r="G8" s="23">
        <f t="shared" si="1"/>
        <v>0.82833295435895449</v>
      </c>
      <c r="H8" s="14" t="str">
        <f t="shared" si="2"/>
        <v>B - Moderate</v>
      </c>
    </row>
    <row r="9" spans="1:8" x14ac:dyDescent="0.35">
      <c r="A9" s="14" t="str">
        <f>Cleaned_Products!A6</f>
        <v>P1005</v>
      </c>
      <c r="B9" s="14" t="str">
        <f>Cleaned_Products!B6</f>
        <v>Rose Gold Bracelet #5</v>
      </c>
      <c r="C9" s="14" t="str">
        <f>Cleaned_Products!C6</f>
        <v>Bracelets</v>
      </c>
      <c r="D9" s="22">
        <f>SUMIF(Cleaned_Sales!$F$2:$F$714,A9,Cleaned_Sales!$K$2:$K$714)</f>
        <v>1613618</v>
      </c>
      <c r="E9" s="14">
        <f>SUMIF(Cleaned_Sales!$F$2:$F$714,A9,Cleaned_Sales!$H$2:$H$714)</f>
        <v>15</v>
      </c>
      <c r="F9" s="14">
        <f t="shared" si="0"/>
        <v>49</v>
      </c>
      <c r="G9" s="23">
        <f t="shared" si="1"/>
        <v>0.91476083042236489</v>
      </c>
      <c r="H9" s="14" t="str">
        <f t="shared" si="2"/>
        <v>B - Moderate</v>
      </c>
    </row>
    <row r="10" spans="1:8" x14ac:dyDescent="0.35">
      <c r="A10" s="14" t="str">
        <f>Cleaned_Products!A7</f>
        <v>P1006</v>
      </c>
      <c r="B10" s="14" t="str">
        <f>Cleaned_Products!B7</f>
        <v>Diamond Earring #6</v>
      </c>
      <c r="C10" s="14" t="str">
        <f>Cleaned_Products!C7</f>
        <v>Earrings</v>
      </c>
      <c r="D10" s="22">
        <f>SUMIF(Cleaned_Sales!$F$2:$F$714,A10,Cleaned_Sales!$K$2:$K$714)</f>
        <v>5735571.5</v>
      </c>
      <c r="E10" s="14">
        <f>SUMIF(Cleaned_Sales!$F$2:$F$714,A10,Cleaned_Sales!$H$2:$H$714)</f>
        <v>48</v>
      </c>
      <c r="F10" s="14">
        <f t="shared" si="0"/>
        <v>1</v>
      </c>
      <c r="G10" s="23">
        <f t="shared" si="1"/>
        <v>4.1028747226874329E-2</v>
      </c>
      <c r="H10" s="14" t="str">
        <f t="shared" si="2"/>
        <v>A - Top Contributor</v>
      </c>
    </row>
    <row r="11" spans="1:8" x14ac:dyDescent="0.35">
      <c r="A11" s="14" t="str">
        <f>Cleaned_Products!A8</f>
        <v>P1007</v>
      </c>
      <c r="B11" s="14" t="str">
        <f>Cleaned_Products!B8</f>
        <v>Silver Anklet #7</v>
      </c>
      <c r="C11" s="14" t="str">
        <f>Cleaned_Products!C8</f>
        <v>Anklets</v>
      </c>
      <c r="D11" s="22">
        <f>SUMIF(Cleaned_Sales!$F$2:$F$714,A11,Cleaned_Sales!$K$2:$K$714)</f>
        <v>2028667</v>
      </c>
      <c r="E11" s="14">
        <f>SUMIF(Cleaned_Sales!$F$2:$F$714,A11,Cleaned_Sales!$H$2:$H$714)</f>
        <v>22</v>
      </c>
      <c r="F11" s="14">
        <f t="shared" si="0"/>
        <v>39</v>
      </c>
      <c r="G11" s="23">
        <f t="shared" si="1"/>
        <v>0.78508269859506319</v>
      </c>
      <c r="H11" s="14" t="str">
        <f t="shared" si="2"/>
        <v>A - Top Contributor</v>
      </c>
    </row>
    <row r="12" spans="1:8" x14ac:dyDescent="0.35">
      <c r="A12" s="14" t="str">
        <f>Cleaned_Products!A9</f>
        <v>P1008</v>
      </c>
      <c r="B12" s="14" t="str">
        <f>Cleaned_Products!B9</f>
        <v>Platinum Earring #8</v>
      </c>
      <c r="C12" s="14" t="str">
        <f>Cleaned_Products!C9</f>
        <v>Earrings</v>
      </c>
      <c r="D12" s="22">
        <f>SUMIF(Cleaned_Sales!$F$2:$F$714,A12,Cleaned_Sales!$K$2:$K$714)</f>
        <v>2097610</v>
      </c>
      <c r="E12" s="14">
        <f>SUMIF(Cleaned_Sales!$F$2:$F$714,A12,Cleaned_Sales!$H$2:$H$714)</f>
        <v>19</v>
      </c>
      <c r="F12" s="14">
        <f t="shared" si="0"/>
        <v>33</v>
      </c>
      <c r="G12" s="23">
        <f t="shared" si="1"/>
        <v>0.69668235549299906</v>
      </c>
      <c r="H12" s="14" t="str">
        <f t="shared" si="2"/>
        <v>A - Top Contributor</v>
      </c>
    </row>
    <row r="13" spans="1:8" x14ac:dyDescent="0.35">
      <c r="A13" s="14" t="str">
        <f>Cleaned_Products!A10</f>
        <v>P1009</v>
      </c>
      <c r="B13" s="14" t="str">
        <f>Cleaned_Products!B10</f>
        <v>Silver Ring #9</v>
      </c>
      <c r="C13" s="14" t="str">
        <f>Cleaned_Products!C10</f>
        <v>Rings</v>
      </c>
      <c r="D13" s="22">
        <f>SUMIF(Cleaned_Sales!$F$2:$F$714,A13,Cleaned_Sales!$K$2:$K$714)</f>
        <v>3069356</v>
      </c>
      <c r="E13" s="14">
        <f>SUMIF(Cleaned_Sales!$F$2:$F$714,A13,Cleaned_Sales!$H$2:$H$714)</f>
        <v>23</v>
      </c>
      <c r="F13" s="14">
        <f t="shared" si="0"/>
        <v>12</v>
      </c>
      <c r="G13" s="23">
        <f t="shared" si="1"/>
        <v>0.31876498808378512</v>
      </c>
      <c r="H13" s="14" t="str">
        <f t="shared" si="2"/>
        <v>A - Top Contributor</v>
      </c>
    </row>
    <row r="14" spans="1:8" x14ac:dyDescent="0.35">
      <c r="A14" s="14" t="str">
        <f>Cleaned_Products!A11</f>
        <v>P1010</v>
      </c>
      <c r="B14" s="14" t="str">
        <f>Cleaned_Products!B11</f>
        <v>Rose Gold Bracelet #10</v>
      </c>
      <c r="C14" s="14" t="str">
        <f>Cleaned_Products!C11</f>
        <v>Bracelets</v>
      </c>
      <c r="D14" s="22">
        <f>SUMIF(Cleaned_Sales!$F$2:$F$714,A14,Cleaned_Sales!$K$2:$K$714)</f>
        <v>4017876.5</v>
      </c>
      <c r="E14" s="14">
        <f>SUMIF(Cleaned_Sales!$F$2:$F$714,A14,Cleaned_Sales!$H$2:$H$714)</f>
        <v>30</v>
      </c>
      <c r="F14" s="14">
        <f t="shared" si="0"/>
        <v>2</v>
      </c>
      <c r="G14" s="23">
        <f t="shared" si="1"/>
        <v>6.9770161976441744E-2</v>
      </c>
      <c r="H14" s="14" t="str">
        <f t="shared" si="2"/>
        <v>A - Top Contributor</v>
      </c>
    </row>
    <row r="15" spans="1:8" x14ac:dyDescent="0.35">
      <c r="A15" s="14" t="str">
        <f>Cleaned_Products!A12</f>
        <v>P1011</v>
      </c>
      <c r="B15" s="14" t="str">
        <f>Cleaned_Products!B12</f>
        <v>Gold Bracelet #11</v>
      </c>
      <c r="C15" s="14" t="str">
        <f>Cleaned_Products!C12</f>
        <v>Bracelets</v>
      </c>
      <c r="D15" s="22">
        <f>SUMIF(Cleaned_Sales!$F$2:$F$714,A15,Cleaned_Sales!$K$2:$K$714)</f>
        <v>2288812</v>
      </c>
      <c r="E15" s="14">
        <f>SUMIF(Cleaned_Sales!$F$2:$F$714,A15,Cleaned_Sales!$H$2:$H$714)</f>
        <v>22</v>
      </c>
      <c r="F15" s="14">
        <f t="shared" si="0"/>
        <v>31</v>
      </c>
      <c r="G15" s="23">
        <f t="shared" si="1"/>
        <v>0.66630996554207622</v>
      </c>
      <c r="H15" s="14" t="str">
        <f t="shared" si="2"/>
        <v>A - Top Contributor</v>
      </c>
    </row>
    <row r="16" spans="1:8" x14ac:dyDescent="0.35">
      <c r="A16" s="14" t="str">
        <f>Cleaned_Products!A13</f>
        <v>P1012</v>
      </c>
      <c r="B16" s="14" t="str">
        <f>Cleaned_Products!B13</f>
        <v>Gold Necklace #12</v>
      </c>
      <c r="C16" s="14" t="str">
        <f>Cleaned_Products!C13</f>
        <v>Necklaces</v>
      </c>
      <c r="D16" s="22">
        <f>SUMIF(Cleaned_Sales!$F$2:$F$714,A16,Cleaned_Sales!$K$2:$K$714)</f>
        <v>2542479</v>
      </c>
      <c r="E16" s="14">
        <f>SUMIF(Cleaned_Sales!$F$2:$F$714,A16,Cleaned_Sales!$H$2:$H$714)</f>
        <v>19</v>
      </c>
      <c r="F16" s="14">
        <f t="shared" si="0"/>
        <v>22</v>
      </c>
      <c r="G16" s="23">
        <f t="shared" si="1"/>
        <v>0.51072871733502723</v>
      </c>
      <c r="H16" s="14" t="str">
        <f t="shared" si="2"/>
        <v>A - Top Contributor</v>
      </c>
    </row>
    <row r="17" spans="1:8" x14ac:dyDescent="0.35">
      <c r="A17" s="14" t="str">
        <f>Cleaned_Products!A14</f>
        <v>P1013</v>
      </c>
      <c r="B17" s="14" t="str">
        <f>Cleaned_Products!B14</f>
        <v>Diamond Earring #13</v>
      </c>
      <c r="C17" s="14" t="str">
        <f>Cleaned_Products!C14</f>
        <v>Earrings</v>
      </c>
      <c r="D17" s="22">
        <f>SUMIF(Cleaned_Sales!$F$2:$F$714,A17,Cleaned_Sales!$K$2:$K$714)</f>
        <v>1653864</v>
      </c>
      <c r="E17" s="14">
        <f>SUMIF(Cleaned_Sales!$F$2:$F$714,A17,Cleaned_Sales!$H$2:$H$714)</f>
        <v>12</v>
      </c>
      <c r="F17" s="14">
        <f t="shared" si="0"/>
        <v>47</v>
      </c>
      <c r="G17" s="23">
        <f t="shared" si="1"/>
        <v>0.89148814221752093</v>
      </c>
      <c r="H17" s="14" t="str">
        <f t="shared" si="2"/>
        <v>B - Moderate</v>
      </c>
    </row>
    <row r="18" spans="1:8" x14ac:dyDescent="0.35">
      <c r="A18" s="14" t="str">
        <f>Cleaned_Products!A15</f>
        <v>P1014</v>
      </c>
      <c r="B18" s="14" t="str">
        <f>Cleaned_Products!B15</f>
        <v>Diamond Nose Pin #14</v>
      </c>
      <c r="C18" s="14" t="str">
        <f>Cleaned_Products!C15</f>
        <v>Nose Pins</v>
      </c>
      <c r="D18" s="22">
        <f>SUMIF(Cleaned_Sales!$F$2:$F$714,A18,Cleaned_Sales!$K$2:$K$714)</f>
        <v>2412601</v>
      </c>
      <c r="E18" s="14">
        <f>SUMIF(Cleaned_Sales!$F$2:$F$714,A18,Cleaned_Sales!$H$2:$H$714)</f>
        <v>23</v>
      </c>
      <c r="F18" s="14">
        <f t="shared" si="0"/>
        <v>27</v>
      </c>
      <c r="G18" s="23">
        <f t="shared" si="1"/>
        <v>0.59882184046406406</v>
      </c>
      <c r="H18" s="14" t="str">
        <f t="shared" si="2"/>
        <v>A - Top Contributor</v>
      </c>
    </row>
    <row r="19" spans="1:8" x14ac:dyDescent="0.35">
      <c r="A19" s="14" t="str">
        <f>Cleaned_Products!A16</f>
        <v>P1015</v>
      </c>
      <c r="B19" s="14" t="str">
        <f>Cleaned_Products!B16</f>
        <v>Platinum Bracelet #15</v>
      </c>
      <c r="C19" s="14" t="str">
        <f>Cleaned_Products!C16</f>
        <v>Bracelets</v>
      </c>
      <c r="D19" s="22">
        <f>SUMIF(Cleaned_Sales!$F$2:$F$714,A19,Cleaned_Sales!$K$2:$K$714)</f>
        <v>745297.5</v>
      </c>
      <c r="E19" s="14">
        <f>SUMIF(Cleaned_Sales!$F$2:$F$714,A19,Cleaned_Sales!$H$2:$H$714)</f>
        <v>8</v>
      </c>
      <c r="F19" s="14">
        <f t="shared" si="0"/>
        <v>59</v>
      </c>
      <c r="G19" s="23">
        <f t="shared" si="1"/>
        <v>0.99676090823687957</v>
      </c>
      <c r="H19" s="14" t="str">
        <f t="shared" si="2"/>
        <v>C - Low</v>
      </c>
    </row>
    <row r="20" spans="1:8" x14ac:dyDescent="0.35">
      <c r="A20" s="14" t="str">
        <f>Cleaned_Products!A17</f>
        <v>P1016</v>
      </c>
      <c r="B20" s="14" t="str">
        <f>Cleaned_Products!B17</f>
        <v>Diamond Necklace #16</v>
      </c>
      <c r="C20" s="14" t="str">
        <f>Cleaned_Products!C17</f>
        <v>Necklaces</v>
      </c>
      <c r="D20" s="22">
        <f>SUMIF(Cleaned_Sales!$F$2:$F$714,A20,Cleaned_Sales!$K$2:$K$714)</f>
        <v>452805.5</v>
      </c>
      <c r="E20" s="14">
        <f>SUMIF(Cleaned_Sales!$F$2:$F$714,A20,Cleaned_Sales!$H$2:$H$714)</f>
        <v>5</v>
      </c>
      <c r="F20" s="14">
        <f t="shared" si="0"/>
        <v>60</v>
      </c>
      <c r="G20" s="23">
        <f t="shared" si="1"/>
        <v>1</v>
      </c>
      <c r="H20" s="14" t="str">
        <f t="shared" si="2"/>
        <v>C - Low</v>
      </c>
    </row>
    <row r="21" spans="1:8" x14ac:dyDescent="0.35">
      <c r="A21" s="14" t="str">
        <f>Cleaned_Products!A18</f>
        <v>P1017</v>
      </c>
      <c r="B21" s="14" t="str">
        <f>Cleaned_Products!B18</f>
        <v>Platinum Necklace #17</v>
      </c>
      <c r="C21" s="14" t="str">
        <f>Cleaned_Products!C18</f>
        <v>Necklaces</v>
      </c>
      <c r="D21" s="22">
        <f>SUMIF(Cleaned_Sales!$F$2:$F$714,A21,Cleaned_Sales!$K$2:$K$714)</f>
        <v>858104</v>
      </c>
      <c r="E21" s="14">
        <f>SUMIF(Cleaned_Sales!$F$2:$F$714,A21,Cleaned_Sales!$H$2:$H$714)</f>
        <v>8</v>
      </c>
      <c r="F21" s="14">
        <f t="shared" si="0"/>
        <v>58</v>
      </c>
      <c r="G21" s="23">
        <f t="shared" si="1"/>
        <v>0.99142950878761427</v>
      </c>
      <c r="H21" s="14" t="str">
        <f t="shared" si="2"/>
        <v>C - Low</v>
      </c>
    </row>
    <row r="22" spans="1:8" x14ac:dyDescent="0.35">
      <c r="A22" s="14" t="str">
        <f>Cleaned_Products!A19</f>
        <v>P1018</v>
      </c>
      <c r="B22" s="14" t="str">
        <f>Cleaned_Products!B19</f>
        <v>Platinum Ring #18</v>
      </c>
      <c r="C22" s="14" t="str">
        <f>Cleaned_Products!C19</f>
        <v>Rings</v>
      </c>
      <c r="D22" s="22">
        <f>SUMIF(Cleaned_Sales!$F$2:$F$714,A22,Cleaned_Sales!$K$2:$K$714)</f>
        <v>3292082.5</v>
      </c>
      <c r="E22" s="14">
        <f>SUMIF(Cleaned_Sales!$F$2:$F$714,A22,Cleaned_Sales!$H$2:$H$714)</f>
        <v>23</v>
      </c>
      <c r="F22" s="14">
        <f t="shared" si="0"/>
        <v>9</v>
      </c>
      <c r="G22" s="23">
        <f t="shared" si="1"/>
        <v>0.25077723130134133</v>
      </c>
      <c r="H22" s="14" t="str">
        <f t="shared" si="2"/>
        <v>A - Top Contributor</v>
      </c>
    </row>
    <row r="23" spans="1:8" x14ac:dyDescent="0.35">
      <c r="A23" s="14" t="str">
        <f>Cleaned_Products!A20</f>
        <v>P1019</v>
      </c>
      <c r="B23" s="14" t="str">
        <f>Cleaned_Products!B20</f>
        <v>Diamond Bangle #19</v>
      </c>
      <c r="C23" s="14" t="str">
        <f>Cleaned_Products!C20</f>
        <v>Bangles</v>
      </c>
      <c r="D23" s="22">
        <f>SUMIF(Cleaned_Sales!$F$2:$F$714,A23,Cleaned_Sales!$K$2:$K$714)</f>
        <v>2806410</v>
      </c>
      <c r="E23" s="14">
        <f>SUMIF(Cleaned_Sales!$F$2:$F$714,A23,Cleaned_Sales!$H$2:$H$714)</f>
        <v>21</v>
      </c>
      <c r="F23" s="14">
        <f t="shared" si="0"/>
        <v>14</v>
      </c>
      <c r="G23" s="23">
        <f t="shared" si="1"/>
        <v>0.35918248577401096</v>
      </c>
      <c r="H23" s="14" t="str">
        <f t="shared" si="2"/>
        <v>A - Top Contributor</v>
      </c>
    </row>
    <row r="24" spans="1:8" x14ac:dyDescent="0.35">
      <c r="A24" s="14" t="str">
        <f>Cleaned_Products!A21</f>
        <v>P1020</v>
      </c>
      <c r="B24" s="14" t="str">
        <f>Cleaned_Products!B21</f>
        <v>Silver Ring #20</v>
      </c>
      <c r="C24" s="14" t="str">
        <f>Cleaned_Products!C21</f>
        <v>Rings</v>
      </c>
      <c r="D24" s="22">
        <f>SUMIF(Cleaned_Sales!$F$2:$F$714,A24,Cleaned_Sales!$K$2:$K$714)</f>
        <v>1639763.5</v>
      </c>
      <c r="E24" s="14">
        <f>SUMIF(Cleaned_Sales!$F$2:$F$714,A24,Cleaned_Sales!$H$2:$H$714)</f>
        <v>13</v>
      </c>
      <c r="F24" s="14">
        <f t="shared" si="0"/>
        <v>48</v>
      </c>
      <c r="G24" s="23">
        <f t="shared" si="1"/>
        <v>0.90321800072479519</v>
      </c>
      <c r="H24" s="14" t="str">
        <f t="shared" si="2"/>
        <v>B - Moderate</v>
      </c>
    </row>
    <row r="25" spans="1:8" x14ac:dyDescent="0.35">
      <c r="A25" s="14" t="str">
        <f>Cleaned_Products!A22</f>
        <v>P1021</v>
      </c>
      <c r="B25" s="14" t="str">
        <f>Cleaned_Products!B22</f>
        <v>Silver Bracelet #21</v>
      </c>
      <c r="C25" s="14" t="str">
        <f>Cleaned_Products!C22</f>
        <v>Bracelets</v>
      </c>
      <c r="D25" s="22">
        <f>SUMIF(Cleaned_Sales!$F$2:$F$714,A25,Cleaned_Sales!$K$2:$K$714)</f>
        <v>3166502.5</v>
      </c>
      <c r="E25" s="14">
        <f>SUMIF(Cleaned_Sales!$F$2:$F$714,A25,Cleaned_Sales!$H$2:$H$714)</f>
        <v>25</v>
      </c>
      <c r="F25" s="14">
        <f t="shared" si="0"/>
        <v>11</v>
      </c>
      <c r="G25" s="23">
        <f t="shared" si="1"/>
        <v>0.29680870500488177</v>
      </c>
      <c r="H25" s="14" t="str">
        <f t="shared" si="2"/>
        <v>A - Top Contributor</v>
      </c>
    </row>
    <row r="26" spans="1:8" x14ac:dyDescent="0.35">
      <c r="A26" s="14" t="str">
        <f>Cleaned_Products!A23</f>
        <v>P1022</v>
      </c>
      <c r="B26" s="14" t="str">
        <f>Cleaned_Products!B23</f>
        <v>Diamond Pendant #22</v>
      </c>
      <c r="C26" s="14" t="str">
        <f>Cleaned_Products!C23</f>
        <v>Pendants</v>
      </c>
      <c r="D26" s="22">
        <f>SUMIF(Cleaned_Sales!$F$2:$F$714,A26,Cleaned_Sales!$K$2:$K$714)</f>
        <v>2843712.5</v>
      </c>
      <c r="E26" s="14">
        <f>SUMIF(Cleaned_Sales!$F$2:$F$714,A26,Cleaned_Sales!$H$2:$H$714)</f>
        <v>22</v>
      </c>
      <c r="F26" s="14">
        <f t="shared" si="0"/>
        <v>13</v>
      </c>
      <c r="G26" s="23">
        <f t="shared" si="1"/>
        <v>0.33910715648817213</v>
      </c>
      <c r="H26" s="14" t="str">
        <f t="shared" si="2"/>
        <v>A - Top Contributor</v>
      </c>
    </row>
    <row r="27" spans="1:8" x14ac:dyDescent="0.35">
      <c r="A27" s="14" t="str">
        <f>Cleaned_Products!A24</f>
        <v>P1023</v>
      </c>
      <c r="B27" s="14" t="str">
        <f>Cleaned_Products!B24</f>
        <v>Gold Necklace #23</v>
      </c>
      <c r="C27" s="14" t="str">
        <f>Cleaned_Products!C24</f>
        <v>Necklaces</v>
      </c>
      <c r="D27" s="22">
        <f>SUMIF(Cleaned_Sales!$F$2:$F$714,A27,Cleaned_Sales!$K$2:$K$714)</f>
        <v>1045101</v>
      </c>
      <c r="E27" s="14">
        <f>SUMIF(Cleaned_Sales!$F$2:$F$714,A27,Cleaned_Sales!$H$2:$H$714)</f>
        <v>12</v>
      </c>
      <c r="F27" s="14">
        <f t="shared" si="0"/>
        <v>56</v>
      </c>
      <c r="G27" s="23">
        <f t="shared" si="1"/>
        <v>0.97896784475776855</v>
      </c>
      <c r="H27" s="14" t="str">
        <f t="shared" si="2"/>
        <v>C - Low</v>
      </c>
    </row>
    <row r="28" spans="1:8" x14ac:dyDescent="0.35">
      <c r="A28" s="14" t="str">
        <f>Cleaned_Products!A25</f>
        <v>P1024</v>
      </c>
      <c r="B28" s="14" t="str">
        <f>Cleaned_Products!B25</f>
        <v>Gold Bracelet #24</v>
      </c>
      <c r="C28" s="14" t="str">
        <f>Cleaned_Products!C25</f>
        <v>Bracelets</v>
      </c>
      <c r="D28" s="22">
        <f>SUMIF(Cleaned_Sales!$F$2:$F$714,A28,Cleaned_Sales!$K$2:$K$714)</f>
        <v>3612167.5</v>
      </c>
      <c r="E28" s="14">
        <f>SUMIF(Cleaned_Sales!$F$2:$F$714,A28,Cleaned_Sales!$H$2:$H$714)</f>
        <v>26</v>
      </c>
      <c r="F28" s="14">
        <f t="shared" si="0"/>
        <v>6</v>
      </c>
      <c r="G28" s="23">
        <f t="shared" si="1"/>
        <v>0.17726596020367716</v>
      </c>
      <c r="H28" s="14" t="str">
        <f t="shared" si="2"/>
        <v>A - Top Contributor</v>
      </c>
    </row>
    <row r="29" spans="1:8" x14ac:dyDescent="0.35">
      <c r="A29" s="14" t="str">
        <f>Cleaned_Products!A26</f>
        <v>P1025</v>
      </c>
      <c r="B29" s="14" t="str">
        <f>Cleaned_Products!B26</f>
        <v>Diamond Earring #25</v>
      </c>
      <c r="C29" s="14" t="str">
        <f>Cleaned_Products!C26</f>
        <v>Earrings</v>
      </c>
      <c r="D29" s="22">
        <f>SUMIF(Cleaned_Sales!$F$2:$F$714,A29,Cleaned_Sales!$K$2:$K$714)</f>
        <v>1869161</v>
      </c>
      <c r="E29" s="14">
        <f>SUMIF(Cleaned_Sales!$F$2:$F$714,A29,Cleaned_Sales!$H$2:$H$714)</f>
        <v>16</v>
      </c>
      <c r="F29" s="14">
        <f t="shared" si="0"/>
        <v>43</v>
      </c>
      <c r="G29" s="23">
        <f t="shared" si="1"/>
        <v>0.8417037813454773</v>
      </c>
      <c r="H29" s="14" t="str">
        <f t="shared" si="2"/>
        <v>B - Moderate</v>
      </c>
    </row>
    <row r="30" spans="1:8" x14ac:dyDescent="0.35">
      <c r="A30" s="14" t="str">
        <f>Cleaned_Products!A27</f>
        <v>P1026</v>
      </c>
      <c r="B30" s="14" t="str">
        <f>Cleaned_Products!B27</f>
        <v>Silver Necklace #26</v>
      </c>
      <c r="C30" s="14" t="str">
        <f>Cleaned_Products!C27</f>
        <v>Necklaces</v>
      </c>
      <c r="D30" s="22">
        <f>SUMIF(Cleaned_Sales!$F$2:$F$714,A30,Cleaned_Sales!$K$2:$K$714)</f>
        <v>1427414</v>
      </c>
      <c r="E30" s="14">
        <f>SUMIF(Cleaned_Sales!$F$2:$F$714,A30,Cleaned_Sales!$H$2:$H$714)</f>
        <v>9</v>
      </c>
      <c r="F30" s="14">
        <f t="shared" si="0"/>
        <v>52</v>
      </c>
      <c r="G30" s="23">
        <f t="shared" si="1"/>
        <v>0.94625078287532161</v>
      </c>
      <c r="H30" s="14" t="str">
        <f t="shared" si="2"/>
        <v>B - Moderate</v>
      </c>
    </row>
    <row r="31" spans="1:8" x14ac:dyDescent="0.35">
      <c r="A31" s="14" t="str">
        <f>Cleaned_Products!A28</f>
        <v>P1027</v>
      </c>
      <c r="B31" s="14" t="str">
        <f>Cleaned_Products!B28</f>
        <v>Diamond Anklet #27</v>
      </c>
      <c r="C31" s="14" t="str">
        <f>Cleaned_Products!C28</f>
        <v>Anklets</v>
      </c>
      <c r="D31" s="22">
        <f>SUMIF(Cleaned_Sales!$F$2:$F$714,A31,Cleaned_Sales!$K$2:$K$714)</f>
        <v>2458565</v>
      </c>
      <c r="E31" s="14">
        <f>SUMIF(Cleaned_Sales!$F$2:$F$714,A31,Cleaned_Sales!$H$2:$H$714)</f>
        <v>17</v>
      </c>
      <c r="F31" s="14">
        <f t="shared" si="0"/>
        <v>25</v>
      </c>
      <c r="G31" s="23">
        <f t="shared" si="1"/>
        <v>0.56400840061979496</v>
      </c>
      <c r="H31" s="14" t="str">
        <f t="shared" si="2"/>
        <v>A - Top Contributor</v>
      </c>
    </row>
    <row r="32" spans="1:8" x14ac:dyDescent="0.35">
      <c r="A32" s="14" t="str">
        <f>Cleaned_Products!A29</f>
        <v>P1028</v>
      </c>
      <c r="B32" s="14" t="str">
        <f>Cleaned_Products!B29</f>
        <v>Gold Nose Pin #28</v>
      </c>
      <c r="C32" s="14" t="str">
        <f>Cleaned_Products!C29</f>
        <v>Nose Pins</v>
      </c>
      <c r="D32" s="22">
        <f>SUMIF(Cleaned_Sales!$F$2:$F$714,A32,Cleaned_Sales!$K$2:$K$714)</f>
        <v>2148267</v>
      </c>
      <c r="E32" s="14">
        <f>SUMIF(Cleaned_Sales!$F$2:$F$714,A32,Cleaned_Sales!$H$2:$H$714)</f>
        <v>20</v>
      </c>
      <c r="F32" s="14">
        <f t="shared" si="0"/>
        <v>32</v>
      </c>
      <c r="G32" s="23">
        <f t="shared" si="1"/>
        <v>0.68167734501225374</v>
      </c>
      <c r="H32" s="14" t="str">
        <f t="shared" si="2"/>
        <v>A - Top Contributor</v>
      </c>
    </row>
    <row r="33" spans="1:8" x14ac:dyDescent="0.35">
      <c r="A33" s="14" t="str">
        <f>Cleaned_Products!A30</f>
        <v>P1029</v>
      </c>
      <c r="B33" s="14" t="str">
        <f>Cleaned_Products!B30</f>
        <v>Silver Bangle #29</v>
      </c>
      <c r="C33" s="14" t="str">
        <f>Cleaned_Products!C30</f>
        <v>Bangles</v>
      </c>
      <c r="D33" s="22">
        <f>SUMIF(Cleaned_Sales!$F$2:$F$714,A33,Cleaned_Sales!$K$2:$K$714)</f>
        <v>2664618.5</v>
      </c>
      <c r="E33" s="14">
        <f>SUMIF(Cleaned_Sales!$F$2:$F$714,A33,Cleaned_Sales!$H$2:$H$714)</f>
        <v>23</v>
      </c>
      <c r="F33" s="14">
        <f t="shared" si="0"/>
        <v>17</v>
      </c>
      <c r="G33" s="23">
        <f t="shared" si="1"/>
        <v>0.41757447822982297</v>
      </c>
      <c r="H33" s="14" t="str">
        <f t="shared" si="2"/>
        <v>A - Top Contributor</v>
      </c>
    </row>
    <row r="34" spans="1:8" x14ac:dyDescent="0.35">
      <c r="A34" s="14" t="str">
        <f>Cleaned_Products!A31</f>
        <v>P1030</v>
      </c>
      <c r="B34" s="14" t="str">
        <f>Cleaned_Products!B31</f>
        <v>Rose Gold Nose Pin #30</v>
      </c>
      <c r="C34" s="14" t="str">
        <f>Cleaned_Products!C31</f>
        <v>Nose Pins</v>
      </c>
      <c r="D34" s="22">
        <f>SUMIF(Cleaned_Sales!$F$2:$F$714,A34,Cleaned_Sales!$K$2:$K$714)</f>
        <v>3908416.5</v>
      </c>
      <c r="E34" s="14">
        <f>SUMIF(Cleaned_Sales!$F$2:$F$714,A34,Cleaned_Sales!$H$2:$H$714)</f>
        <v>33</v>
      </c>
      <c r="F34" s="14">
        <f t="shared" si="0"/>
        <v>3</v>
      </c>
      <c r="G34" s="23">
        <f t="shared" si="1"/>
        <v>9.7728567278484418E-2</v>
      </c>
      <c r="H34" s="14" t="str">
        <f t="shared" si="2"/>
        <v>A - Top Contributor</v>
      </c>
    </row>
    <row r="35" spans="1:8" x14ac:dyDescent="0.35">
      <c r="A35" s="14" t="str">
        <f>Cleaned_Products!A32</f>
        <v>P1031</v>
      </c>
      <c r="B35" s="14" t="str">
        <f>Cleaned_Products!B32</f>
        <v>Rose Gold Bracelet #31</v>
      </c>
      <c r="C35" s="14" t="str">
        <f>Cleaned_Products!C32</f>
        <v>Bracelets</v>
      </c>
      <c r="D35" s="22">
        <f>SUMIF(Cleaned_Sales!$F$2:$F$714,A35,Cleaned_Sales!$K$2:$K$714)</f>
        <v>1164055</v>
      </c>
      <c r="E35" s="14">
        <f>SUMIF(Cleaned_Sales!$F$2:$F$714,A35,Cleaned_Sales!$H$2:$H$714)</f>
        <v>13</v>
      </c>
      <c r="F35" s="14">
        <f t="shared" si="0"/>
        <v>55</v>
      </c>
      <c r="G35" s="23">
        <f t="shared" si="1"/>
        <v>0.97149183565291242</v>
      </c>
      <c r="H35" s="14" t="str">
        <f t="shared" si="2"/>
        <v>C - Low</v>
      </c>
    </row>
    <row r="36" spans="1:8" x14ac:dyDescent="0.35">
      <c r="A36" s="14" t="str">
        <f>Cleaned_Products!A33</f>
        <v>P1032</v>
      </c>
      <c r="B36" s="14" t="str">
        <f>Cleaned_Products!B33</f>
        <v>Gold Anklet #32</v>
      </c>
      <c r="C36" s="14" t="str">
        <f>Cleaned_Products!C33</f>
        <v>Anklets</v>
      </c>
      <c r="D36" s="22">
        <f>SUMIF(Cleaned_Sales!$F$2:$F$714,A36,Cleaned_Sales!$K$2:$K$714)</f>
        <v>3586470</v>
      </c>
      <c r="E36" s="14">
        <f>SUMIF(Cleaned_Sales!$F$2:$F$714,A36,Cleaned_Sales!$H$2:$H$714)</f>
        <v>31</v>
      </c>
      <c r="F36" s="14">
        <f t="shared" si="0"/>
        <v>7</v>
      </c>
      <c r="G36" s="23">
        <f t="shared" si="1"/>
        <v>0.20292135846115997</v>
      </c>
      <c r="H36" s="14" t="str">
        <f t="shared" si="2"/>
        <v>A - Top Contributor</v>
      </c>
    </row>
    <row r="37" spans="1:8" x14ac:dyDescent="0.35">
      <c r="A37" s="14" t="str">
        <f>Cleaned_Products!A34</f>
        <v>P1033</v>
      </c>
      <c r="B37" s="14" t="str">
        <f>Cleaned_Products!B34</f>
        <v>Gold Pendant #33</v>
      </c>
      <c r="C37" s="14" t="str">
        <f>Cleaned_Products!C34</f>
        <v>Pendants</v>
      </c>
      <c r="D37" s="22">
        <f>SUMIF(Cleaned_Sales!$F$2:$F$714,A37,Cleaned_Sales!$K$2:$K$714)</f>
        <v>2017374</v>
      </c>
      <c r="E37" s="14">
        <f>SUMIF(Cleaned_Sales!$F$2:$F$714,A37,Cleaned_Sales!$H$2:$H$714)</f>
        <v>14</v>
      </c>
      <c r="F37" s="14">
        <f t="shared" ref="F37:F64" si="3">RANK(D37,$D$5:$D$64)</f>
        <v>40</v>
      </c>
      <c r="G37" s="23">
        <f t="shared" ref="G37:G68" si="4">SUMIF($F$5:$F$64,"&lt;="&amp;F37,$D$5:$D$64)/SUM($D$5:$D$64)</f>
        <v>0.7995137501316133</v>
      </c>
      <c r="H37" s="14" t="str">
        <f t="shared" ref="H37:H68" si="5">IF(G37&lt;=0.8,"A - Top Contributor",IF(G37&lt;=0.95,"B - Moderate","C - Low"))</f>
        <v>A - Top Contributor</v>
      </c>
    </row>
    <row r="38" spans="1:8" x14ac:dyDescent="0.35">
      <c r="A38" s="14" t="str">
        <f>Cleaned_Products!A35</f>
        <v>P1034</v>
      </c>
      <c r="B38" s="14" t="str">
        <f>Cleaned_Products!B35</f>
        <v>Platinum Pendant #34</v>
      </c>
      <c r="C38" s="14" t="str">
        <f>Cleaned_Products!C35</f>
        <v>Pendants</v>
      </c>
      <c r="D38" s="22">
        <f>SUMIF(Cleaned_Sales!$F$2:$F$714,A38,Cleaned_Sales!$K$2:$K$714)</f>
        <v>2073422</v>
      </c>
      <c r="E38" s="14">
        <f>SUMIF(Cleaned_Sales!$F$2:$F$714,A38,Cleaned_Sales!$H$2:$H$714)</f>
        <v>15</v>
      </c>
      <c r="F38" s="14">
        <f t="shared" si="3"/>
        <v>35</v>
      </c>
      <c r="G38" s="23">
        <f t="shared" si="4"/>
        <v>0.72637900814764034</v>
      </c>
      <c r="H38" s="14" t="str">
        <f t="shared" si="5"/>
        <v>A - Top Contributor</v>
      </c>
    </row>
    <row r="39" spans="1:8" x14ac:dyDescent="0.35">
      <c r="A39" s="14" t="str">
        <f>Cleaned_Products!A36</f>
        <v>P1035</v>
      </c>
      <c r="B39" s="14" t="str">
        <f>Cleaned_Products!B36</f>
        <v>Rose Gold Bracelet #35</v>
      </c>
      <c r="C39" s="14" t="str">
        <f>Cleaned_Products!C36</f>
        <v>Bracelets</v>
      </c>
      <c r="D39" s="22">
        <f>SUMIF(Cleaned_Sales!$F$2:$F$714,A39,Cleaned_Sales!$K$2:$K$714)</f>
        <v>2069529</v>
      </c>
      <c r="E39" s="14">
        <f>SUMIF(Cleaned_Sales!$F$2:$F$714,A39,Cleaned_Sales!$H$2:$H$714)</f>
        <v>18</v>
      </c>
      <c r="F39" s="14">
        <f t="shared" si="3"/>
        <v>36</v>
      </c>
      <c r="G39" s="23">
        <f t="shared" si="4"/>
        <v>0.74118314444333222</v>
      </c>
      <c r="H39" s="14" t="str">
        <f t="shared" si="5"/>
        <v>A - Top Contributor</v>
      </c>
    </row>
    <row r="40" spans="1:8" x14ac:dyDescent="0.35">
      <c r="A40" s="14" t="str">
        <f>Cleaned_Products!A37</f>
        <v>P1036</v>
      </c>
      <c r="B40" s="14" t="str">
        <f>Cleaned_Products!B37</f>
        <v>Diamond Necklace #36</v>
      </c>
      <c r="C40" s="14" t="str">
        <f>Cleaned_Products!C37</f>
        <v>Necklaces</v>
      </c>
      <c r="D40" s="22">
        <f>SUMIF(Cleaned_Sales!$F$2:$F$714,A40,Cleaned_Sales!$K$2:$K$714)</f>
        <v>3710142.5</v>
      </c>
      <c r="E40" s="14">
        <f>SUMIF(Cleaned_Sales!$F$2:$F$714,A40,Cleaned_Sales!$H$2:$H$714)</f>
        <v>26</v>
      </c>
      <c r="F40" s="14">
        <f t="shared" si="3"/>
        <v>5</v>
      </c>
      <c r="G40" s="23">
        <f t="shared" si="4"/>
        <v>0.15142673785266461</v>
      </c>
      <c r="H40" s="14" t="str">
        <f t="shared" si="5"/>
        <v>A - Top Contributor</v>
      </c>
    </row>
    <row r="41" spans="1:8" x14ac:dyDescent="0.35">
      <c r="A41" s="14" t="str">
        <f>Cleaned_Products!A38</f>
        <v>P1037</v>
      </c>
      <c r="B41" s="14" t="str">
        <f>Cleaned_Products!B38</f>
        <v>Platinum Bracelet #37</v>
      </c>
      <c r="C41" s="14" t="str">
        <f>Cleaned_Products!C38</f>
        <v>Bracelets</v>
      </c>
      <c r="D41" s="22">
        <f>SUMIF(Cleaned_Sales!$F$2:$F$714,A41,Cleaned_Sales!$K$2:$K$714)</f>
        <v>2408161.5</v>
      </c>
      <c r="E41" s="14">
        <f>SUMIF(Cleaned_Sales!$F$2:$F$714,A41,Cleaned_Sales!$H$2:$H$714)</f>
        <v>19</v>
      </c>
      <c r="F41" s="14">
        <f t="shared" si="3"/>
        <v>28</v>
      </c>
      <c r="G41" s="23">
        <f t="shared" si="4"/>
        <v>0.61604834517505769</v>
      </c>
      <c r="H41" s="14" t="str">
        <f t="shared" si="5"/>
        <v>A - Top Contributor</v>
      </c>
    </row>
    <row r="42" spans="1:8" x14ac:dyDescent="0.35">
      <c r="A42" s="14" t="str">
        <f>Cleaned_Products!A39</f>
        <v>P1038</v>
      </c>
      <c r="B42" s="14" t="str">
        <f>Cleaned_Products!B39</f>
        <v>Rose Gold Bangle #38</v>
      </c>
      <c r="C42" s="14" t="str">
        <f>Cleaned_Products!C39</f>
        <v>Bracelets</v>
      </c>
      <c r="D42" s="22">
        <f>SUMIF(Cleaned_Sales!$F$2:$F$714,A42,Cleaned_Sales!$K$2:$K$714)</f>
        <v>883961.5</v>
      </c>
      <c r="E42" s="14">
        <f>SUMIF(Cleaned_Sales!$F$2:$F$714,A42,Cleaned_Sales!$H$2:$H$714)</f>
        <v>12</v>
      </c>
      <c r="F42" s="14">
        <f t="shared" si="3"/>
        <v>57</v>
      </c>
      <c r="G42" s="23">
        <f t="shared" si="4"/>
        <v>0.98529116109020176</v>
      </c>
      <c r="H42" s="14" t="str">
        <f t="shared" si="5"/>
        <v>C - Low</v>
      </c>
    </row>
    <row r="43" spans="1:8" x14ac:dyDescent="0.35">
      <c r="A43" s="14" t="str">
        <f>Cleaned_Products!A40</f>
        <v>P1039</v>
      </c>
      <c r="B43" s="14" t="str">
        <f>Cleaned_Products!B40</f>
        <v>Platinum Nose Pin #39</v>
      </c>
      <c r="C43" s="14" t="str">
        <f>Cleaned_Products!C40</f>
        <v>Nose Pins</v>
      </c>
      <c r="D43" s="22">
        <f>SUMIF(Cleaned_Sales!$F$2:$F$714,A43,Cleaned_Sales!$K$2:$K$714)</f>
        <v>2625664.5</v>
      </c>
      <c r="E43" s="14">
        <f>SUMIF(Cleaned_Sales!$F$2:$F$714,A43,Cleaned_Sales!$H$2:$H$714)</f>
        <v>17</v>
      </c>
      <c r="F43" s="14">
        <f t="shared" si="3"/>
        <v>20</v>
      </c>
      <c r="G43" s="23">
        <f t="shared" si="4"/>
        <v>0.47403109036798163</v>
      </c>
      <c r="H43" s="14" t="str">
        <f t="shared" si="5"/>
        <v>A - Top Contributor</v>
      </c>
    </row>
    <row r="44" spans="1:8" x14ac:dyDescent="0.35">
      <c r="A44" s="14" t="str">
        <f>Cleaned_Products!A41</f>
        <v>P1040</v>
      </c>
      <c r="B44" s="14" t="str">
        <f>Cleaned_Products!B41</f>
        <v>Silver Nose Pin #40</v>
      </c>
      <c r="C44" s="14" t="str">
        <f>Cleaned_Products!C41</f>
        <v>Nose Pins</v>
      </c>
      <c r="D44" s="22">
        <f>SUMIF(Cleaned_Sales!$F$2:$F$714,A44,Cleaned_Sales!$K$2:$K$714)</f>
        <v>1695391</v>
      </c>
      <c r="E44" s="14">
        <f>SUMIF(Cleaned_Sales!$F$2:$F$714,A44,Cleaned_Sales!$H$2:$H$714)</f>
        <v>17</v>
      </c>
      <c r="F44" s="14">
        <f t="shared" si="3"/>
        <v>46</v>
      </c>
      <c r="G44" s="23">
        <f t="shared" si="4"/>
        <v>0.87965741741466086</v>
      </c>
      <c r="H44" s="14" t="str">
        <f t="shared" si="5"/>
        <v>B - Moderate</v>
      </c>
    </row>
    <row r="45" spans="1:8" x14ac:dyDescent="0.35">
      <c r="A45" s="14" t="str">
        <f>Cleaned_Products!A42</f>
        <v>P1041</v>
      </c>
      <c r="B45" s="14" t="str">
        <f>Cleaned_Products!B42</f>
        <v>Platinum Earring #41</v>
      </c>
      <c r="C45" s="14" t="str">
        <f>Cleaned_Products!C42</f>
        <v>Earrings</v>
      </c>
      <c r="D45" s="22">
        <f>SUMIF(Cleaned_Sales!$F$2:$F$714,A45,Cleaned_Sales!$K$2:$K$714)</f>
        <v>2346797</v>
      </c>
      <c r="E45" s="14">
        <f>SUMIF(Cleaned_Sales!$F$2:$F$714,A45,Cleaned_Sales!$H$2:$H$714)</f>
        <v>17</v>
      </c>
      <c r="F45" s="14">
        <f t="shared" si="3"/>
        <v>30</v>
      </c>
      <c r="G45" s="23">
        <f t="shared" si="4"/>
        <v>0.64993721367282709</v>
      </c>
      <c r="H45" s="14" t="str">
        <f t="shared" si="5"/>
        <v>A - Top Contributor</v>
      </c>
    </row>
    <row r="46" spans="1:8" x14ac:dyDescent="0.35">
      <c r="A46" s="14" t="str">
        <f>Cleaned_Products!A43</f>
        <v>P1042</v>
      </c>
      <c r="B46" s="14" t="str">
        <f>Cleaned_Products!B43</f>
        <v>Gold Earring #42</v>
      </c>
      <c r="C46" s="14" t="str">
        <f>Cleaned_Products!C43</f>
        <v>Earrings</v>
      </c>
      <c r="D46" s="22">
        <f>SUMIF(Cleaned_Sales!$F$2:$F$714,A46,Cleaned_Sales!$K$2:$K$714)</f>
        <v>2390662.5</v>
      </c>
      <c r="E46" s="14">
        <f>SUMIF(Cleaned_Sales!$F$2:$F$714,A46,Cleaned_Sales!$H$2:$H$714)</f>
        <v>22</v>
      </c>
      <c r="F46" s="14">
        <f t="shared" si="3"/>
        <v>29</v>
      </c>
      <c r="G46" s="23">
        <f t="shared" si="4"/>
        <v>0.63314967281385837</v>
      </c>
      <c r="H46" s="14" t="str">
        <f t="shared" si="5"/>
        <v>A - Top Contributor</v>
      </c>
    </row>
    <row r="47" spans="1:8" x14ac:dyDescent="0.35">
      <c r="A47" s="14" t="str">
        <f>Cleaned_Products!A44</f>
        <v>P1043</v>
      </c>
      <c r="B47" s="14" t="str">
        <f>Cleaned_Products!B44</f>
        <v>Rose Gold Ring #43</v>
      </c>
      <c r="C47" s="14" t="str">
        <f>Cleaned_Products!C44</f>
        <v>Rings</v>
      </c>
      <c r="D47" s="22">
        <f>SUMIF(Cleaned_Sales!$F$2:$F$714,A47,Cleaned_Sales!$K$2:$K$714)</f>
        <v>2728519</v>
      </c>
      <c r="E47" s="14">
        <f>SUMIF(Cleaned_Sales!$F$2:$F$714,A47,Cleaned_Sales!$H$2:$H$714)</f>
        <v>20</v>
      </c>
      <c r="F47" s="14">
        <f t="shared" si="3"/>
        <v>16</v>
      </c>
      <c r="G47" s="23">
        <f t="shared" si="4"/>
        <v>0.39851343803660888</v>
      </c>
      <c r="H47" s="14" t="str">
        <f t="shared" si="5"/>
        <v>A - Top Contributor</v>
      </c>
    </row>
    <row r="48" spans="1:8" x14ac:dyDescent="0.35">
      <c r="A48" s="14" t="str">
        <f>Cleaned_Products!A45</f>
        <v>P1044</v>
      </c>
      <c r="B48" s="14" t="str">
        <f>Cleaned_Products!B45</f>
        <v>Platinum Nose Pin #44</v>
      </c>
      <c r="C48" s="14" t="str">
        <f>Cleaned_Products!C45</f>
        <v>Nose Pins</v>
      </c>
      <c r="D48" s="22">
        <f>SUMIF(Cleaned_Sales!$F$2:$F$714,A48,Cleaned_Sales!$K$2:$K$714)</f>
        <v>2045193.5</v>
      </c>
      <c r="E48" s="14">
        <f>SUMIF(Cleaned_Sales!$F$2:$F$714,A48,Cleaned_Sales!$H$2:$H$714)</f>
        <v>19</v>
      </c>
      <c r="F48" s="14">
        <f t="shared" si="3"/>
        <v>38</v>
      </c>
      <c r="G48" s="23">
        <f t="shared" si="4"/>
        <v>0.77057086388940188</v>
      </c>
      <c r="H48" s="14" t="str">
        <f t="shared" si="5"/>
        <v>A - Top Contributor</v>
      </c>
    </row>
    <row r="49" spans="1:8" x14ac:dyDescent="0.35">
      <c r="A49" s="14" t="str">
        <f>Cleaned_Products!A46</f>
        <v>P1045</v>
      </c>
      <c r="B49" s="14" t="str">
        <f>Cleaned_Products!B46</f>
        <v>Platinum Bangle #45</v>
      </c>
      <c r="C49" s="14" t="str">
        <f>Cleaned_Products!C46</f>
        <v>Bangles</v>
      </c>
      <c r="D49" s="22">
        <f>SUMIF(Cleaned_Sales!$F$2:$F$714,A49,Cleaned_Sales!$K$2:$K$714)</f>
        <v>2491157.5</v>
      </c>
      <c r="E49" s="14">
        <f>SUMIF(Cleaned_Sales!$F$2:$F$714,A49,Cleaned_Sales!$H$2:$H$714)</f>
        <v>20</v>
      </c>
      <c r="F49" s="14">
        <f t="shared" si="3"/>
        <v>24</v>
      </c>
      <c r="G49" s="23">
        <f t="shared" si="4"/>
        <v>0.54642134030229383</v>
      </c>
      <c r="H49" s="14" t="str">
        <f t="shared" si="5"/>
        <v>A - Top Contributor</v>
      </c>
    </row>
    <row r="50" spans="1:8" x14ac:dyDescent="0.35">
      <c r="A50" s="14" t="str">
        <f>Cleaned_Products!A47</f>
        <v>P1046</v>
      </c>
      <c r="B50" s="14" t="str">
        <f>Cleaned_Products!B47</f>
        <v>Rose Gold Ring #46</v>
      </c>
      <c r="C50" s="14" t="str">
        <f>Cleaned_Products!C47</f>
        <v>Rings</v>
      </c>
      <c r="D50" s="22">
        <f>SUMIF(Cleaned_Sales!$F$2:$F$714,A50,Cleaned_Sales!$K$2:$K$714)</f>
        <v>2587628</v>
      </c>
      <c r="E50" s="14">
        <f>SUMIF(Cleaned_Sales!$F$2:$F$714,A50,Cleaned_Sales!$H$2:$H$714)</f>
        <v>20</v>
      </c>
      <c r="F50" s="14">
        <f t="shared" si="3"/>
        <v>21</v>
      </c>
      <c r="G50" s="23">
        <f t="shared" si="4"/>
        <v>0.49254138792580687</v>
      </c>
      <c r="H50" s="14" t="str">
        <f t="shared" si="5"/>
        <v>A - Top Contributor</v>
      </c>
    </row>
    <row r="51" spans="1:8" x14ac:dyDescent="0.35">
      <c r="A51" s="14" t="str">
        <f>Cleaned_Products!A48</f>
        <v>P1047</v>
      </c>
      <c r="B51" s="14" t="str">
        <f>Cleaned_Products!B48</f>
        <v>Silver Pendant #47</v>
      </c>
      <c r="C51" s="14" t="str">
        <f>Cleaned_Products!C48</f>
        <v>Pendants</v>
      </c>
      <c r="D51" s="22">
        <f>SUMIF(Cleaned_Sales!$F$2:$F$714,A51,Cleaned_Sales!$K$2:$K$714)</f>
        <v>1186132.5</v>
      </c>
      <c r="E51" s="14">
        <f>SUMIF(Cleaned_Sales!$F$2:$F$714,A51,Cleaned_Sales!$H$2:$H$714)</f>
        <v>17</v>
      </c>
      <c r="F51" s="14">
        <f t="shared" si="3"/>
        <v>53</v>
      </c>
      <c r="G51" s="23">
        <f t="shared" si="4"/>
        <v>0.95473564450072024</v>
      </c>
      <c r="H51" s="14" t="str">
        <f t="shared" si="5"/>
        <v>C - Low</v>
      </c>
    </row>
    <row r="52" spans="1:8" x14ac:dyDescent="0.35">
      <c r="A52" s="14" t="str">
        <f>Cleaned_Products!A49</f>
        <v>P1048</v>
      </c>
      <c r="B52" s="14" t="str">
        <f>Cleaned_Products!B49</f>
        <v>Rose Gold Nose Pin #48</v>
      </c>
      <c r="C52" s="14" t="str">
        <f>Cleaned_Products!C49</f>
        <v>Nose Pins</v>
      </c>
      <c r="D52" s="22">
        <f>SUMIF(Cleaned_Sales!$F$2:$F$714,A52,Cleaned_Sales!$K$2:$K$714)</f>
        <v>2017128</v>
      </c>
      <c r="E52" s="14">
        <f>SUMIF(Cleaned_Sales!$F$2:$F$714,A52,Cleaned_Sales!$H$2:$H$714)</f>
        <v>21</v>
      </c>
      <c r="F52" s="14">
        <f t="shared" si="3"/>
        <v>41</v>
      </c>
      <c r="G52" s="23">
        <f t="shared" si="4"/>
        <v>0.81394304193562106</v>
      </c>
      <c r="H52" s="14" t="str">
        <f t="shared" si="5"/>
        <v>B - Moderate</v>
      </c>
    </row>
    <row r="53" spans="1:8" x14ac:dyDescent="0.35">
      <c r="A53" s="14" t="str">
        <f>Cleaned_Products!A50</f>
        <v>P1049</v>
      </c>
      <c r="B53" s="14" t="str">
        <f>Cleaned_Products!B50</f>
        <v>Rose Gold Bracelet #49</v>
      </c>
      <c r="C53" s="14" t="str">
        <f>Cleaned_Products!C50</f>
        <v>Bracelets</v>
      </c>
      <c r="D53" s="22">
        <f>SUMIF(Cleaned_Sales!$F$2:$F$714,A53,Cleaned_Sales!$K$2:$K$714)</f>
        <v>3268420</v>
      </c>
      <c r="E53" s="14">
        <f>SUMIF(Cleaned_Sales!$F$2:$F$714,A53,Cleaned_Sales!$H$2:$H$714)</f>
        <v>21</v>
      </c>
      <c r="F53" s="14">
        <f t="shared" si="3"/>
        <v>10</v>
      </c>
      <c r="G53" s="23">
        <f t="shared" si="4"/>
        <v>0.27415749567626202</v>
      </c>
      <c r="H53" s="14" t="str">
        <f t="shared" si="5"/>
        <v>A - Top Contributor</v>
      </c>
    </row>
    <row r="54" spans="1:8" x14ac:dyDescent="0.35">
      <c r="A54" s="14" t="str">
        <f>Cleaned_Products!A51</f>
        <v>P1050</v>
      </c>
      <c r="B54" s="14" t="str">
        <f>Cleaned_Products!B51</f>
        <v>Diamond Nose Pin #50</v>
      </c>
      <c r="C54" s="14" t="str">
        <f>Cleaned_Products!C51</f>
        <v>Nose Pins</v>
      </c>
      <c r="D54" s="22">
        <f>SUMIF(Cleaned_Sales!$F$2:$F$714,A54,Cleaned_Sales!$K$2:$K$714)</f>
        <v>2637232</v>
      </c>
      <c r="E54" s="14">
        <f>SUMIF(Cleaned_Sales!$F$2:$F$714,A54,Cleaned_Sales!$H$2:$H$714)</f>
        <v>18</v>
      </c>
      <c r="F54" s="14">
        <f t="shared" si="3"/>
        <v>18</v>
      </c>
      <c r="G54" s="23">
        <f t="shared" si="4"/>
        <v>0.43643961226339295</v>
      </c>
      <c r="H54" s="14" t="str">
        <f t="shared" si="5"/>
        <v>A - Top Contributor</v>
      </c>
    </row>
    <row r="55" spans="1:8" x14ac:dyDescent="0.35">
      <c r="A55" s="14" t="str">
        <f>Cleaned_Products!A52</f>
        <v>P1051</v>
      </c>
      <c r="B55" s="14" t="str">
        <f>Cleaned_Products!B52</f>
        <v>Platinum Nose Pin #51</v>
      </c>
      <c r="C55" s="14" t="str">
        <f>Cleaned_Products!C52</f>
        <v>Nose Pins</v>
      </c>
      <c r="D55" s="22">
        <f>SUMIF(Cleaned_Sales!$F$2:$F$714,A55,Cleaned_Sales!$K$2:$K$714)</f>
        <v>1532974</v>
      </c>
      <c r="E55" s="14">
        <f>SUMIF(Cleaned_Sales!$F$2:$F$714,A55,Cleaned_Sales!$H$2:$H$714)</f>
        <v>18</v>
      </c>
      <c r="F55" s="14">
        <f t="shared" si="3"/>
        <v>50</v>
      </c>
      <c r="G55" s="23">
        <f t="shared" si="4"/>
        <v>0.92572678259493757</v>
      </c>
      <c r="H55" s="14" t="str">
        <f t="shared" si="5"/>
        <v>B - Moderate</v>
      </c>
    </row>
    <row r="56" spans="1:8" x14ac:dyDescent="0.35">
      <c r="A56" s="14" t="str">
        <f>Cleaned_Products!A53</f>
        <v>P1052</v>
      </c>
      <c r="B56" s="14" t="str">
        <f>Cleaned_Products!B53</f>
        <v>Diamond Anklet #52</v>
      </c>
      <c r="C56" s="14" t="str">
        <f>Cleaned_Products!C53</f>
        <v>Anklets</v>
      </c>
      <c r="D56" s="22">
        <f>SUMIF(Cleaned_Sales!$F$2:$F$714,A56,Cleaned_Sales!$K$2:$K$714)</f>
        <v>2077991</v>
      </c>
      <c r="E56" s="14">
        <f>SUMIF(Cleaned_Sales!$F$2:$F$714,A56,Cleaned_Sales!$H$2:$H$714)</f>
        <v>15</v>
      </c>
      <c r="F56" s="14">
        <f t="shared" si="3"/>
        <v>34</v>
      </c>
      <c r="G56" s="23">
        <f t="shared" si="4"/>
        <v>0.71154702372679579</v>
      </c>
      <c r="H56" s="14" t="str">
        <f t="shared" si="5"/>
        <v>A - Top Contributor</v>
      </c>
    </row>
    <row r="57" spans="1:8" x14ac:dyDescent="0.35">
      <c r="A57" s="14" t="str">
        <f>Cleaned_Products!A54</f>
        <v>P1053</v>
      </c>
      <c r="B57" s="14" t="str">
        <f>Cleaned_Products!B54</f>
        <v>Diamond Earring #53</v>
      </c>
      <c r="C57" s="14" t="str">
        <f>Cleaned_Products!C54</f>
        <v>Earrings</v>
      </c>
      <c r="D57" s="22">
        <f>SUMIF(Cleaned_Sales!$F$2:$F$714,A57,Cleaned_Sales!$K$2:$K$714)</f>
        <v>2063032.5</v>
      </c>
      <c r="E57" s="14">
        <f>SUMIF(Cleaned_Sales!$F$2:$F$714,A57,Cleaned_Sales!$H$2:$H$714)</f>
        <v>19</v>
      </c>
      <c r="F57" s="14">
        <f t="shared" si="3"/>
        <v>37</v>
      </c>
      <c r="G57" s="23">
        <f t="shared" si="4"/>
        <v>0.75594080877779768</v>
      </c>
      <c r="H57" s="14" t="str">
        <f t="shared" si="5"/>
        <v>A - Top Contributor</v>
      </c>
    </row>
    <row r="58" spans="1:8" x14ac:dyDescent="0.35">
      <c r="A58" s="14" t="str">
        <f>Cleaned_Products!A55</f>
        <v>P1054</v>
      </c>
      <c r="B58" s="14" t="str">
        <f>Cleaned_Products!B55</f>
        <v>Silver Bangle #54</v>
      </c>
      <c r="C58" s="14" t="str">
        <f>Cleaned_Products!C55</f>
        <v>Bangles</v>
      </c>
      <c r="D58" s="22">
        <f>SUMIF(Cleaned_Sales!$F$2:$F$714,A58,Cleaned_Sales!$K$2:$K$714)</f>
        <v>1441717.5</v>
      </c>
      <c r="E58" s="14">
        <f>SUMIF(Cleaned_Sales!$F$2:$F$714,A58,Cleaned_Sales!$H$2:$H$714)</f>
        <v>17</v>
      </c>
      <c r="F58" s="14">
        <f t="shared" si="3"/>
        <v>51</v>
      </c>
      <c r="G58" s="23">
        <f t="shared" si="4"/>
        <v>0.93603994195143081</v>
      </c>
      <c r="H58" s="14" t="str">
        <f t="shared" si="5"/>
        <v>B - Moderate</v>
      </c>
    </row>
    <row r="59" spans="1:8" x14ac:dyDescent="0.35">
      <c r="A59" s="14" t="str">
        <f>Cleaned_Products!A56</f>
        <v>P1055</v>
      </c>
      <c r="B59" s="14" t="str">
        <f>Cleaned_Products!B56</f>
        <v>Silver Bracelet #55</v>
      </c>
      <c r="C59" s="14" t="str">
        <f>Cleaned_Products!C56</f>
        <v>Bracelets</v>
      </c>
      <c r="D59" s="22">
        <f>SUMIF(Cleaned_Sales!$F$2:$F$714,A59,Cleaned_Sales!$K$2:$K$714)</f>
        <v>2498456</v>
      </c>
      <c r="E59" s="14">
        <f>SUMIF(Cleaned_Sales!$F$2:$F$714,A59,Cleaned_Sales!$H$2:$H$714)</f>
        <v>22</v>
      </c>
      <c r="F59" s="14">
        <f t="shared" si="3"/>
        <v>23</v>
      </c>
      <c r="G59" s="23">
        <f t="shared" si="4"/>
        <v>0.52860113330638558</v>
      </c>
      <c r="H59" s="14" t="str">
        <f t="shared" si="5"/>
        <v>A - Top Contributor</v>
      </c>
    </row>
    <row r="60" spans="1:8" x14ac:dyDescent="0.35">
      <c r="A60" s="14" t="str">
        <f>Cleaned_Products!A57</f>
        <v>P1056</v>
      </c>
      <c r="B60" s="14" t="str">
        <f>Cleaned_Products!B57</f>
        <v>Diamond Bangle #56</v>
      </c>
      <c r="C60" s="14" t="str">
        <f>Cleaned_Products!C57</f>
        <v>Bangles</v>
      </c>
      <c r="D60" s="22">
        <f>SUMIF(Cleaned_Sales!$F$2:$F$714,A60,Cleaned_Sales!$K$2:$K$714)</f>
        <v>2769711</v>
      </c>
      <c r="E60" s="14">
        <f>SUMIF(Cleaned_Sales!$F$2:$F$714,A60,Cleaned_Sales!$H$2:$H$714)</f>
        <v>24</v>
      </c>
      <c r="F60" s="14">
        <f t="shared" si="3"/>
        <v>15</v>
      </c>
      <c r="G60" s="23">
        <f t="shared" si="4"/>
        <v>0.37899529300873785</v>
      </c>
      <c r="H60" s="14" t="str">
        <f t="shared" si="5"/>
        <v>A - Top Contributor</v>
      </c>
    </row>
    <row r="61" spans="1:8" x14ac:dyDescent="0.35">
      <c r="A61" s="14" t="str">
        <f>Cleaned_Products!A58</f>
        <v>P1057</v>
      </c>
      <c r="B61" s="14" t="str">
        <f>Cleaned_Products!B58</f>
        <v>Rose Gold Bangle #57</v>
      </c>
      <c r="C61" s="14" t="str">
        <f>Cleaned_Products!C58</f>
        <v>Bangles</v>
      </c>
      <c r="D61" s="22">
        <f>SUMIF(Cleaned_Sales!$F$2:$F$714,A61,Cleaned_Sales!$K$2:$K$714)</f>
        <v>3397880</v>
      </c>
      <c r="E61" s="14">
        <f>SUMIF(Cleaned_Sales!$F$2:$F$714,A61,Cleaned_Sales!$H$2:$H$714)</f>
        <v>24</v>
      </c>
      <c r="F61" s="14">
        <f t="shared" si="3"/>
        <v>8</v>
      </c>
      <c r="G61" s="23">
        <f t="shared" si="4"/>
        <v>0.22722769996997938</v>
      </c>
      <c r="H61" s="14" t="str">
        <f t="shared" si="5"/>
        <v>A - Top Contributor</v>
      </c>
    </row>
    <row r="62" spans="1:8" x14ac:dyDescent="0.35">
      <c r="A62" s="14" t="str">
        <f>Cleaned_Products!A59</f>
        <v>P1058</v>
      </c>
      <c r="B62" s="14" t="str">
        <f>Cleaned_Products!B59</f>
        <v>Silver Bangle #58</v>
      </c>
      <c r="C62" s="14" t="str">
        <f>Cleaned_Products!C59</f>
        <v>Bangles</v>
      </c>
      <c r="D62" s="22">
        <f>SUMIF(Cleaned_Sales!$F$2:$F$714,A62,Cleaned_Sales!$K$2:$K$714)</f>
        <v>1776797.5</v>
      </c>
      <c r="E62" s="14">
        <f>SUMIF(Cleaned_Sales!$F$2:$F$714,A62,Cleaned_Sales!$H$2:$H$714)</f>
        <v>14</v>
      </c>
      <c r="F62" s="14">
        <f t="shared" si="3"/>
        <v>45</v>
      </c>
      <c r="G62" s="23">
        <f t="shared" si="4"/>
        <v>0.8675296340211982</v>
      </c>
      <c r="H62" s="14" t="str">
        <f t="shared" si="5"/>
        <v>B - Moderate</v>
      </c>
    </row>
    <row r="63" spans="1:8" x14ac:dyDescent="0.35">
      <c r="A63" s="14" t="str">
        <f>Cleaned_Products!A60</f>
        <v>P1059</v>
      </c>
      <c r="B63" s="14" t="str">
        <f>Cleaned_Products!B60</f>
        <v>Rose Gold Pendant #59</v>
      </c>
      <c r="C63" s="14" t="str">
        <f>Cleaned_Products!C60</f>
        <v>Pendants</v>
      </c>
      <c r="D63" s="22">
        <f>SUMIF(Cleaned_Sales!$F$2:$F$714,A63,Cleaned_Sales!$K$2:$K$714)</f>
        <v>2629397.5</v>
      </c>
      <c r="E63" s="14">
        <f>SUMIF(Cleaned_Sales!$F$2:$F$714,A63,Cleaned_Sales!$H$2:$H$714)</f>
        <v>23</v>
      </c>
      <c r="F63" s="14">
        <f t="shared" si="3"/>
        <v>19</v>
      </c>
      <c r="G63" s="23">
        <f t="shared" si="4"/>
        <v>0.45524870310751814</v>
      </c>
      <c r="H63" s="14" t="str">
        <f t="shared" si="5"/>
        <v>A - Top Contributor</v>
      </c>
    </row>
    <row r="64" spans="1:8" x14ac:dyDescent="0.35">
      <c r="A64" s="14" t="str">
        <f>Cleaned_Products!A61</f>
        <v>P1060</v>
      </c>
      <c r="B64" s="14" t="str">
        <f>Cleaned_Products!B61</f>
        <v>Diamond Pendant #60</v>
      </c>
      <c r="C64" s="14" t="str">
        <f>Cleaned_Products!C61</f>
        <v>Pendants</v>
      </c>
      <c r="D64" s="22">
        <f>SUMIF(Cleaned_Sales!$F$2:$F$714,A64,Cleaned_Sales!$K$2:$K$714)</f>
        <v>1178359.5</v>
      </c>
      <c r="E64" s="14">
        <f>SUMIF(Cleaned_Sales!$F$2:$F$714,A64,Cleaned_Sales!$H$2:$H$714)</f>
        <v>22</v>
      </c>
      <c r="F64" s="14">
        <f t="shared" si="3"/>
        <v>54</v>
      </c>
      <c r="G64" s="23">
        <f t="shared" si="4"/>
        <v>0.96316490286980971</v>
      </c>
      <c r="H64" s="14" t="str">
        <f t="shared" si="5"/>
        <v>C - Low</v>
      </c>
    </row>
    <row r="67" spans="1:14" ht="21.75" customHeight="1" x14ac:dyDescent="0.35">
      <c r="A67" s="1" t="s">
        <v>4095</v>
      </c>
      <c r="B67" s="1"/>
      <c r="C67" s="1"/>
      <c r="D67" s="1"/>
      <c r="E67" s="1"/>
      <c r="F67" s="1"/>
      <c r="G67" s="1"/>
      <c r="H67" s="1"/>
    </row>
    <row r="68" spans="1:14" x14ac:dyDescent="0.35">
      <c r="A68" s="17" t="s">
        <v>43</v>
      </c>
      <c r="B68" s="17" t="s">
        <v>3334</v>
      </c>
      <c r="C68" s="17" t="s">
        <v>4096</v>
      </c>
      <c r="D68" s="17" t="s">
        <v>4097</v>
      </c>
      <c r="E68" s="17" t="s">
        <v>4098</v>
      </c>
      <c r="F68" s="17" t="s">
        <v>4099</v>
      </c>
      <c r="G68" s="17" t="s">
        <v>4100</v>
      </c>
      <c r="H68" s="17" t="s">
        <v>4101</v>
      </c>
      <c r="M68" s="24" t="s">
        <v>4102</v>
      </c>
      <c r="N68" s="21">
        <f>MAX(Cleaned_Sales!$B$2:$B$714)</f>
        <v>45876</v>
      </c>
    </row>
    <row r="69" spans="1:14" x14ac:dyDescent="0.35">
      <c r="A69" s="14" t="str">
        <f>Cleaned_Customers!A2</f>
        <v>C2001</v>
      </c>
      <c r="B69" s="14" t="str">
        <f>Cleaned_Customers!B2</f>
        <v>Kritika Brar</v>
      </c>
      <c r="C69" s="22">
        <f>SUMIF(Cleaned_Sales!$E$2:$E$714,A69,Cleaned_Sales!$K$2:$K$714)</f>
        <v>259349</v>
      </c>
      <c r="D69" s="14">
        <f>COUNTIF(Cleaned_Sales!$E$2:$E$714,A69)</f>
        <v>2</v>
      </c>
      <c r="E69" s="22">
        <f t="shared" ref="E69:E100" si="6">IFERROR(C69/D69,0)</f>
        <v>129674.5</v>
      </c>
      <c r="F69" s="21">
        <f>IFERROR(_xlfn.MAXIFS(Cleaned_Sales!$B$2:$B$714,Cleaned_Sales!$E$2:$E$714,A69),"")</f>
        <v>45603</v>
      </c>
      <c r="G69" s="14">
        <f t="shared" ref="G69:G100" si="7">IF(F69="","",$N$68-F69)</f>
        <v>273</v>
      </c>
      <c r="H69" s="14" t="str">
        <f t="shared" ref="H69:H100" si="8">IF(D69=0,"No Purchases",IF(AND(C69&gt;=QUARTILE($C$69:$C$217,3),D69&gt;=2),"Champion",IF(C69&gt;=QUARTILE($C$69:$C$217,2),"Loyal",IF(G69&gt;180,"At Risk","Occasional"))))</f>
        <v>At Risk</v>
      </c>
    </row>
    <row r="70" spans="1:14" x14ac:dyDescent="0.35">
      <c r="A70" s="14" t="str">
        <f>Cleaned_Customers!A3</f>
        <v>C2002</v>
      </c>
      <c r="B70" s="14" t="str">
        <f>Cleaned_Customers!B3</f>
        <v>Alka Dewan</v>
      </c>
      <c r="C70" s="22">
        <f>SUMIF(Cleaned_Sales!$E$2:$E$714,A70,Cleaned_Sales!$K$2:$K$714)</f>
        <v>828391</v>
      </c>
      <c r="D70" s="14">
        <f>COUNTIF(Cleaned_Sales!$E$2:$E$714,A70)</f>
        <v>4</v>
      </c>
      <c r="E70" s="22">
        <f t="shared" si="6"/>
        <v>207097.75</v>
      </c>
      <c r="F70" s="21">
        <f>IFERROR(_xlfn.MAXIFS(Cleaned_Sales!$B$2:$B$714,Cleaned_Sales!$E$2:$E$714,A70),"")</f>
        <v>45707</v>
      </c>
      <c r="G70" s="14">
        <f t="shared" si="7"/>
        <v>169</v>
      </c>
      <c r="H70" s="14" t="str">
        <f t="shared" si="8"/>
        <v>Occasional</v>
      </c>
    </row>
    <row r="71" spans="1:14" x14ac:dyDescent="0.35">
      <c r="A71" s="14" t="str">
        <f>Cleaned_Customers!A4</f>
        <v>C2003</v>
      </c>
      <c r="B71" s="14" t="str">
        <f>Cleaned_Customers!B4</f>
        <v>Neel Zacharia</v>
      </c>
      <c r="C71" s="22">
        <f>SUMIF(Cleaned_Sales!$E$2:$E$714,A71,Cleaned_Sales!$K$2:$K$714)</f>
        <v>1081199</v>
      </c>
      <c r="D71" s="14">
        <f>COUNTIF(Cleaned_Sales!$E$2:$E$714,A71)</f>
        <v>8</v>
      </c>
      <c r="E71" s="22">
        <f t="shared" si="6"/>
        <v>135149.875</v>
      </c>
      <c r="F71" s="21">
        <f>IFERROR(_xlfn.MAXIFS(Cleaned_Sales!$B$2:$B$714,Cleaned_Sales!$E$2:$E$714,A71),"")</f>
        <v>45812</v>
      </c>
      <c r="G71" s="14">
        <f t="shared" si="7"/>
        <v>64</v>
      </c>
      <c r="H71" s="14" t="str">
        <f t="shared" si="8"/>
        <v>Loyal</v>
      </c>
    </row>
    <row r="72" spans="1:14" x14ac:dyDescent="0.35">
      <c r="A72" s="14" t="str">
        <f>Cleaned_Customers!A5</f>
        <v>C2004</v>
      </c>
      <c r="B72" s="14" t="str">
        <f>Cleaned_Customers!B5</f>
        <v>Veer Bir</v>
      </c>
      <c r="C72" s="22">
        <f>SUMIF(Cleaned_Sales!$E$2:$E$714,A72,Cleaned_Sales!$K$2:$K$714)</f>
        <v>301700</v>
      </c>
      <c r="D72" s="14">
        <f>COUNTIF(Cleaned_Sales!$E$2:$E$714,A72)</f>
        <v>2</v>
      </c>
      <c r="E72" s="22">
        <f t="shared" si="6"/>
        <v>150850</v>
      </c>
      <c r="F72" s="21">
        <f>IFERROR(_xlfn.MAXIFS(Cleaned_Sales!$B$2:$B$714,Cleaned_Sales!$E$2:$E$714,A72),"")</f>
        <v>45569</v>
      </c>
      <c r="G72" s="14">
        <f t="shared" si="7"/>
        <v>307</v>
      </c>
      <c r="H72" s="14" t="str">
        <f t="shared" si="8"/>
        <v>At Risk</v>
      </c>
    </row>
    <row r="73" spans="1:14" x14ac:dyDescent="0.35">
      <c r="A73" s="14" t="str">
        <f>Cleaned_Customers!A6</f>
        <v>C2005</v>
      </c>
      <c r="B73" s="14" t="str">
        <f>Cleaned_Customers!B6</f>
        <v>Girik Khalsa</v>
      </c>
      <c r="C73" s="22">
        <f>SUMIF(Cleaned_Sales!$E$2:$E$714,A73,Cleaned_Sales!$K$2:$K$714)</f>
        <v>511391</v>
      </c>
      <c r="D73" s="14">
        <f>COUNTIF(Cleaned_Sales!$E$2:$E$714,A73)</f>
        <v>3</v>
      </c>
      <c r="E73" s="22">
        <f t="shared" si="6"/>
        <v>170463.66666666666</v>
      </c>
      <c r="F73" s="21">
        <f>IFERROR(_xlfn.MAXIFS(Cleaned_Sales!$B$2:$B$714,Cleaned_Sales!$E$2:$E$714,A73),"")</f>
        <v>45867</v>
      </c>
      <c r="G73" s="14">
        <f t="shared" si="7"/>
        <v>9</v>
      </c>
      <c r="H73" s="14" t="str">
        <f t="shared" si="8"/>
        <v>Occasional</v>
      </c>
    </row>
    <row r="74" spans="1:14" x14ac:dyDescent="0.35">
      <c r="A74" s="14" t="str">
        <f>Cleaned_Customers!A7</f>
        <v>C2006</v>
      </c>
      <c r="B74" s="14" t="str">
        <f>Cleaned_Customers!B7</f>
        <v>Finn Saini</v>
      </c>
      <c r="C74" s="22">
        <f>SUMIF(Cleaned_Sales!$E$2:$E$714,A74,Cleaned_Sales!$K$2:$K$714)</f>
        <v>161766</v>
      </c>
      <c r="D74" s="14">
        <f>COUNTIF(Cleaned_Sales!$E$2:$E$714,A74)</f>
        <v>3</v>
      </c>
      <c r="E74" s="22">
        <f t="shared" si="6"/>
        <v>53922</v>
      </c>
      <c r="F74" s="21">
        <f>IFERROR(_xlfn.MAXIFS(Cleaned_Sales!$B$2:$B$714,Cleaned_Sales!$E$2:$E$714,A74),"")</f>
        <v>45381</v>
      </c>
      <c r="G74" s="14">
        <f t="shared" si="7"/>
        <v>495</v>
      </c>
      <c r="H74" s="14" t="str">
        <f t="shared" si="8"/>
        <v>At Risk</v>
      </c>
    </row>
    <row r="75" spans="1:14" x14ac:dyDescent="0.35">
      <c r="A75" s="14" t="str">
        <f>Cleaned_Customers!A8</f>
        <v>C2007</v>
      </c>
      <c r="B75" s="14" t="str">
        <f>Cleaned_Customers!B8</f>
        <v>Samar Lalla</v>
      </c>
      <c r="C75" s="22">
        <f>SUMIF(Cleaned_Sales!$E$2:$E$714,A75,Cleaned_Sales!$K$2:$K$714)</f>
        <v>1651725</v>
      </c>
      <c r="D75" s="14">
        <f>COUNTIF(Cleaned_Sales!$E$2:$E$714,A75)</f>
        <v>5</v>
      </c>
      <c r="E75" s="22">
        <f t="shared" si="6"/>
        <v>330345</v>
      </c>
      <c r="F75" s="21">
        <f>IFERROR(_xlfn.MAXIFS(Cleaned_Sales!$B$2:$B$714,Cleaned_Sales!$E$2:$E$714,A75),"")</f>
        <v>45669</v>
      </c>
      <c r="G75" s="14">
        <f t="shared" si="7"/>
        <v>207</v>
      </c>
      <c r="H75" s="14" t="str">
        <f t="shared" si="8"/>
        <v>Champion</v>
      </c>
    </row>
    <row r="76" spans="1:14" x14ac:dyDescent="0.35">
      <c r="A76" s="14" t="str">
        <f>Cleaned_Customers!A9</f>
        <v>C2008</v>
      </c>
      <c r="B76" s="14" t="str">
        <f>Cleaned_Customers!B9</f>
        <v>Gaurangi Sabharwal</v>
      </c>
      <c r="C76" s="22">
        <f>SUMIF(Cleaned_Sales!$E$2:$E$714,A76,Cleaned_Sales!$K$2:$K$714)</f>
        <v>1391243</v>
      </c>
      <c r="D76" s="14">
        <f>COUNTIF(Cleaned_Sales!$E$2:$E$714,A76)</f>
        <v>7</v>
      </c>
      <c r="E76" s="22">
        <f t="shared" si="6"/>
        <v>198749</v>
      </c>
      <c r="F76" s="21">
        <f>IFERROR(_xlfn.MAXIFS(Cleaned_Sales!$B$2:$B$714,Cleaned_Sales!$E$2:$E$714,A76),"")</f>
        <v>45796</v>
      </c>
      <c r="G76" s="14">
        <f t="shared" si="7"/>
        <v>80</v>
      </c>
      <c r="H76" s="14" t="str">
        <f t="shared" si="8"/>
        <v>Champion</v>
      </c>
    </row>
    <row r="77" spans="1:14" x14ac:dyDescent="0.35">
      <c r="A77" s="14" t="str">
        <f>Cleaned_Customers!A10</f>
        <v>C2009</v>
      </c>
      <c r="B77" s="14" t="str">
        <f>Cleaned_Customers!B10</f>
        <v>Chaitanya Sarin</v>
      </c>
      <c r="C77" s="22">
        <f>SUMIF(Cleaned_Sales!$E$2:$E$714,A77,Cleaned_Sales!$K$2:$K$714)</f>
        <v>1018677.5</v>
      </c>
      <c r="D77" s="14">
        <f>COUNTIF(Cleaned_Sales!$E$2:$E$714,A77)</f>
        <v>7</v>
      </c>
      <c r="E77" s="22">
        <f t="shared" si="6"/>
        <v>145525.35714285713</v>
      </c>
      <c r="F77" s="21">
        <f>IFERROR(_xlfn.MAXIFS(Cleaned_Sales!$B$2:$B$714,Cleaned_Sales!$E$2:$E$714,A77),"")</f>
        <v>45493</v>
      </c>
      <c r="G77" s="14">
        <f t="shared" si="7"/>
        <v>383</v>
      </c>
      <c r="H77" s="14" t="str">
        <f t="shared" si="8"/>
        <v>Loyal</v>
      </c>
    </row>
    <row r="78" spans="1:14" x14ac:dyDescent="0.35">
      <c r="A78" s="14" t="str">
        <f>Cleaned_Customers!A11</f>
        <v>C2010</v>
      </c>
      <c r="B78" s="14" t="str">
        <f>Cleaned_Customers!B11</f>
        <v>Girik Keer</v>
      </c>
      <c r="C78" s="22">
        <f>SUMIF(Cleaned_Sales!$E$2:$E$714,A78,Cleaned_Sales!$K$2:$K$714)</f>
        <v>692020</v>
      </c>
      <c r="D78" s="14">
        <f>COUNTIF(Cleaned_Sales!$E$2:$E$714,A78)</f>
        <v>3</v>
      </c>
      <c r="E78" s="22">
        <f t="shared" si="6"/>
        <v>230673.33333333334</v>
      </c>
      <c r="F78" s="21">
        <f>IFERROR(_xlfn.MAXIFS(Cleaned_Sales!$B$2:$B$714,Cleaned_Sales!$E$2:$E$714,A78),"")</f>
        <v>45511</v>
      </c>
      <c r="G78" s="14">
        <f t="shared" si="7"/>
        <v>365</v>
      </c>
      <c r="H78" s="14" t="str">
        <f t="shared" si="8"/>
        <v>At Risk</v>
      </c>
    </row>
    <row r="79" spans="1:14" x14ac:dyDescent="0.35">
      <c r="A79" s="14" t="str">
        <f>Cleaned_Customers!A12</f>
        <v>C2011</v>
      </c>
      <c r="B79" s="14" t="str">
        <f>Cleaned_Customers!B12</f>
        <v>William Maharaj</v>
      </c>
      <c r="C79" s="22">
        <f>SUMIF(Cleaned_Sales!$E$2:$E$714,A79,Cleaned_Sales!$K$2:$K$714)</f>
        <v>1279423.5</v>
      </c>
      <c r="D79" s="14">
        <f>COUNTIF(Cleaned_Sales!$E$2:$E$714,A79)</f>
        <v>8</v>
      </c>
      <c r="E79" s="22">
        <f t="shared" si="6"/>
        <v>159927.9375</v>
      </c>
      <c r="F79" s="21">
        <f>IFERROR(_xlfn.MAXIFS(Cleaned_Sales!$B$2:$B$714,Cleaned_Sales!$E$2:$E$714,A79),"")</f>
        <v>45840</v>
      </c>
      <c r="G79" s="14">
        <f t="shared" si="7"/>
        <v>36</v>
      </c>
      <c r="H79" s="14" t="str">
        <f t="shared" si="8"/>
        <v>Champion</v>
      </c>
    </row>
    <row r="80" spans="1:14" x14ac:dyDescent="0.35">
      <c r="A80" s="14" t="str">
        <f>Cleaned_Customers!A13</f>
        <v>C2012</v>
      </c>
      <c r="B80" s="14" t="str">
        <f>Cleaned_Customers!B13</f>
        <v>Lopa Nayar</v>
      </c>
      <c r="C80" s="22">
        <f>SUMIF(Cleaned_Sales!$E$2:$E$714,A80,Cleaned_Sales!$K$2:$K$714)</f>
        <v>596178</v>
      </c>
      <c r="D80" s="14">
        <f>COUNTIF(Cleaned_Sales!$E$2:$E$714,A80)</f>
        <v>3</v>
      </c>
      <c r="E80" s="22">
        <f t="shared" si="6"/>
        <v>198726</v>
      </c>
      <c r="F80" s="21">
        <f>IFERROR(_xlfn.MAXIFS(Cleaned_Sales!$B$2:$B$714,Cleaned_Sales!$E$2:$E$714,A80),"")</f>
        <v>45868</v>
      </c>
      <c r="G80" s="14">
        <f t="shared" si="7"/>
        <v>8</v>
      </c>
      <c r="H80" s="14" t="str">
        <f t="shared" si="8"/>
        <v>Occasional</v>
      </c>
    </row>
    <row r="81" spans="1:8" x14ac:dyDescent="0.35">
      <c r="A81" s="14" t="str">
        <f>Cleaned_Customers!A14</f>
        <v>C2013</v>
      </c>
      <c r="B81" s="14" t="str">
        <f>Cleaned_Customers!B14</f>
        <v>Udyati Kunda</v>
      </c>
      <c r="C81" s="22">
        <f>SUMIF(Cleaned_Sales!$E$2:$E$714,A81,Cleaned_Sales!$K$2:$K$714)</f>
        <v>378327.5</v>
      </c>
      <c r="D81" s="14">
        <f>COUNTIF(Cleaned_Sales!$E$2:$E$714,A81)</f>
        <v>5</v>
      </c>
      <c r="E81" s="22">
        <f t="shared" si="6"/>
        <v>75665.5</v>
      </c>
      <c r="F81" s="21">
        <f>IFERROR(_xlfn.MAXIFS(Cleaned_Sales!$B$2:$B$714,Cleaned_Sales!$E$2:$E$714,A81),"")</f>
        <v>45851</v>
      </c>
      <c r="G81" s="14">
        <f t="shared" si="7"/>
        <v>25</v>
      </c>
      <c r="H81" s="14" t="str">
        <f t="shared" si="8"/>
        <v>Occasional</v>
      </c>
    </row>
    <row r="82" spans="1:8" x14ac:dyDescent="0.35">
      <c r="A82" s="14" t="str">
        <f>Cleaned_Customers!A15</f>
        <v>C2014</v>
      </c>
      <c r="B82" s="14" t="str">
        <f>Cleaned_Customers!B15</f>
        <v>Rajata Loyal</v>
      </c>
      <c r="C82" s="22">
        <f>SUMIF(Cleaned_Sales!$E$2:$E$714,A82,Cleaned_Sales!$K$2:$K$714)</f>
        <v>966025</v>
      </c>
      <c r="D82" s="14">
        <f>COUNTIF(Cleaned_Sales!$E$2:$E$714,A82)</f>
        <v>5</v>
      </c>
      <c r="E82" s="22">
        <f t="shared" si="6"/>
        <v>193205</v>
      </c>
      <c r="F82" s="21">
        <f>IFERROR(_xlfn.MAXIFS(Cleaned_Sales!$B$2:$B$714,Cleaned_Sales!$E$2:$E$714,A82),"")</f>
        <v>45441</v>
      </c>
      <c r="G82" s="14">
        <f t="shared" si="7"/>
        <v>435</v>
      </c>
      <c r="H82" s="14" t="str">
        <f t="shared" si="8"/>
        <v>Loyal</v>
      </c>
    </row>
    <row r="83" spans="1:8" x14ac:dyDescent="0.35">
      <c r="A83" s="14" t="str">
        <f>Cleaned_Customers!A16</f>
        <v>C2015</v>
      </c>
      <c r="B83" s="14" t="str">
        <f>Cleaned_Customers!B16</f>
        <v>Pavani Narayanan</v>
      </c>
      <c r="C83" s="22">
        <f>SUMIF(Cleaned_Sales!$E$2:$E$714,A83,Cleaned_Sales!$K$2:$K$714)</f>
        <v>695190</v>
      </c>
      <c r="D83" s="14">
        <f>COUNTIF(Cleaned_Sales!$E$2:$E$714,A83)</f>
        <v>3</v>
      </c>
      <c r="E83" s="22">
        <f t="shared" si="6"/>
        <v>231730</v>
      </c>
      <c r="F83" s="21">
        <f>IFERROR(_xlfn.MAXIFS(Cleaned_Sales!$B$2:$B$714,Cleaned_Sales!$E$2:$E$714,A83),"")</f>
        <v>45768</v>
      </c>
      <c r="G83" s="14">
        <f t="shared" si="7"/>
        <v>108</v>
      </c>
      <c r="H83" s="14" t="str">
        <f t="shared" si="8"/>
        <v>Occasional</v>
      </c>
    </row>
    <row r="84" spans="1:8" x14ac:dyDescent="0.35">
      <c r="A84" s="14" t="str">
        <f>Cleaned_Customers!A17</f>
        <v>C2016</v>
      </c>
      <c r="B84" s="14" t="str">
        <f>Cleaned_Customers!B17</f>
        <v>Ishaan Bhattacharyya</v>
      </c>
      <c r="C84" s="22">
        <f>SUMIF(Cleaned_Sales!$E$2:$E$714,A84,Cleaned_Sales!$K$2:$K$714)</f>
        <v>1302625.5</v>
      </c>
      <c r="D84" s="14">
        <f>COUNTIF(Cleaned_Sales!$E$2:$E$714,A84)</f>
        <v>5</v>
      </c>
      <c r="E84" s="22">
        <f t="shared" si="6"/>
        <v>260525.1</v>
      </c>
      <c r="F84" s="21">
        <f>IFERROR(_xlfn.MAXIFS(Cleaned_Sales!$B$2:$B$714,Cleaned_Sales!$E$2:$E$714,A84),"")</f>
        <v>45619</v>
      </c>
      <c r="G84" s="14">
        <f t="shared" si="7"/>
        <v>257</v>
      </c>
      <c r="H84" s="14" t="str">
        <f t="shared" si="8"/>
        <v>Champion</v>
      </c>
    </row>
    <row r="85" spans="1:8" x14ac:dyDescent="0.35">
      <c r="A85" s="14" t="str">
        <f>Cleaned_Customers!A18</f>
        <v>C2017</v>
      </c>
      <c r="B85" s="14" t="str">
        <f>Cleaned_Customers!B18</f>
        <v>Vincent Mani</v>
      </c>
      <c r="C85" s="22">
        <f>SUMIF(Cleaned_Sales!$E$2:$E$714,A85,Cleaned_Sales!$K$2:$K$714)</f>
        <v>409152.5</v>
      </c>
      <c r="D85" s="14">
        <f>COUNTIF(Cleaned_Sales!$E$2:$E$714,A85)</f>
        <v>4</v>
      </c>
      <c r="E85" s="22">
        <f t="shared" si="6"/>
        <v>102288.125</v>
      </c>
      <c r="F85" s="21">
        <f>IFERROR(_xlfn.MAXIFS(Cleaned_Sales!$B$2:$B$714,Cleaned_Sales!$E$2:$E$714,A85),"")</f>
        <v>45836</v>
      </c>
      <c r="G85" s="14">
        <f t="shared" si="7"/>
        <v>40</v>
      </c>
      <c r="H85" s="14" t="str">
        <f t="shared" si="8"/>
        <v>Occasional</v>
      </c>
    </row>
    <row r="86" spans="1:8" x14ac:dyDescent="0.35">
      <c r="A86" s="14" t="str">
        <f>Cleaned_Customers!A19</f>
        <v>C2018</v>
      </c>
      <c r="B86" s="14" t="str">
        <f>Cleaned_Customers!B19</f>
        <v>Zilmil Sathe</v>
      </c>
      <c r="C86" s="22">
        <f>SUMIF(Cleaned_Sales!$E$2:$E$714,A86,Cleaned_Sales!$K$2:$K$714)</f>
        <v>269244</v>
      </c>
      <c r="D86" s="14">
        <f>COUNTIF(Cleaned_Sales!$E$2:$E$714,A86)</f>
        <v>3</v>
      </c>
      <c r="E86" s="22">
        <f t="shared" si="6"/>
        <v>89748</v>
      </c>
      <c r="F86" s="21">
        <f>IFERROR(_xlfn.MAXIFS(Cleaned_Sales!$B$2:$B$714,Cleaned_Sales!$E$2:$E$714,A86),"")</f>
        <v>45846</v>
      </c>
      <c r="G86" s="14">
        <f t="shared" si="7"/>
        <v>30</v>
      </c>
      <c r="H86" s="14" t="str">
        <f t="shared" si="8"/>
        <v>Occasional</v>
      </c>
    </row>
    <row r="87" spans="1:8" x14ac:dyDescent="0.35">
      <c r="A87" s="14" t="str">
        <f>Cleaned_Customers!A20</f>
        <v>C2019</v>
      </c>
      <c r="B87" s="14" t="str">
        <f>Cleaned_Customers!B20</f>
        <v>Ayush Khatri</v>
      </c>
      <c r="C87" s="22">
        <f>SUMIF(Cleaned_Sales!$E$2:$E$714,A87,Cleaned_Sales!$K$2:$K$714)</f>
        <v>265734</v>
      </c>
      <c r="D87" s="14">
        <f>COUNTIF(Cleaned_Sales!$E$2:$E$714,A87)</f>
        <v>2</v>
      </c>
      <c r="E87" s="22">
        <f t="shared" si="6"/>
        <v>132867</v>
      </c>
      <c r="F87" s="21">
        <f>IFERROR(_xlfn.MAXIFS(Cleaned_Sales!$B$2:$B$714,Cleaned_Sales!$E$2:$E$714,A87),"")</f>
        <v>45808</v>
      </c>
      <c r="G87" s="14">
        <f t="shared" si="7"/>
        <v>68</v>
      </c>
      <c r="H87" s="14" t="str">
        <f t="shared" si="8"/>
        <v>Occasional</v>
      </c>
    </row>
    <row r="88" spans="1:8" x14ac:dyDescent="0.35">
      <c r="A88" s="14" t="str">
        <f>Cleaned_Customers!A21</f>
        <v>C2020</v>
      </c>
      <c r="B88" s="14" t="str">
        <f>Cleaned_Customers!B21</f>
        <v>Tamanna Nagy</v>
      </c>
      <c r="C88" s="22">
        <f>SUMIF(Cleaned_Sales!$E$2:$E$714,A88,Cleaned_Sales!$K$2:$K$714)</f>
        <v>1220456.5</v>
      </c>
      <c r="D88" s="14">
        <f>COUNTIF(Cleaned_Sales!$E$2:$E$714,A88)</f>
        <v>6</v>
      </c>
      <c r="E88" s="22">
        <f t="shared" si="6"/>
        <v>203409.41666666666</v>
      </c>
      <c r="F88" s="21">
        <f>IFERROR(_xlfn.MAXIFS(Cleaned_Sales!$B$2:$B$714,Cleaned_Sales!$E$2:$E$714,A88),"")</f>
        <v>45572</v>
      </c>
      <c r="G88" s="14">
        <f t="shared" si="7"/>
        <v>304</v>
      </c>
      <c r="H88" s="14" t="str">
        <f t="shared" si="8"/>
        <v>Champion</v>
      </c>
    </row>
    <row r="89" spans="1:8" x14ac:dyDescent="0.35">
      <c r="A89" s="14" t="str">
        <f>Cleaned_Customers!A22</f>
        <v>C2021</v>
      </c>
      <c r="B89" s="14" t="str">
        <f>Cleaned_Customers!B22</f>
        <v>Guneet Chaudhry</v>
      </c>
      <c r="C89" s="22">
        <f>SUMIF(Cleaned_Sales!$E$2:$E$714,A89,Cleaned_Sales!$K$2:$K$714)</f>
        <v>1357315</v>
      </c>
      <c r="D89" s="14">
        <f>COUNTIF(Cleaned_Sales!$E$2:$E$714,A89)</f>
        <v>7</v>
      </c>
      <c r="E89" s="22">
        <f t="shared" si="6"/>
        <v>193902.14285714287</v>
      </c>
      <c r="F89" s="21">
        <f>IFERROR(_xlfn.MAXIFS(Cleaned_Sales!$B$2:$B$714,Cleaned_Sales!$E$2:$E$714,A89),"")</f>
        <v>45818</v>
      </c>
      <c r="G89" s="14">
        <f t="shared" si="7"/>
        <v>58</v>
      </c>
      <c r="H89" s="14" t="str">
        <f t="shared" si="8"/>
        <v>Champion</v>
      </c>
    </row>
    <row r="90" spans="1:8" x14ac:dyDescent="0.35">
      <c r="A90" s="14" t="str">
        <f>Cleaned_Customers!A23</f>
        <v>C2022</v>
      </c>
      <c r="B90" s="14" t="str">
        <f>Cleaned_Customers!B23</f>
        <v>Rushil Rajagopalan</v>
      </c>
      <c r="C90" s="22">
        <f>SUMIF(Cleaned_Sales!$E$2:$E$714,A90,Cleaned_Sales!$K$2:$K$714)</f>
        <v>1459273</v>
      </c>
      <c r="D90" s="14">
        <f>COUNTIF(Cleaned_Sales!$E$2:$E$714,A90)</f>
        <v>7</v>
      </c>
      <c r="E90" s="22">
        <f t="shared" si="6"/>
        <v>208467.57142857142</v>
      </c>
      <c r="F90" s="21">
        <f>IFERROR(_xlfn.MAXIFS(Cleaned_Sales!$B$2:$B$714,Cleaned_Sales!$E$2:$E$714,A90),"")</f>
        <v>45711</v>
      </c>
      <c r="G90" s="14">
        <f t="shared" si="7"/>
        <v>165</v>
      </c>
      <c r="H90" s="14" t="str">
        <f t="shared" si="8"/>
        <v>Champion</v>
      </c>
    </row>
    <row r="91" spans="1:8" x14ac:dyDescent="0.35">
      <c r="A91" s="14" t="str">
        <f>Cleaned_Customers!A24</f>
        <v>C2023</v>
      </c>
      <c r="B91" s="14" t="str">
        <f>Cleaned_Customers!B24</f>
        <v>Chakrika Nigam</v>
      </c>
      <c r="C91" s="22">
        <f>SUMIF(Cleaned_Sales!$E$2:$E$714,A91,Cleaned_Sales!$K$2:$K$714)</f>
        <v>1340492</v>
      </c>
      <c r="D91" s="14">
        <f>COUNTIF(Cleaned_Sales!$E$2:$E$714,A91)</f>
        <v>8</v>
      </c>
      <c r="E91" s="22">
        <f t="shared" si="6"/>
        <v>167561.5</v>
      </c>
      <c r="F91" s="21">
        <f>IFERROR(_xlfn.MAXIFS(Cleaned_Sales!$B$2:$B$714,Cleaned_Sales!$E$2:$E$714,A91),"")</f>
        <v>45813</v>
      </c>
      <c r="G91" s="14">
        <f t="shared" si="7"/>
        <v>63</v>
      </c>
      <c r="H91" s="14" t="str">
        <f t="shared" si="8"/>
        <v>Champion</v>
      </c>
    </row>
    <row r="92" spans="1:8" x14ac:dyDescent="0.35">
      <c r="A92" s="14" t="str">
        <f>Cleaned_Customers!A25</f>
        <v>C2024</v>
      </c>
      <c r="B92" s="14" t="str">
        <f>Cleaned_Customers!B25</f>
        <v>Oni Dubey</v>
      </c>
      <c r="C92" s="22">
        <f>SUMIF(Cleaned_Sales!$E$2:$E$714,A92,Cleaned_Sales!$K$2:$K$714)</f>
        <v>520845.5</v>
      </c>
      <c r="D92" s="14">
        <f>COUNTIF(Cleaned_Sales!$E$2:$E$714,A92)</f>
        <v>4</v>
      </c>
      <c r="E92" s="22">
        <f t="shared" si="6"/>
        <v>130211.375</v>
      </c>
      <c r="F92" s="21">
        <f>IFERROR(_xlfn.MAXIFS(Cleaned_Sales!$B$2:$B$714,Cleaned_Sales!$E$2:$E$714,A92),"")</f>
        <v>45826</v>
      </c>
      <c r="G92" s="14">
        <f t="shared" si="7"/>
        <v>50</v>
      </c>
      <c r="H92" s="14" t="str">
        <f t="shared" si="8"/>
        <v>Occasional</v>
      </c>
    </row>
    <row r="93" spans="1:8" x14ac:dyDescent="0.35">
      <c r="A93" s="14" t="str">
        <f>Cleaned_Customers!A26</f>
        <v>C2025</v>
      </c>
      <c r="B93" s="14" t="str">
        <f>Cleaned_Customers!B26</f>
        <v>Owen Choudhary</v>
      </c>
      <c r="C93" s="22">
        <f>SUMIF(Cleaned_Sales!$E$2:$E$714,A93,Cleaned_Sales!$K$2:$K$714)</f>
        <v>1436418.5</v>
      </c>
      <c r="D93" s="14">
        <f>COUNTIF(Cleaned_Sales!$E$2:$E$714,A93)</f>
        <v>6</v>
      </c>
      <c r="E93" s="22">
        <f t="shared" si="6"/>
        <v>239403.08333333334</v>
      </c>
      <c r="F93" s="21">
        <f>IFERROR(_xlfn.MAXIFS(Cleaned_Sales!$B$2:$B$714,Cleaned_Sales!$E$2:$E$714,A93),"")</f>
        <v>45683</v>
      </c>
      <c r="G93" s="14">
        <f t="shared" si="7"/>
        <v>193</v>
      </c>
      <c r="H93" s="14" t="str">
        <f t="shared" si="8"/>
        <v>Champion</v>
      </c>
    </row>
    <row r="94" spans="1:8" x14ac:dyDescent="0.35">
      <c r="A94" s="14" t="str">
        <f>Cleaned_Customers!A27</f>
        <v>C2026</v>
      </c>
      <c r="B94" s="14" t="str">
        <f>Cleaned_Customers!B27</f>
        <v>Lakshmi Wali</v>
      </c>
      <c r="C94" s="22">
        <f>SUMIF(Cleaned_Sales!$E$2:$E$714,A94,Cleaned_Sales!$K$2:$K$714)</f>
        <v>598388</v>
      </c>
      <c r="D94" s="14">
        <f>COUNTIF(Cleaned_Sales!$E$2:$E$714,A94)</f>
        <v>3</v>
      </c>
      <c r="E94" s="22">
        <f t="shared" si="6"/>
        <v>199462.66666666666</v>
      </c>
      <c r="F94" s="21">
        <f>IFERROR(_xlfn.MAXIFS(Cleaned_Sales!$B$2:$B$714,Cleaned_Sales!$E$2:$E$714,A94),"")</f>
        <v>45661</v>
      </c>
      <c r="G94" s="14">
        <f t="shared" si="7"/>
        <v>215</v>
      </c>
      <c r="H94" s="14" t="str">
        <f t="shared" si="8"/>
        <v>At Risk</v>
      </c>
    </row>
    <row r="95" spans="1:8" x14ac:dyDescent="0.35">
      <c r="A95" s="14" t="str">
        <f>Cleaned_Customers!A28</f>
        <v>C2027</v>
      </c>
      <c r="B95" s="14" t="str">
        <f>Cleaned_Customers!B28</f>
        <v>Yashica Kala</v>
      </c>
      <c r="C95" s="22">
        <f>SUMIF(Cleaned_Sales!$E$2:$E$714,A95,Cleaned_Sales!$K$2:$K$714)</f>
        <v>1336899</v>
      </c>
      <c r="D95" s="14">
        <f>COUNTIF(Cleaned_Sales!$E$2:$E$714,A95)</f>
        <v>5</v>
      </c>
      <c r="E95" s="22">
        <f t="shared" si="6"/>
        <v>267379.8</v>
      </c>
      <c r="F95" s="21">
        <f>IFERROR(_xlfn.MAXIFS(Cleaned_Sales!$B$2:$B$714,Cleaned_Sales!$E$2:$E$714,A95),"")</f>
        <v>45430</v>
      </c>
      <c r="G95" s="14">
        <f t="shared" si="7"/>
        <v>446</v>
      </c>
      <c r="H95" s="14" t="str">
        <f t="shared" si="8"/>
        <v>Champion</v>
      </c>
    </row>
    <row r="96" spans="1:8" x14ac:dyDescent="0.35">
      <c r="A96" s="14" t="str">
        <f>Cleaned_Customers!A29</f>
        <v>C2028</v>
      </c>
      <c r="B96" s="14" t="str">
        <f>Cleaned_Customers!B29</f>
        <v>Charles Dugal</v>
      </c>
      <c r="C96" s="22">
        <f>SUMIF(Cleaned_Sales!$E$2:$E$714,A96,Cleaned_Sales!$K$2:$K$714)</f>
        <v>1838089</v>
      </c>
      <c r="D96" s="14">
        <f>COUNTIF(Cleaned_Sales!$E$2:$E$714,A96)</f>
        <v>8</v>
      </c>
      <c r="E96" s="22">
        <f t="shared" si="6"/>
        <v>229761.125</v>
      </c>
      <c r="F96" s="21">
        <f>IFERROR(_xlfn.MAXIFS(Cleaned_Sales!$B$2:$B$714,Cleaned_Sales!$E$2:$E$714,A96),"")</f>
        <v>45795</v>
      </c>
      <c r="G96" s="14">
        <f t="shared" si="7"/>
        <v>81</v>
      </c>
      <c r="H96" s="14" t="str">
        <f t="shared" si="8"/>
        <v>Champion</v>
      </c>
    </row>
    <row r="97" spans="1:8" x14ac:dyDescent="0.35">
      <c r="A97" s="14" t="str">
        <f>Cleaned_Customers!A30</f>
        <v>C2029</v>
      </c>
      <c r="B97" s="14" t="str">
        <f>Cleaned_Customers!B30</f>
        <v>Mekhala Basak</v>
      </c>
      <c r="C97" s="22">
        <f>SUMIF(Cleaned_Sales!$E$2:$E$714,A97,Cleaned_Sales!$K$2:$K$714)</f>
        <v>620412.5</v>
      </c>
      <c r="D97" s="14">
        <f>COUNTIF(Cleaned_Sales!$E$2:$E$714,A97)</f>
        <v>5</v>
      </c>
      <c r="E97" s="22">
        <f t="shared" si="6"/>
        <v>124082.5</v>
      </c>
      <c r="F97" s="21">
        <f>IFERROR(_xlfn.MAXIFS(Cleaned_Sales!$B$2:$B$714,Cleaned_Sales!$E$2:$E$714,A97),"")</f>
        <v>45865</v>
      </c>
      <c r="G97" s="14">
        <f t="shared" si="7"/>
        <v>11</v>
      </c>
      <c r="H97" s="14" t="str">
        <f t="shared" si="8"/>
        <v>Occasional</v>
      </c>
    </row>
    <row r="98" spans="1:8" x14ac:dyDescent="0.35">
      <c r="A98" s="14" t="str">
        <f>Cleaned_Customers!A31</f>
        <v>C2030</v>
      </c>
      <c r="B98" s="14" t="str">
        <f>Cleaned_Customers!B31</f>
        <v>Rudra Ghose</v>
      </c>
      <c r="C98" s="22">
        <f>SUMIF(Cleaned_Sales!$E$2:$E$714,A98,Cleaned_Sales!$K$2:$K$714)</f>
        <v>1311855</v>
      </c>
      <c r="D98" s="14">
        <f>COUNTIF(Cleaned_Sales!$E$2:$E$714,A98)</f>
        <v>4</v>
      </c>
      <c r="E98" s="22">
        <f t="shared" si="6"/>
        <v>327963.75</v>
      </c>
      <c r="F98" s="21">
        <f>IFERROR(_xlfn.MAXIFS(Cleaned_Sales!$B$2:$B$714,Cleaned_Sales!$E$2:$E$714,A98),"")</f>
        <v>45865</v>
      </c>
      <c r="G98" s="14">
        <f t="shared" si="7"/>
        <v>11</v>
      </c>
      <c r="H98" s="14" t="str">
        <f t="shared" si="8"/>
        <v>Champion</v>
      </c>
    </row>
    <row r="99" spans="1:8" x14ac:dyDescent="0.35">
      <c r="A99" s="14" t="str">
        <f>Cleaned_Customers!A32</f>
        <v>C2031</v>
      </c>
      <c r="B99" s="14" t="str">
        <f>Cleaned_Customers!B32</f>
        <v>Yachana Dora</v>
      </c>
      <c r="C99" s="22">
        <f>SUMIF(Cleaned_Sales!$E$2:$E$714,A99,Cleaned_Sales!$K$2:$K$714)</f>
        <v>627862</v>
      </c>
      <c r="D99" s="14">
        <f>COUNTIF(Cleaned_Sales!$E$2:$E$714,A99)</f>
        <v>3</v>
      </c>
      <c r="E99" s="22">
        <f t="shared" si="6"/>
        <v>209287.33333333334</v>
      </c>
      <c r="F99" s="21">
        <f>IFERROR(_xlfn.MAXIFS(Cleaned_Sales!$B$2:$B$714,Cleaned_Sales!$E$2:$E$714,A99),"")</f>
        <v>45472</v>
      </c>
      <c r="G99" s="14">
        <f t="shared" si="7"/>
        <v>404</v>
      </c>
      <c r="H99" s="14" t="str">
        <f t="shared" si="8"/>
        <v>At Risk</v>
      </c>
    </row>
    <row r="100" spans="1:8" x14ac:dyDescent="0.35">
      <c r="A100" s="14" t="str">
        <f>Cleaned_Customers!A33</f>
        <v>C2032</v>
      </c>
      <c r="B100" s="14" t="str">
        <f>Cleaned_Customers!B33</f>
        <v>Joshua Vyas</v>
      </c>
      <c r="C100" s="22">
        <f>SUMIF(Cleaned_Sales!$E$2:$E$714,A100,Cleaned_Sales!$K$2:$K$714)</f>
        <v>837334</v>
      </c>
      <c r="D100" s="14">
        <f>COUNTIF(Cleaned_Sales!$E$2:$E$714,A100)</f>
        <v>4</v>
      </c>
      <c r="E100" s="22">
        <f t="shared" si="6"/>
        <v>209333.5</v>
      </c>
      <c r="F100" s="21">
        <f>IFERROR(_xlfn.MAXIFS(Cleaned_Sales!$B$2:$B$714,Cleaned_Sales!$E$2:$E$714,A100),"")</f>
        <v>45725</v>
      </c>
      <c r="G100" s="14">
        <f t="shared" si="7"/>
        <v>151</v>
      </c>
      <c r="H100" s="14" t="str">
        <f t="shared" si="8"/>
        <v>Loyal</v>
      </c>
    </row>
    <row r="101" spans="1:8" x14ac:dyDescent="0.35">
      <c r="A101" s="14" t="str">
        <f>Cleaned_Customers!A34</f>
        <v>C2033</v>
      </c>
      <c r="B101" s="14" t="str">
        <f>Cleaned_Customers!B34</f>
        <v>Triya Manda</v>
      </c>
      <c r="C101" s="22">
        <f>SUMIF(Cleaned_Sales!$E$2:$E$714,A101,Cleaned_Sales!$K$2:$K$714)</f>
        <v>828917</v>
      </c>
      <c r="D101" s="14">
        <f>COUNTIF(Cleaned_Sales!$E$2:$E$714,A101)</f>
        <v>6</v>
      </c>
      <c r="E101" s="22">
        <f t="shared" ref="E101:E132" si="9">IFERROR(C101/D101,0)</f>
        <v>138152.83333333334</v>
      </c>
      <c r="F101" s="21">
        <f>IFERROR(_xlfn.MAXIFS(Cleaned_Sales!$B$2:$B$714,Cleaned_Sales!$E$2:$E$714,A101),"")</f>
        <v>45738</v>
      </c>
      <c r="G101" s="14">
        <f t="shared" ref="G101:G132" si="10">IF(F101="","",$N$68-F101)</f>
        <v>138</v>
      </c>
      <c r="H101" s="14" t="str">
        <f t="shared" ref="H101:H132" si="11">IF(D101=0,"No Purchases",IF(AND(C101&gt;=QUARTILE($C$69:$C$217,3),D101&gt;=2),"Champion",IF(C101&gt;=QUARTILE($C$69:$C$217,2),"Loyal",IF(G101&gt;180,"At Risk","Occasional"))))</f>
        <v>Occasional</v>
      </c>
    </row>
    <row r="102" spans="1:8" x14ac:dyDescent="0.35">
      <c r="A102" s="14" t="str">
        <f>Cleaned_Customers!A35</f>
        <v>C2034</v>
      </c>
      <c r="B102" s="14" t="str">
        <f>Cleaned_Customers!B35</f>
        <v>Liam Singh</v>
      </c>
      <c r="C102" s="22">
        <f>SUMIF(Cleaned_Sales!$E$2:$E$714,A102,Cleaned_Sales!$K$2:$K$714)</f>
        <v>1012749.5</v>
      </c>
      <c r="D102" s="14">
        <f>COUNTIF(Cleaned_Sales!$E$2:$E$714,A102)</f>
        <v>3</v>
      </c>
      <c r="E102" s="22">
        <f t="shared" si="9"/>
        <v>337583.16666666669</v>
      </c>
      <c r="F102" s="21">
        <f>IFERROR(_xlfn.MAXIFS(Cleaned_Sales!$B$2:$B$714,Cleaned_Sales!$E$2:$E$714,A102),"")</f>
        <v>45657</v>
      </c>
      <c r="G102" s="14">
        <f t="shared" si="10"/>
        <v>219</v>
      </c>
      <c r="H102" s="14" t="str">
        <f t="shared" si="11"/>
        <v>Loyal</v>
      </c>
    </row>
    <row r="103" spans="1:8" x14ac:dyDescent="0.35">
      <c r="A103" s="14" t="str">
        <f>Cleaned_Customers!A36</f>
        <v>C2035</v>
      </c>
      <c r="B103" s="14" t="str">
        <f>Cleaned_Customers!B36</f>
        <v>Madhavi Singhal</v>
      </c>
      <c r="C103" s="22">
        <f>SUMIF(Cleaned_Sales!$E$2:$E$714,A103,Cleaned_Sales!$K$2:$K$714)</f>
        <v>1152870</v>
      </c>
      <c r="D103" s="14">
        <f>COUNTIF(Cleaned_Sales!$E$2:$E$714,A103)</f>
        <v>3</v>
      </c>
      <c r="E103" s="22">
        <f t="shared" si="9"/>
        <v>384290</v>
      </c>
      <c r="F103" s="21">
        <f>IFERROR(_xlfn.MAXIFS(Cleaned_Sales!$B$2:$B$714,Cleaned_Sales!$E$2:$E$714,A103),"")</f>
        <v>45816</v>
      </c>
      <c r="G103" s="14">
        <f t="shared" si="10"/>
        <v>60</v>
      </c>
      <c r="H103" s="14" t="str">
        <f t="shared" si="11"/>
        <v>Loyal</v>
      </c>
    </row>
    <row r="104" spans="1:8" x14ac:dyDescent="0.35">
      <c r="A104" s="14" t="str">
        <f>Cleaned_Customers!A37</f>
        <v>C2036</v>
      </c>
      <c r="B104" s="14" t="str">
        <f>Cleaned_Customers!B37</f>
        <v>Ria Raju</v>
      </c>
      <c r="C104" s="22">
        <f>SUMIF(Cleaned_Sales!$E$2:$E$714,A104,Cleaned_Sales!$K$2:$K$714)</f>
        <v>1417208</v>
      </c>
      <c r="D104" s="14">
        <f>COUNTIF(Cleaned_Sales!$E$2:$E$714,A104)</f>
        <v>4</v>
      </c>
      <c r="E104" s="22">
        <f t="shared" si="9"/>
        <v>354302</v>
      </c>
      <c r="F104" s="21">
        <f>IFERROR(_xlfn.MAXIFS(Cleaned_Sales!$B$2:$B$714,Cleaned_Sales!$E$2:$E$714,A104),"")</f>
        <v>45719</v>
      </c>
      <c r="G104" s="14">
        <f t="shared" si="10"/>
        <v>157</v>
      </c>
      <c r="H104" s="14" t="str">
        <f t="shared" si="11"/>
        <v>Champion</v>
      </c>
    </row>
    <row r="105" spans="1:8" x14ac:dyDescent="0.35">
      <c r="A105" s="14" t="str">
        <f>Cleaned_Customers!A38</f>
        <v>C2037</v>
      </c>
      <c r="B105" s="14" t="str">
        <f>Cleaned_Customers!B38</f>
        <v>Leela Bali</v>
      </c>
      <c r="C105" s="22">
        <f>SUMIF(Cleaned_Sales!$E$2:$E$714,A105,Cleaned_Sales!$K$2:$K$714)</f>
        <v>860817</v>
      </c>
      <c r="D105" s="14">
        <f>COUNTIF(Cleaned_Sales!$E$2:$E$714,A105)</f>
        <v>4</v>
      </c>
      <c r="E105" s="22">
        <f t="shared" si="9"/>
        <v>215204.25</v>
      </c>
      <c r="F105" s="21">
        <f>IFERROR(_xlfn.MAXIFS(Cleaned_Sales!$B$2:$B$714,Cleaned_Sales!$E$2:$E$714,A105),"")</f>
        <v>45583</v>
      </c>
      <c r="G105" s="14">
        <f t="shared" si="10"/>
        <v>293</v>
      </c>
      <c r="H105" s="14" t="str">
        <f t="shared" si="11"/>
        <v>Loyal</v>
      </c>
    </row>
    <row r="106" spans="1:8" x14ac:dyDescent="0.35">
      <c r="A106" s="14" t="str">
        <f>Cleaned_Customers!A39</f>
        <v>C2038</v>
      </c>
      <c r="B106" s="14" t="str">
        <f>Cleaned_Customers!B39</f>
        <v>Jairaj Iyer</v>
      </c>
      <c r="C106" s="22">
        <f>SUMIF(Cleaned_Sales!$E$2:$E$714,A106,Cleaned_Sales!$K$2:$K$714)</f>
        <v>1342575</v>
      </c>
      <c r="D106" s="14">
        <f>COUNTIF(Cleaned_Sales!$E$2:$E$714,A106)</f>
        <v>7</v>
      </c>
      <c r="E106" s="22">
        <f t="shared" si="9"/>
        <v>191796.42857142858</v>
      </c>
      <c r="F106" s="21">
        <f>IFERROR(_xlfn.MAXIFS(Cleaned_Sales!$B$2:$B$714,Cleaned_Sales!$E$2:$E$714,A106),"")</f>
        <v>45807</v>
      </c>
      <c r="G106" s="14">
        <f t="shared" si="10"/>
        <v>69</v>
      </c>
      <c r="H106" s="14" t="str">
        <f t="shared" si="11"/>
        <v>Champion</v>
      </c>
    </row>
    <row r="107" spans="1:8" x14ac:dyDescent="0.35">
      <c r="A107" s="14" t="str">
        <f>Cleaned_Customers!A40</f>
        <v>C2039</v>
      </c>
      <c r="B107" s="14" t="str">
        <f>Cleaned_Customers!B40</f>
        <v>Farhan Krishna</v>
      </c>
      <c r="C107" s="22">
        <f>SUMIF(Cleaned_Sales!$E$2:$E$714,A107,Cleaned_Sales!$K$2:$K$714)</f>
        <v>429817</v>
      </c>
      <c r="D107" s="14">
        <f>COUNTIF(Cleaned_Sales!$E$2:$E$714,A107)</f>
        <v>3</v>
      </c>
      <c r="E107" s="22">
        <f t="shared" si="9"/>
        <v>143272.33333333334</v>
      </c>
      <c r="F107" s="21">
        <f>IFERROR(_xlfn.MAXIFS(Cleaned_Sales!$B$2:$B$714,Cleaned_Sales!$E$2:$E$714,A107),"")</f>
        <v>45845</v>
      </c>
      <c r="G107" s="14">
        <f t="shared" si="10"/>
        <v>31</v>
      </c>
      <c r="H107" s="14" t="str">
        <f t="shared" si="11"/>
        <v>Occasional</v>
      </c>
    </row>
    <row r="108" spans="1:8" x14ac:dyDescent="0.35">
      <c r="A108" s="14" t="str">
        <f>Cleaned_Customers!A41</f>
        <v>C2040</v>
      </c>
      <c r="B108" s="14" t="str">
        <f>Cleaned_Customers!B41</f>
        <v>Maanas Munshi</v>
      </c>
      <c r="C108" s="22">
        <f>SUMIF(Cleaned_Sales!$E$2:$E$714,A108,Cleaned_Sales!$K$2:$K$714)</f>
        <v>1060715.5</v>
      </c>
      <c r="D108" s="14">
        <f>COUNTIF(Cleaned_Sales!$E$2:$E$714,A108)</f>
        <v>7</v>
      </c>
      <c r="E108" s="22">
        <f t="shared" si="9"/>
        <v>151530.78571428571</v>
      </c>
      <c r="F108" s="21">
        <f>IFERROR(_xlfn.MAXIFS(Cleaned_Sales!$B$2:$B$714,Cleaned_Sales!$E$2:$E$714,A108),"")</f>
        <v>45691</v>
      </c>
      <c r="G108" s="14">
        <f t="shared" si="10"/>
        <v>185</v>
      </c>
      <c r="H108" s="14" t="str">
        <f t="shared" si="11"/>
        <v>Loyal</v>
      </c>
    </row>
    <row r="109" spans="1:8" x14ac:dyDescent="0.35">
      <c r="A109" s="14" t="str">
        <f>Cleaned_Customers!A42</f>
        <v>C2041</v>
      </c>
      <c r="B109" s="14" t="str">
        <f>Cleaned_Customers!B42</f>
        <v>Bhavika Yadav</v>
      </c>
      <c r="C109" s="22">
        <f>SUMIF(Cleaned_Sales!$E$2:$E$714,A109,Cleaned_Sales!$K$2:$K$714)</f>
        <v>1151130.5</v>
      </c>
      <c r="D109" s="14">
        <f>COUNTIF(Cleaned_Sales!$E$2:$E$714,A109)</f>
        <v>4</v>
      </c>
      <c r="E109" s="22">
        <f t="shared" si="9"/>
        <v>287782.625</v>
      </c>
      <c r="F109" s="21">
        <f>IFERROR(_xlfn.MAXIFS(Cleaned_Sales!$B$2:$B$714,Cleaned_Sales!$E$2:$E$714,A109),"")</f>
        <v>45370</v>
      </c>
      <c r="G109" s="14">
        <f t="shared" si="10"/>
        <v>506</v>
      </c>
      <c r="H109" s="14" t="str">
        <f t="shared" si="11"/>
        <v>Loyal</v>
      </c>
    </row>
    <row r="110" spans="1:8" x14ac:dyDescent="0.35">
      <c r="A110" s="14" t="str">
        <f>Cleaned_Customers!A43</f>
        <v>C2042</v>
      </c>
      <c r="B110" s="14" t="str">
        <f>Cleaned_Customers!B43</f>
        <v>Manthan Varma</v>
      </c>
      <c r="C110" s="22">
        <f>SUMIF(Cleaned_Sales!$E$2:$E$714,A110,Cleaned_Sales!$K$2:$K$714)</f>
        <v>347951</v>
      </c>
      <c r="D110" s="14">
        <f>COUNTIF(Cleaned_Sales!$E$2:$E$714,A110)</f>
        <v>3</v>
      </c>
      <c r="E110" s="22">
        <f t="shared" si="9"/>
        <v>115983.66666666667</v>
      </c>
      <c r="F110" s="21">
        <f>IFERROR(_xlfn.MAXIFS(Cleaned_Sales!$B$2:$B$714,Cleaned_Sales!$E$2:$E$714,A110),"")</f>
        <v>45645</v>
      </c>
      <c r="G110" s="14">
        <f t="shared" si="10"/>
        <v>231</v>
      </c>
      <c r="H110" s="14" t="str">
        <f t="shared" si="11"/>
        <v>At Risk</v>
      </c>
    </row>
    <row r="111" spans="1:8" x14ac:dyDescent="0.35">
      <c r="A111" s="14" t="str">
        <f>Cleaned_Customers!A44</f>
        <v>C2043</v>
      </c>
      <c r="B111" s="14" t="str">
        <f>Cleaned_Customers!B44</f>
        <v>Max Sachar</v>
      </c>
      <c r="C111" s="22">
        <f>SUMIF(Cleaned_Sales!$E$2:$E$714,A111,Cleaned_Sales!$K$2:$K$714)</f>
        <v>476602</v>
      </c>
      <c r="D111" s="14">
        <f>COUNTIF(Cleaned_Sales!$E$2:$E$714,A111)</f>
        <v>3</v>
      </c>
      <c r="E111" s="22">
        <f t="shared" si="9"/>
        <v>158867.33333333334</v>
      </c>
      <c r="F111" s="21">
        <f>IFERROR(_xlfn.MAXIFS(Cleaned_Sales!$B$2:$B$714,Cleaned_Sales!$E$2:$E$714,A111),"")</f>
        <v>45153</v>
      </c>
      <c r="G111" s="14">
        <f t="shared" si="10"/>
        <v>723</v>
      </c>
      <c r="H111" s="14" t="str">
        <f t="shared" si="11"/>
        <v>At Risk</v>
      </c>
    </row>
    <row r="112" spans="1:8" x14ac:dyDescent="0.35">
      <c r="A112" s="14" t="str">
        <f>Cleaned_Customers!A45</f>
        <v>C2044</v>
      </c>
      <c r="B112" s="14" t="str">
        <f>Cleaned_Customers!B45</f>
        <v>Bina Basak</v>
      </c>
      <c r="C112" s="22">
        <f>SUMIF(Cleaned_Sales!$E$2:$E$714,A112,Cleaned_Sales!$K$2:$K$714)</f>
        <v>232809</v>
      </c>
      <c r="D112" s="14">
        <f>COUNTIF(Cleaned_Sales!$E$2:$E$714,A112)</f>
        <v>4</v>
      </c>
      <c r="E112" s="22">
        <f t="shared" si="9"/>
        <v>58202.25</v>
      </c>
      <c r="F112" s="21">
        <f>IFERROR(_xlfn.MAXIFS(Cleaned_Sales!$B$2:$B$714,Cleaned_Sales!$E$2:$E$714,A112),"")</f>
        <v>45715</v>
      </c>
      <c r="G112" s="14">
        <f t="shared" si="10"/>
        <v>161</v>
      </c>
      <c r="H112" s="14" t="str">
        <f t="shared" si="11"/>
        <v>Occasional</v>
      </c>
    </row>
    <row r="113" spans="1:8" x14ac:dyDescent="0.35">
      <c r="A113" s="14" t="str">
        <f>Cleaned_Customers!A46</f>
        <v>C2045</v>
      </c>
      <c r="B113" s="14" t="str">
        <f>Cleaned_Customers!B46</f>
        <v>Patrick Bansal</v>
      </c>
      <c r="C113" s="22">
        <f>SUMIF(Cleaned_Sales!$E$2:$E$714,A113,Cleaned_Sales!$K$2:$K$714)</f>
        <v>552334.5</v>
      </c>
      <c r="D113" s="14">
        <f>COUNTIF(Cleaned_Sales!$E$2:$E$714,A113)</f>
        <v>3</v>
      </c>
      <c r="E113" s="22">
        <f t="shared" si="9"/>
        <v>184111.5</v>
      </c>
      <c r="F113" s="21">
        <f>IFERROR(_xlfn.MAXIFS(Cleaned_Sales!$B$2:$B$714,Cleaned_Sales!$E$2:$E$714,A113),"")</f>
        <v>45824</v>
      </c>
      <c r="G113" s="14">
        <f t="shared" si="10"/>
        <v>52</v>
      </c>
      <c r="H113" s="14" t="str">
        <f t="shared" si="11"/>
        <v>Occasional</v>
      </c>
    </row>
    <row r="114" spans="1:8" x14ac:dyDescent="0.35">
      <c r="A114" s="14" t="str">
        <f>Cleaned_Customers!A47</f>
        <v>C2046</v>
      </c>
      <c r="B114" s="14" t="str">
        <f>Cleaned_Customers!B47</f>
        <v>Advika Rajagopal</v>
      </c>
      <c r="C114" s="22">
        <f>SUMIF(Cleaned_Sales!$E$2:$E$714,A114,Cleaned_Sales!$K$2:$K$714)</f>
        <v>612510</v>
      </c>
      <c r="D114" s="14">
        <f>COUNTIF(Cleaned_Sales!$E$2:$E$714,A114)</f>
        <v>5</v>
      </c>
      <c r="E114" s="22">
        <f t="shared" si="9"/>
        <v>122502</v>
      </c>
      <c r="F114" s="21">
        <f>IFERROR(_xlfn.MAXIFS(Cleaned_Sales!$B$2:$B$714,Cleaned_Sales!$E$2:$E$714,A114),"")</f>
        <v>45615</v>
      </c>
      <c r="G114" s="14">
        <f t="shared" si="10"/>
        <v>261</v>
      </c>
      <c r="H114" s="14" t="str">
        <f t="shared" si="11"/>
        <v>At Risk</v>
      </c>
    </row>
    <row r="115" spans="1:8" x14ac:dyDescent="0.35">
      <c r="A115" s="14" t="str">
        <f>Cleaned_Customers!A48</f>
        <v>C2047</v>
      </c>
      <c r="B115" s="14" t="str">
        <f>Cleaned_Customers!B48</f>
        <v>Mason Gala</v>
      </c>
      <c r="C115" s="22">
        <f>SUMIF(Cleaned_Sales!$E$2:$E$714,A115,Cleaned_Sales!$K$2:$K$714)</f>
        <v>809003.5</v>
      </c>
      <c r="D115" s="14">
        <f>COUNTIF(Cleaned_Sales!$E$2:$E$714,A115)</f>
        <v>6</v>
      </c>
      <c r="E115" s="22">
        <f t="shared" si="9"/>
        <v>134833.91666666666</v>
      </c>
      <c r="F115" s="21">
        <f>IFERROR(_xlfn.MAXIFS(Cleaned_Sales!$B$2:$B$714,Cleaned_Sales!$E$2:$E$714,A115),"")</f>
        <v>45794</v>
      </c>
      <c r="G115" s="14">
        <f t="shared" si="10"/>
        <v>82</v>
      </c>
      <c r="H115" s="14" t="str">
        <f t="shared" si="11"/>
        <v>Occasional</v>
      </c>
    </row>
    <row r="116" spans="1:8" x14ac:dyDescent="0.35">
      <c r="A116" s="14" t="str">
        <f>Cleaned_Customers!A49</f>
        <v>C2048</v>
      </c>
      <c r="B116" s="14" t="str">
        <f>Cleaned_Customers!B49</f>
        <v>Kiaan Pall</v>
      </c>
      <c r="C116" s="22">
        <f>SUMIF(Cleaned_Sales!$E$2:$E$714,A116,Cleaned_Sales!$K$2:$K$714)</f>
        <v>446852</v>
      </c>
      <c r="D116" s="14">
        <f>COUNTIF(Cleaned_Sales!$E$2:$E$714,A116)</f>
        <v>2</v>
      </c>
      <c r="E116" s="22">
        <f t="shared" si="9"/>
        <v>223426</v>
      </c>
      <c r="F116" s="21">
        <f>IFERROR(_xlfn.MAXIFS(Cleaned_Sales!$B$2:$B$714,Cleaned_Sales!$E$2:$E$714,A116),"")</f>
        <v>45692</v>
      </c>
      <c r="G116" s="14">
        <f t="shared" si="10"/>
        <v>184</v>
      </c>
      <c r="H116" s="14" t="str">
        <f t="shared" si="11"/>
        <v>At Risk</v>
      </c>
    </row>
    <row r="117" spans="1:8" x14ac:dyDescent="0.35">
      <c r="A117" s="14" t="str">
        <f>Cleaned_Customers!A50</f>
        <v>C2049</v>
      </c>
      <c r="B117" s="14" t="str">
        <f>Cleaned_Customers!B50</f>
        <v>Eiravati Nagi</v>
      </c>
      <c r="C117" s="22">
        <f>SUMIF(Cleaned_Sales!$E$2:$E$714,A117,Cleaned_Sales!$K$2:$K$714)</f>
        <v>840143</v>
      </c>
      <c r="D117" s="14">
        <f>COUNTIF(Cleaned_Sales!$E$2:$E$714,A117)</f>
        <v>4</v>
      </c>
      <c r="E117" s="22">
        <f t="shared" si="9"/>
        <v>210035.75</v>
      </c>
      <c r="F117" s="21">
        <f>IFERROR(_xlfn.MAXIFS(Cleaned_Sales!$B$2:$B$714,Cleaned_Sales!$E$2:$E$714,A117),"")</f>
        <v>45861</v>
      </c>
      <c r="G117" s="14">
        <f t="shared" si="10"/>
        <v>15</v>
      </c>
      <c r="H117" s="14" t="str">
        <f t="shared" si="11"/>
        <v>Loyal</v>
      </c>
    </row>
    <row r="118" spans="1:8" x14ac:dyDescent="0.35">
      <c r="A118" s="14" t="str">
        <f>Cleaned_Customers!A51</f>
        <v>C2050</v>
      </c>
      <c r="B118" s="14" t="str">
        <f>Cleaned_Customers!B51</f>
        <v>George Wason</v>
      </c>
      <c r="C118" s="22">
        <f>SUMIF(Cleaned_Sales!$E$2:$E$714,A118,Cleaned_Sales!$K$2:$K$714)</f>
        <v>2040661.5</v>
      </c>
      <c r="D118" s="14">
        <f>COUNTIF(Cleaned_Sales!$E$2:$E$714,A118)</f>
        <v>7</v>
      </c>
      <c r="E118" s="22">
        <f t="shared" si="9"/>
        <v>291523.07142857142</v>
      </c>
      <c r="F118" s="21">
        <f>IFERROR(_xlfn.MAXIFS(Cleaned_Sales!$B$2:$B$714,Cleaned_Sales!$E$2:$E$714,A118),"")</f>
        <v>45738</v>
      </c>
      <c r="G118" s="14">
        <f t="shared" si="10"/>
        <v>138</v>
      </c>
      <c r="H118" s="14" t="str">
        <f t="shared" si="11"/>
        <v>Champion</v>
      </c>
    </row>
    <row r="119" spans="1:8" x14ac:dyDescent="0.35">
      <c r="A119" s="14" t="str">
        <f>Cleaned_Customers!A52</f>
        <v>C2051</v>
      </c>
      <c r="B119" s="14" t="str">
        <f>Cleaned_Customers!B52</f>
        <v>Madhav Babu</v>
      </c>
      <c r="C119" s="22">
        <f>SUMIF(Cleaned_Sales!$E$2:$E$714,A119,Cleaned_Sales!$K$2:$K$714)</f>
        <v>586362</v>
      </c>
      <c r="D119" s="14">
        <f>COUNTIF(Cleaned_Sales!$E$2:$E$714,A119)</f>
        <v>4</v>
      </c>
      <c r="E119" s="22">
        <f t="shared" si="9"/>
        <v>146590.5</v>
      </c>
      <c r="F119" s="21">
        <f>IFERROR(_xlfn.MAXIFS(Cleaned_Sales!$B$2:$B$714,Cleaned_Sales!$E$2:$E$714,A119),"")</f>
        <v>45245</v>
      </c>
      <c r="G119" s="14">
        <f t="shared" si="10"/>
        <v>631</v>
      </c>
      <c r="H119" s="14" t="str">
        <f t="shared" si="11"/>
        <v>At Risk</v>
      </c>
    </row>
    <row r="120" spans="1:8" x14ac:dyDescent="0.35">
      <c r="A120" s="14" t="str">
        <f>Cleaned_Customers!A53</f>
        <v>C2052</v>
      </c>
      <c r="B120" s="14" t="str">
        <f>Cleaned_Customers!B53</f>
        <v>Nisha Arora</v>
      </c>
      <c r="C120" s="22">
        <f>SUMIF(Cleaned_Sales!$E$2:$E$714,A120,Cleaned_Sales!$K$2:$K$714)</f>
        <v>915706.5</v>
      </c>
      <c r="D120" s="14">
        <f>COUNTIF(Cleaned_Sales!$E$2:$E$714,A120)</f>
        <v>4</v>
      </c>
      <c r="E120" s="22">
        <f t="shared" si="9"/>
        <v>228926.625</v>
      </c>
      <c r="F120" s="21">
        <f>IFERROR(_xlfn.MAXIFS(Cleaned_Sales!$B$2:$B$714,Cleaned_Sales!$E$2:$E$714,A120),"")</f>
        <v>45067</v>
      </c>
      <c r="G120" s="14">
        <f t="shared" si="10"/>
        <v>809</v>
      </c>
      <c r="H120" s="14" t="str">
        <f t="shared" si="11"/>
        <v>Loyal</v>
      </c>
    </row>
    <row r="121" spans="1:8" x14ac:dyDescent="0.35">
      <c r="A121" s="14" t="str">
        <f>Cleaned_Customers!A54</f>
        <v>C2053</v>
      </c>
      <c r="B121" s="14" t="str">
        <f>Cleaned_Customers!B54</f>
        <v>Victor Kakar</v>
      </c>
      <c r="C121" s="22">
        <f>SUMIF(Cleaned_Sales!$E$2:$E$714,A121,Cleaned_Sales!$K$2:$K$714)</f>
        <v>1737848.5</v>
      </c>
      <c r="D121" s="14">
        <f>COUNTIF(Cleaned_Sales!$E$2:$E$714,A121)</f>
        <v>7</v>
      </c>
      <c r="E121" s="22">
        <f t="shared" si="9"/>
        <v>248264.07142857142</v>
      </c>
      <c r="F121" s="21">
        <f>IFERROR(_xlfn.MAXIFS(Cleaned_Sales!$B$2:$B$714,Cleaned_Sales!$E$2:$E$714,A121),"")</f>
        <v>45623</v>
      </c>
      <c r="G121" s="14">
        <f t="shared" si="10"/>
        <v>253</v>
      </c>
      <c r="H121" s="14" t="str">
        <f t="shared" si="11"/>
        <v>Champion</v>
      </c>
    </row>
    <row r="122" spans="1:8" x14ac:dyDescent="0.35">
      <c r="A122" s="14" t="str">
        <f>Cleaned_Customers!A55</f>
        <v>C2054</v>
      </c>
      <c r="B122" s="14" t="str">
        <f>Cleaned_Customers!B55</f>
        <v>Rachana Grewal</v>
      </c>
      <c r="C122" s="22">
        <f>SUMIF(Cleaned_Sales!$E$2:$E$714,A122,Cleaned_Sales!$K$2:$K$714)</f>
        <v>732806</v>
      </c>
      <c r="D122" s="14">
        <f>COUNTIF(Cleaned_Sales!$E$2:$E$714,A122)</f>
        <v>3</v>
      </c>
      <c r="E122" s="22">
        <f t="shared" si="9"/>
        <v>244268.66666666666</v>
      </c>
      <c r="F122" s="21">
        <f>IFERROR(_xlfn.MAXIFS(Cleaned_Sales!$B$2:$B$714,Cleaned_Sales!$E$2:$E$714,A122),"")</f>
        <v>45845</v>
      </c>
      <c r="G122" s="14">
        <f t="shared" si="10"/>
        <v>31</v>
      </c>
      <c r="H122" s="14" t="str">
        <f t="shared" si="11"/>
        <v>Occasional</v>
      </c>
    </row>
    <row r="123" spans="1:8" x14ac:dyDescent="0.35">
      <c r="A123" s="14" t="str">
        <f>Cleaned_Customers!A56</f>
        <v>C2055</v>
      </c>
      <c r="B123" s="14" t="str">
        <f>Cleaned_Customers!B56</f>
        <v>Xavier Verma</v>
      </c>
      <c r="C123" s="22">
        <f>SUMIF(Cleaned_Sales!$E$2:$E$714,A123,Cleaned_Sales!$K$2:$K$714)</f>
        <v>784130</v>
      </c>
      <c r="D123" s="14">
        <f>COUNTIF(Cleaned_Sales!$E$2:$E$714,A123)</f>
        <v>3</v>
      </c>
      <c r="E123" s="22">
        <f t="shared" si="9"/>
        <v>261376.66666666666</v>
      </c>
      <c r="F123" s="21">
        <f>IFERROR(_xlfn.MAXIFS(Cleaned_Sales!$B$2:$B$714,Cleaned_Sales!$E$2:$E$714,A123),"")</f>
        <v>45789</v>
      </c>
      <c r="G123" s="14">
        <f t="shared" si="10"/>
        <v>87</v>
      </c>
      <c r="H123" s="14" t="str">
        <f t="shared" si="11"/>
        <v>Occasional</v>
      </c>
    </row>
    <row r="124" spans="1:8" x14ac:dyDescent="0.35">
      <c r="A124" s="14" t="str">
        <f>Cleaned_Customers!A57</f>
        <v>C2056</v>
      </c>
      <c r="B124" s="14" t="str">
        <f>Cleaned_Customers!B57</f>
        <v>Eiravati Manne</v>
      </c>
      <c r="C124" s="22">
        <f>SUMIF(Cleaned_Sales!$E$2:$E$714,A124,Cleaned_Sales!$K$2:$K$714)</f>
        <v>226773.5</v>
      </c>
      <c r="D124" s="14">
        <f>COUNTIF(Cleaned_Sales!$E$2:$E$714,A124)</f>
        <v>2</v>
      </c>
      <c r="E124" s="22">
        <f t="shared" si="9"/>
        <v>113386.75</v>
      </c>
      <c r="F124" s="21">
        <f>IFERROR(_xlfn.MAXIFS(Cleaned_Sales!$B$2:$B$714,Cleaned_Sales!$E$2:$E$714,A124),"")</f>
        <v>45799</v>
      </c>
      <c r="G124" s="14">
        <f t="shared" si="10"/>
        <v>77</v>
      </c>
      <c r="H124" s="14" t="str">
        <f t="shared" si="11"/>
        <v>Occasional</v>
      </c>
    </row>
    <row r="125" spans="1:8" x14ac:dyDescent="0.35">
      <c r="A125" s="14" t="str">
        <f>Cleaned_Customers!A58</f>
        <v>C2057</v>
      </c>
      <c r="B125" s="14" t="str">
        <f>Cleaned_Customers!B58</f>
        <v>Ojas Basu</v>
      </c>
      <c r="C125" s="22">
        <f>SUMIF(Cleaned_Sales!$E$2:$E$714,A125,Cleaned_Sales!$K$2:$K$714)</f>
        <v>700797</v>
      </c>
      <c r="D125" s="14">
        <f>COUNTIF(Cleaned_Sales!$E$2:$E$714,A125)</f>
        <v>3</v>
      </c>
      <c r="E125" s="22">
        <f t="shared" si="9"/>
        <v>233599</v>
      </c>
      <c r="F125" s="21">
        <f>IFERROR(_xlfn.MAXIFS(Cleaned_Sales!$B$2:$B$714,Cleaned_Sales!$E$2:$E$714,A125),"")</f>
        <v>45382</v>
      </c>
      <c r="G125" s="14">
        <f t="shared" si="10"/>
        <v>494</v>
      </c>
      <c r="H125" s="14" t="str">
        <f t="shared" si="11"/>
        <v>At Risk</v>
      </c>
    </row>
    <row r="126" spans="1:8" x14ac:dyDescent="0.35">
      <c r="A126" s="14" t="str">
        <f>Cleaned_Customers!A59</f>
        <v>C2058</v>
      </c>
      <c r="B126" s="14" t="str">
        <f>Cleaned_Customers!B59</f>
        <v>Ishwar Bajaj</v>
      </c>
      <c r="C126" s="22">
        <f>SUMIF(Cleaned_Sales!$E$2:$E$714,A126,Cleaned_Sales!$K$2:$K$714)</f>
        <v>660275</v>
      </c>
      <c r="D126" s="14">
        <f>COUNTIF(Cleaned_Sales!$E$2:$E$714,A126)</f>
        <v>3</v>
      </c>
      <c r="E126" s="22">
        <f t="shared" si="9"/>
        <v>220091.66666666666</v>
      </c>
      <c r="F126" s="21">
        <f>IFERROR(_xlfn.MAXIFS(Cleaned_Sales!$B$2:$B$714,Cleaned_Sales!$E$2:$E$714,A126),"")</f>
        <v>45408</v>
      </c>
      <c r="G126" s="14">
        <f t="shared" si="10"/>
        <v>468</v>
      </c>
      <c r="H126" s="14" t="str">
        <f t="shared" si="11"/>
        <v>At Risk</v>
      </c>
    </row>
    <row r="127" spans="1:8" x14ac:dyDescent="0.35">
      <c r="A127" s="14" t="str">
        <f>Cleaned_Customers!A60</f>
        <v>C2059</v>
      </c>
      <c r="B127" s="14" t="str">
        <f>Cleaned_Customers!B60</f>
        <v>Ijaya Pandey</v>
      </c>
      <c r="C127" s="22">
        <f>SUMIF(Cleaned_Sales!$E$2:$E$714,A127,Cleaned_Sales!$K$2:$K$714)</f>
        <v>628885</v>
      </c>
      <c r="D127" s="14">
        <f>COUNTIF(Cleaned_Sales!$E$2:$E$714,A127)</f>
        <v>2</v>
      </c>
      <c r="E127" s="22">
        <f t="shared" si="9"/>
        <v>314442.5</v>
      </c>
      <c r="F127" s="21">
        <f>IFERROR(_xlfn.MAXIFS(Cleaned_Sales!$B$2:$B$714,Cleaned_Sales!$E$2:$E$714,A127),"")</f>
        <v>45795</v>
      </c>
      <c r="G127" s="14">
        <f t="shared" si="10"/>
        <v>81</v>
      </c>
      <c r="H127" s="14" t="str">
        <f t="shared" si="11"/>
        <v>Occasional</v>
      </c>
    </row>
    <row r="128" spans="1:8" x14ac:dyDescent="0.35">
      <c r="A128" s="14" t="str">
        <f>Cleaned_Customers!A61</f>
        <v>C2060</v>
      </c>
      <c r="B128" s="14" t="str">
        <f>Cleaned_Customers!B61</f>
        <v>Nilima Swamy</v>
      </c>
      <c r="C128" s="22">
        <f>SUMIF(Cleaned_Sales!$E$2:$E$714,A128,Cleaned_Sales!$K$2:$K$714)</f>
        <v>547190</v>
      </c>
      <c r="D128" s="14">
        <f>COUNTIF(Cleaned_Sales!$E$2:$E$714,A128)</f>
        <v>4</v>
      </c>
      <c r="E128" s="22">
        <f t="shared" si="9"/>
        <v>136797.5</v>
      </c>
      <c r="F128" s="21">
        <f>IFERROR(_xlfn.MAXIFS(Cleaned_Sales!$B$2:$B$714,Cleaned_Sales!$E$2:$E$714,A128),"")</f>
        <v>45712</v>
      </c>
      <c r="G128" s="14">
        <f t="shared" si="10"/>
        <v>164</v>
      </c>
      <c r="H128" s="14" t="str">
        <f t="shared" si="11"/>
        <v>Occasional</v>
      </c>
    </row>
    <row r="129" spans="1:8" x14ac:dyDescent="0.35">
      <c r="A129" s="14" t="str">
        <f>Cleaned_Customers!A62</f>
        <v>C2061</v>
      </c>
      <c r="B129" s="14" t="str">
        <f>Cleaned_Customers!B62</f>
        <v>Liam Jhaveri</v>
      </c>
      <c r="C129" s="22">
        <f>SUMIF(Cleaned_Sales!$E$2:$E$714,A129,Cleaned_Sales!$K$2:$K$714)</f>
        <v>571404</v>
      </c>
      <c r="D129" s="14">
        <f>COUNTIF(Cleaned_Sales!$E$2:$E$714,A129)</f>
        <v>3</v>
      </c>
      <c r="E129" s="22">
        <f t="shared" si="9"/>
        <v>190468</v>
      </c>
      <c r="F129" s="21">
        <f>IFERROR(_xlfn.MAXIFS(Cleaned_Sales!$B$2:$B$714,Cleaned_Sales!$E$2:$E$714,A129),"")</f>
        <v>45867</v>
      </c>
      <c r="G129" s="14">
        <f t="shared" si="10"/>
        <v>9</v>
      </c>
      <c r="H129" s="14" t="str">
        <f t="shared" si="11"/>
        <v>Occasional</v>
      </c>
    </row>
    <row r="130" spans="1:8" x14ac:dyDescent="0.35">
      <c r="A130" s="14" t="str">
        <f>Cleaned_Customers!A63</f>
        <v>C2062</v>
      </c>
      <c r="B130" s="14" t="str">
        <f>Cleaned_Customers!B63</f>
        <v>Dev Warrior</v>
      </c>
      <c r="C130" s="22">
        <f>SUMIF(Cleaned_Sales!$E$2:$E$714,A130,Cleaned_Sales!$K$2:$K$714)</f>
        <v>306152</v>
      </c>
      <c r="D130" s="14">
        <f>COUNTIF(Cleaned_Sales!$E$2:$E$714,A130)</f>
        <v>3</v>
      </c>
      <c r="E130" s="22">
        <f t="shared" si="9"/>
        <v>102050.66666666667</v>
      </c>
      <c r="F130" s="21">
        <f>IFERROR(_xlfn.MAXIFS(Cleaned_Sales!$B$2:$B$714,Cleaned_Sales!$E$2:$E$714,A130),"")</f>
        <v>45634</v>
      </c>
      <c r="G130" s="14">
        <f t="shared" si="10"/>
        <v>242</v>
      </c>
      <c r="H130" s="14" t="str">
        <f t="shared" si="11"/>
        <v>At Risk</v>
      </c>
    </row>
    <row r="131" spans="1:8" x14ac:dyDescent="0.35">
      <c r="A131" s="14" t="str">
        <f>Cleaned_Customers!A64</f>
        <v>C2063</v>
      </c>
      <c r="B131" s="14" t="str">
        <f>Cleaned_Customers!B64</f>
        <v>Faras Deo</v>
      </c>
      <c r="C131" s="22">
        <f>SUMIF(Cleaned_Sales!$E$2:$E$714,A131,Cleaned_Sales!$K$2:$K$714)</f>
        <v>1150736.5</v>
      </c>
      <c r="D131" s="14">
        <f>COUNTIF(Cleaned_Sales!$E$2:$E$714,A131)</f>
        <v>8</v>
      </c>
      <c r="E131" s="22">
        <f t="shared" si="9"/>
        <v>143842.0625</v>
      </c>
      <c r="F131" s="21">
        <f>IFERROR(_xlfn.MAXIFS(Cleaned_Sales!$B$2:$B$714,Cleaned_Sales!$E$2:$E$714,A131),"")</f>
        <v>45857</v>
      </c>
      <c r="G131" s="14">
        <f t="shared" si="10"/>
        <v>19</v>
      </c>
      <c r="H131" s="14" t="str">
        <f t="shared" si="11"/>
        <v>Loyal</v>
      </c>
    </row>
    <row r="132" spans="1:8" x14ac:dyDescent="0.35">
      <c r="A132" s="14" t="str">
        <f>Cleaned_Customers!A65</f>
        <v>C2064</v>
      </c>
      <c r="B132" s="14" t="str">
        <f>Cleaned_Customers!B65</f>
        <v>Yug Malhotra</v>
      </c>
      <c r="C132" s="22">
        <f>SUMIF(Cleaned_Sales!$E$2:$E$714,A132,Cleaned_Sales!$K$2:$K$714)</f>
        <v>400690</v>
      </c>
      <c r="D132" s="14">
        <f>COUNTIF(Cleaned_Sales!$E$2:$E$714,A132)</f>
        <v>3</v>
      </c>
      <c r="E132" s="22">
        <f t="shared" si="9"/>
        <v>133563.33333333334</v>
      </c>
      <c r="F132" s="21">
        <f>IFERROR(_xlfn.MAXIFS(Cleaned_Sales!$B$2:$B$714,Cleaned_Sales!$E$2:$E$714,A132),"")</f>
        <v>45203</v>
      </c>
      <c r="G132" s="14">
        <f t="shared" si="10"/>
        <v>673</v>
      </c>
      <c r="H132" s="14" t="str">
        <f t="shared" si="11"/>
        <v>At Risk</v>
      </c>
    </row>
    <row r="133" spans="1:8" x14ac:dyDescent="0.35">
      <c r="A133" s="14" t="str">
        <f>Cleaned_Customers!A66</f>
        <v>C2065</v>
      </c>
      <c r="B133" s="14" t="str">
        <f>Cleaned_Customers!B66</f>
        <v>Pallavi Ratti</v>
      </c>
      <c r="C133" s="22">
        <f>SUMIF(Cleaned_Sales!$E$2:$E$714,A133,Cleaned_Sales!$K$2:$K$714)</f>
        <v>1355297</v>
      </c>
      <c r="D133" s="14">
        <f>COUNTIF(Cleaned_Sales!$E$2:$E$714,A133)</f>
        <v>4</v>
      </c>
      <c r="E133" s="22">
        <f t="shared" ref="E133:E164" si="12">IFERROR(C133/D133,0)</f>
        <v>338824.25</v>
      </c>
      <c r="F133" s="21">
        <f>IFERROR(_xlfn.MAXIFS(Cleaned_Sales!$B$2:$B$714,Cleaned_Sales!$E$2:$E$714,A133),"")</f>
        <v>45768</v>
      </c>
      <c r="G133" s="14">
        <f t="shared" ref="G133:G164" si="13">IF(F133="","",$N$68-F133)</f>
        <v>108</v>
      </c>
      <c r="H133" s="14" t="str">
        <f t="shared" ref="H133:H164" si="14">IF(D133=0,"No Purchases",IF(AND(C133&gt;=QUARTILE($C$69:$C$217,3),D133&gt;=2),"Champion",IF(C133&gt;=QUARTILE($C$69:$C$217,2),"Loyal",IF(G133&gt;180,"At Risk","Occasional"))))</f>
        <v>Champion</v>
      </c>
    </row>
    <row r="134" spans="1:8" x14ac:dyDescent="0.35">
      <c r="A134" s="14" t="str">
        <f>Cleaned_Customers!A67</f>
        <v>C2066</v>
      </c>
      <c r="B134" s="14" t="str">
        <f>Cleaned_Customers!B67</f>
        <v>Anita Viswanathan</v>
      </c>
      <c r="C134" s="22">
        <f>SUMIF(Cleaned_Sales!$E$2:$E$714,A134,Cleaned_Sales!$K$2:$K$714)</f>
        <v>286551</v>
      </c>
      <c r="D134" s="14">
        <f>COUNTIF(Cleaned_Sales!$E$2:$E$714,A134)</f>
        <v>2</v>
      </c>
      <c r="E134" s="22">
        <f t="shared" si="12"/>
        <v>143275.5</v>
      </c>
      <c r="F134" s="21">
        <f>IFERROR(_xlfn.MAXIFS(Cleaned_Sales!$B$2:$B$714,Cleaned_Sales!$E$2:$E$714,A134),"")</f>
        <v>45658</v>
      </c>
      <c r="G134" s="14">
        <f t="shared" si="13"/>
        <v>218</v>
      </c>
      <c r="H134" s="14" t="str">
        <f t="shared" si="14"/>
        <v>At Risk</v>
      </c>
    </row>
    <row r="135" spans="1:8" x14ac:dyDescent="0.35">
      <c r="A135" s="14" t="str">
        <f>Cleaned_Customers!A68</f>
        <v>C2067</v>
      </c>
      <c r="B135" s="14" t="str">
        <f>Cleaned_Customers!B68</f>
        <v>Nandini Biswas</v>
      </c>
      <c r="C135" s="22">
        <f>SUMIF(Cleaned_Sales!$E$2:$E$714,A135,Cleaned_Sales!$K$2:$K$714)</f>
        <v>515569</v>
      </c>
      <c r="D135" s="14">
        <f>COUNTIF(Cleaned_Sales!$E$2:$E$714,A135)</f>
        <v>5</v>
      </c>
      <c r="E135" s="22">
        <f t="shared" si="12"/>
        <v>103113.8</v>
      </c>
      <c r="F135" s="21">
        <f>IFERROR(_xlfn.MAXIFS(Cleaned_Sales!$B$2:$B$714,Cleaned_Sales!$E$2:$E$714,A135),"")</f>
        <v>45852</v>
      </c>
      <c r="G135" s="14">
        <f t="shared" si="13"/>
        <v>24</v>
      </c>
      <c r="H135" s="14" t="str">
        <f t="shared" si="14"/>
        <v>Occasional</v>
      </c>
    </row>
    <row r="136" spans="1:8" x14ac:dyDescent="0.35">
      <c r="A136" s="14" t="str">
        <f>Cleaned_Customers!A69</f>
        <v>C2068</v>
      </c>
      <c r="B136" s="14" t="str">
        <f>Cleaned_Customers!B69</f>
        <v>Kashish Shanker</v>
      </c>
      <c r="C136" s="22">
        <f>SUMIF(Cleaned_Sales!$E$2:$E$714,A136,Cleaned_Sales!$K$2:$K$714)</f>
        <v>473210</v>
      </c>
      <c r="D136" s="14">
        <f>COUNTIF(Cleaned_Sales!$E$2:$E$714,A136)</f>
        <v>4</v>
      </c>
      <c r="E136" s="22">
        <f t="shared" si="12"/>
        <v>118302.5</v>
      </c>
      <c r="F136" s="21">
        <f>IFERROR(_xlfn.MAXIFS(Cleaned_Sales!$B$2:$B$714,Cleaned_Sales!$E$2:$E$714,A136),"")</f>
        <v>45644</v>
      </c>
      <c r="G136" s="14">
        <f t="shared" si="13"/>
        <v>232</v>
      </c>
      <c r="H136" s="14" t="str">
        <f t="shared" si="14"/>
        <v>At Risk</v>
      </c>
    </row>
    <row r="137" spans="1:8" x14ac:dyDescent="0.35">
      <c r="A137" s="14" t="str">
        <f>Cleaned_Customers!A70</f>
        <v>C2069</v>
      </c>
      <c r="B137" s="14" t="str">
        <f>Cleaned_Customers!B70</f>
        <v>Tanveer Narang</v>
      </c>
      <c r="C137" s="22">
        <f>SUMIF(Cleaned_Sales!$E$2:$E$714,A137,Cleaned_Sales!$K$2:$K$714)</f>
        <v>1123213</v>
      </c>
      <c r="D137" s="14">
        <f>COUNTIF(Cleaned_Sales!$E$2:$E$714,A137)</f>
        <v>6</v>
      </c>
      <c r="E137" s="22">
        <f t="shared" si="12"/>
        <v>187202.16666666666</v>
      </c>
      <c r="F137" s="21">
        <f>IFERROR(_xlfn.MAXIFS(Cleaned_Sales!$B$2:$B$714,Cleaned_Sales!$E$2:$E$714,A137),"")</f>
        <v>45862</v>
      </c>
      <c r="G137" s="14">
        <f t="shared" si="13"/>
        <v>14</v>
      </c>
      <c r="H137" s="14" t="str">
        <f t="shared" si="14"/>
        <v>Loyal</v>
      </c>
    </row>
    <row r="138" spans="1:8" x14ac:dyDescent="0.35">
      <c r="A138" s="14" t="str">
        <f>Cleaned_Customers!A71</f>
        <v>C2070</v>
      </c>
      <c r="B138" s="14" t="str">
        <f>Cleaned_Customers!B71</f>
        <v>Megha Taneja</v>
      </c>
      <c r="C138" s="22">
        <f>SUMIF(Cleaned_Sales!$E$2:$E$714,A138,Cleaned_Sales!$K$2:$K$714)</f>
        <v>799616</v>
      </c>
      <c r="D138" s="14">
        <f>COUNTIF(Cleaned_Sales!$E$2:$E$714,A138)</f>
        <v>6</v>
      </c>
      <c r="E138" s="22">
        <f t="shared" si="12"/>
        <v>133269.33333333334</v>
      </c>
      <c r="F138" s="21">
        <f>IFERROR(_xlfn.MAXIFS(Cleaned_Sales!$B$2:$B$714,Cleaned_Sales!$E$2:$E$714,A138),"")</f>
        <v>45709</v>
      </c>
      <c r="G138" s="14">
        <f t="shared" si="13"/>
        <v>167</v>
      </c>
      <c r="H138" s="14" t="str">
        <f t="shared" si="14"/>
        <v>Occasional</v>
      </c>
    </row>
    <row r="139" spans="1:8" x14ac:dyDescent="0.35">
      <c r="A139" s="14" t="str">
        <f>Cleaned_Customers!A72</f>
        <v>C2071</v>
      </c>
      <c r="B139" s="14" t="str">
        <f>Cleaned_Customers!B72</f>
        <v>Ayushman Mand</v>
      </c>
      <c r="C139" s="22">
        <f>SUMIF(Cleaned_Sales!$E$2:$E$714,A139,Cleaned_Sales!$K$2:$K$714)</f>
        <v>1473864</v>
      </c>
      <c r="D139" s="14">
        <f>COUNTIF(Cleaned_Sales!$E$2:$E$714,A139)</f>
        <v>7</v>
      </c>
      <c r="E139" s="22">
        <f t="shared" si="12"/>
        <v>210552</v>
      </c>
      <c r="F139" s="21">
        <f>IFERROR(_xlfn.MAXIFS(Cleaned_Sales!$B$2:$B$714,Cleaned_Sales!$E$2:$E$714,A139),"")</f>
        <v>45717</v>
      </c>
      <c r="G139" s="14">
        <f t="shared" si="13"/>
        <v>159</v>
      </c>
      <c r="H139" s="14" t="str">
        <f t="shared" si="14"/>
        <v>Champion</v>
      </c>
    </row>
    <row r="140" spans="1:8" x14ac:dyDescent="0.35">
      <c r="A140" s="14" t="str">
        <f>Cleaned_Customers!A73</f>
        <v>C2072</v>
      </c>
      <c r="B140" s="14" t="str">
        <f>Cleaned_Customers!B73</f>
        <v>Kalpit Oak</v>
      </c>
      <c r="C140" s="22">
        <f>SUMIF(Cleaned_Sales!$E$2:$E$714,A140,Cleaned_Sales!$K$2:$K$714)</f>
        <v>906285</v>
      </c>
      <c r="D140" s="14">
        <f>COUNTIF(Cleaned_Sales!$E$2:$E$714,A140)</f>
        <v>5</v>
      </c>
      <c r="E140" s="22">
        <f t="shared" si="12"/>
        <v>181257</v>
      </c>
      <c r="F140" s="21">
        <f>IFERROR(_xlfn.MAXIFS(Cleaned_Sales!$B$2:$B$714,Cleaned_Sales!$E$2:$E$714,A140),"")</f>
        <v>45801</v>
      </c>
      <c r="G140" s="14">
        <f t="shared" si="13"/>
        <v>75</v>
      </c>
      <c r="H140" s="14" t="str">
        <f t="shared" si="14"/>
        <v>Loyal</v>
      </c>
    </row>
    <row r="141" spans="1:8" x14ac:dyDescent="0.35">
      <c r="A141" s="14" t="str">
        <f>Cleaned_Customers!A74</f>
        <v>C2073</v>
      </c>
      <c r="B141" s="14" t="str">
        <f>Cleaned_Customers!B74</f>
        <v>Watika Dhaliwal</v>
      </c>
      <c r="C141" s="22">
        <f>SUMIF(Cleaned_Sales!$E$2:$E$714,A141,Cleaned_Sales!$K$2:$K$714)</f>
        <v>1386953.5</v>
      </c>
      <c r="D141" s="14">
        <f>COUNTIF(Cleaned_Sales!$E$2:$E$714,A141)</f>
        <v>7</v>
      </c>
      <c r="E141" s="22">
        <f t="shared" si="12"/>
        <v>198136.21428571429</v>
      </c>
      <c r="F141" s="21">
        <f>IFERROR(_xlfn.MAXIFS(Cleaned_Sales!$B$2:$B$714,Cleaned_Sales!$E$2:$E$714,A141),"")</f>
        <v>45747</v>
      </c>
      <c r="G141" s="14">
        <f t="shared" si="13"/>
        <v>129</v>
      </c>
      <c r="H141" s="14" t="str">
        <f t="shared" si="14"/>
        <v>Champion</v>
      </c>
    </row>
    <row r="142" spans="1:8" x14ac:dyDescent="0.35">
      <c r="A142" s="14" t="str">
        <f>Cleaned_Customers!A75</f>
        <v>C2074</v>
      </c>
      <c r="B142" s="14" t="str">
        <f>Cleaned_Customers!B75</f>
        <v>Girik Nigam</v>
      </c>
      <c r="C142" s="22">
        <f>SUMIF(Cleaned_Sales!$E$2:$E$714,A142,Cleaned_Sales!$K$2:$K$714)</f>
        <v>200712</v>
      </c>
      <c r="D142" s="14">
        <f>COUNTIF(Cleaned_Sales!$E$2:$E$714,A142)</f>
        <v>2</v>
      </c>
      <c r="E142" s="22">
        <f t="shared" si="12"/>
        <v>100356</v>
      </c>
      <c r="F142" s="21">
        <f>IFERROR(_xlfn.MAXIFS(Cleaned_Sales!$B$2:$B$714,Cleaned_Sales!$E$2:$E$714,A142),"")</f>
        <v>45315</v>
      </c>
      <c r="G142" s="14">
        <f t="shared" si="13"/>
        <v>561</v>
      </c>
      <c r="H142" s="14" t="str">
        <f t="shared" si="14"/>
        <v>At Risk</v>
      </c>
    </row>
    <row r="143" spans="1:8" x14ac:dyDescent="0.35">
      <c r="A143" s="14" t="str">
        <f>Cleaned_Customers!A76</f>
        <v>C2075</v>
      </c>
      <c r="B143" s="14" t="str">
        <f>Cleaned_Customers!B76</f>
        <v>Vrinda Lanka</v>
      </c>
      <c r="C143" s="22">
        <f>SUMIF(Cleaned_Sales!$E$2:$E$714,A143,Cleaned_Sales!$K$2:$K$714)</f>
        <v>645619</v>
      </c>
      <c r="D143" s="14">
        <f>COUNTIF(Cleaned_Sales!$E$2:$E$714,A143)</f>
        <v>7</v>
      </c>
      <c r="E143" s="22">
        <f t="shared" si="12"/>
        <v>92231.28571428571</v>
      </c>
      <c r="F143" s="21">
        <f>IFERROR(_xlfn.MAXIFS(Cleaned_Sales!$B$2:$B$714,Cleaned_Sales!$E$2:$E$714,A143),"")</f>
        <v>45725</v>
      </c>
      <c r="G143" s="14">
        <f t="shared" si="13"/>
        <v>151</v>
      </c>
      <c r="H143" s="14" t="str">
        <f t="shared" si="14"/>
        <v>Occasional</v>
      </c>
    </row>
    <row r="144" spans="1:8" x14ac:dyDescent="0.35">
      <c r="A144" s="14" t="str">
        <f>Cleaned_Customers!A77</f>
        <v>C2076</v>
      </c>
      <c r="B144" s="14" t="str">
        <f>Cleaned_Customers!B77</f>
        <v>Oliver Kakar</v>
      </c>
      <c r="C144" s="22">
        <f>SUMIF(Cleaned_Sales!$E$2:$E$714,A144,Cleaned_Sales!$K$2:$K$714)</f>
        <v>2010960</v>
      </c>
      <c r="D144" s="14">
        <f>COUNTIF(Cleaned_Sales!$E$2:$E$714,A144)</f>
        <v>9</v>
      </c>
      <c r="E144" s="22">
        <f t="shared" si="12"/>
        <v>223440</v>
      </c>
      <c r="F144" s="21">
        <f>IFERROR(_xlfn.MAXIFS(Cleaned_Sales!$B$2:$B$714,Cleaned_Sales!$E$2:$E$714,A144),"")</f>
        <v>45793</v>
      </c>
      <c r="G144" s="14">
        <f t="shared" si="13"/>
        <v>83</v>
      </c>
      <c r="H144" s="14" t="str">
        <f t="shared" si="14"/>
        <v>Champion</v>
      </c>
    </row>
    <row r="145" spans="1:8" x14ac:dyDescent="0.35">
      <c r="A145" s="14" t="str">
        <f>Cleaned_Customers!A78</f>
        <v>C2077</v>
      </c>
      <c r="B145" s="14" t="str">
        <f>Cleaned_Customers!B78</f>
        <v>Orinder Majumdar</v>
      </c>
      <c r="C145" s="22">
        <f>SUMIF(Cleaned_Sales!$E$2:$E$714,A145,Cleaned_Sales!$K$2:$K$714)</f>
        <v>159130</v>
      </c>
      <c r="D145" s="14">
        <f>COUNTIF(Cleaned_Sales!$E$2:$E$714,A145)</f>
        <v>1</v>
      </c>
      <c r="E145" s="22">
        <f t="shared" si="12"/>
        <v>159130</v>
      </c>
      <c r="F145" s="21">
        <f>IFERROR(_xlfn.MAXIFS(Cleaned_Sales!$B$2:$B$714,Cleaned_Sales!$E$2:$E$714,A145),"")</f>
        <v>45603</v>
      </c>
      <c r="G145" s="14">
        <f t="shared" si="13"/>
        <v>273</v>
      </c>
      <c r="H145" s="14" t="str">
        <f t="shared" si="14"/>
        <v>At Risk</v>
      </c>
    </row>
    <row r="146" spans="1:8" x14ac:dyDescent="0.35">
      <c r="A146" s="14" t="str">
        <f>Cleaned_Customers!A79</f>
        <v>C2078</v>
      </c>
      <c r="B146" s="14" t="str">
        <f>Cleaned_Customers!B79</f>
        <v>Oscar Hans</v>
      </c>
      <c r="C146" s="22">
        <f>SUMIF(Cleaned_Sales!$E$2:$E$714,A146,Cleaned_Sales!$K$2:$K$714)</f>
        <v>2063807</v>
      </c>
      <c r="D146" s="14">
        <f>COUNTIF(Cleaned_Sales!$E$2:$E$714,A146)</f>
        <v>9</v>
      </c>
      <c r="E146" s="22">
        <f t="shared" si="12"/>
        <v>229311.88888888888</v>
      </c>
      <c r="F146" s="21">
        <f>IFERROR(_xlfn.MAXIFS(Cleaned_Sales!$B$2:$B$714,Cleaned_Sales!$E$2:$E$714,A146),"")</f>
        <v>45773</v>
      </c>
      <c r="G146" s="14">
        <f t="shared" si="13"/>
        <v>103</v>
      </c>
      <c r="H146" s="14" t="str">
        <f t="shared" si="14"/>
        <v>Champion</v>
      </c>
    </row>
    <row r="147" spans="1:8" x14ac:dyDescent="0.35">
      <c r="A147" s="14" t="str">
        <f>Cleaned_Customers!A80</f>
        <v>C2079</v>
      </c>
      <c r="B147" s="14" t="str">
        <f>Cleaned_Customers!B80</f>
        <v>Udarsh Krishnan</v>
      </c>
      <c r="C147" s="22">
        <f>SUMIF(Cleaned_Sales!$E$2:$E$714,A147,Cleaned_Sales!$K$2:$K$714)</f>
        <v>1251479.5</v>
      </c>
      <c r="D147" s="14">
        <f>COUNTIF(Cleaned_Sales!$E$2:$E$714,A147)</f>
        <v>4</v>
      </c>
      <c r="E147" s="22">
        <f t="shared" si="12"/>
        <v>312869.875</v>
      </c>
      <c r="F147" s="21">
        <f>IFERROR(_xlfn.MAXIFS(Cleaned_Sales!$B$2:$B$714,Cleaned_Sales!$E$2:$E$714,A147),"")</f>
        <v>45762</v>
      </c>
      <c r="G147" s="14">
        <f t="shared" si="13"/>
        <v>114</v>
      </c>
      <c r="H147" s="14" t="str">
        <f t="shared" si="14"/>
        <v>Champion</v>
      </c>
    </row>
    <row r="148" spans="1:8" x14ac:dyDescent="0.35">
      <c r="A148" s="14" t="str">
        <f>Cleaned_Customers!A81</f>
        <v>C2080</v>
      </c>
      <c r="B148" s="14" t="str">
        <f>Cleaned_Customers!B81</f>
        <v>Hemal Kapadia</v>
      </c>
      <c r="C148" s="22">
        <f>SUMIF(Cleaned_Sales!$E$2:$E$714,A148,Cleaned_Sales!$K$2:$K$714)</f>
        <v>1179388</v>
      </c>
      <c r="D148" s="14">
        <f>COUNTIF(Cleaned_Sales!$E$2:$E$714,A148)</f>
        <v>3</v>
      </c>
      <c r="E148" s="22">
        <f t="shared" si="12"/>
        <v>393129.33333333331</v>
      </c>
      <c r="F148" s="21">
        <f>IFERROR(_xlfn.MAXIFS(Cleaned_Sales!$B$2:$B$714,Cleaned_Sales!$E$2:$E$714,A148),"")</f>
        <v>45601</v>
      </c>
      <c r="G148" s="14">
        <f t="shared" si="13"/>
        <v>275</v>
      </c>
      <c r="H148" s="14" t="str">
        <f t="shared" si="14"/>
        <v>Loyal</v>
      </c>
    </row>
    <row r="149" spans="1:8" x14ac:dyDescent="0.35">
      <c r="A149" s="14" t="str">
        <f>Cleaned_Customers!A82</f>
        <v>C2081</v>
      </c>
      <c r="B149" s="14" t="str">
        <f>Cleaned_Customers!B82</f>
        <v>Tanvi Dhar</v>
      </c>
      <c r="C149" s="22">
        <f>SUMIF(Cleaned_Sales!$E$2:$E$714,A149,Cleaned_Sales!$K$2:$K$714)</f>
        <v>1169358</v>
      </c>
      <c r="D149" s="14">
        <f>COUNTIF(Cleaned_Sales!$E$2:$E$714,A149)</f>
        <v>4</v>
      </c>
      <c r="E149" s="22">
        <f t="shared" si="12"/>
        <v>292339.5</v>
      </c>
      <c r="F149" s="21">
        <f>IFERROR(_xlfn.MAXIFS(Cleaned_Sales!$B$2:$B$714,Cleaned_Sales!$E$2:$E$714,A149),"")</f>
        <v>45871</v>
      </c>
      <c r="G149" s="14">
        <f t="shared" si="13"/>
        <v>5</v>
      </c>
      <c r="H149" s="14" t="str">
        <f t="shared" si="14"/>
        <v>Loyal</v>
      </c>
    </row>
    <row r="150" spans="1:8" x14ac:dyDescent="0.35">
      <c r="A150" s="14" t="str">
        <f>Cleaned_Customers!A83</f>
        <v>C2082</v>
      </c>
      <c r="B150" s="14" t="str">
        <f>Cleaned_Customers!B83</f>
        <v>Chakradev Misra</v>
      </c>
      <c r="C150" s="22">
        <f>SUMIF(Cleaned_Sales!$E$2:$E$714,A150,Cleaned_Sales!$K$2:$K$714)</f>
        <v>931470.5</v>
      </c>
      <c r="D150" s="14">
        <f>COUNTIF(Cleaned_Sales!$E$2:$E$714,A150)</f>
        <v>4</v>
      </c>
      <c r="E150" s="22">
        <f t="shared" si="12"/>
        <v>232867.625</v>
      </c>
      <c r="F150" s="21">
        <f>IFERROR(_xlfn.MAXIFS(Cleaned_Sales!$B$2:$B$714,Cleaned_Sales!$E$2:$E$714,A150),"")</f>
        <v>45785</v>
      </c>
      <c r="G150" s="14">
        <f t="shared" si="13"/>
        <v>91</v>
      </c>
      <c r="H150" s="14" t="str">
        <f t="shared" si="14"/>
        <v>Loyal</v>
      </c>
    </row>
    <row r="151" spans="1:8" x14ac:dyDescent="0.35">
      <c r="A151" s="14" t="str">
        <f>Cleaned_Customers!A84</f>
        <v>C2083</v>
      </c>
      <c r="B151" s="14" t="str">
        <f>Cleaned_Customers!B84</f>
        <v>Osha Chaudhuri</v>
      </c>
      <c r="C151" s="22">
        <f>SUMIF(Cleaned_Sales!$E$2:$E$714,A151,Cleaned_Sales!$K$2:$K$714)</f>
        <v>1298862</v>
      </c>
      <c r="D151" s="14">
        <f>COUNTIF(Cleaned_Sales!$E$2:$E$714,A151)</f>
        <v>4</v>
      </c>
      <c r="E151" s="22">
        <f t="shared" si="12"/>
        <v>324715.5</v>
      </c>
      <c r="F151" s="21">
        <f>IFERROR(_xlfn.MAXIFS(Cleaned_Sales!$B$2:$B$714,Cleaned_Sales!$E$2:$E$714,A151),"")</f>
        <v>45811</v>
      </c>
      <c r="G151" s="14">
        <f t="shared" si="13"/>
        <v>65</v>
      </c>
      <c r="H151" s="14" t="str">
        <f t="shared" si="14"/>
        <v>Champion</v>
      </c>
    </row>
    <row r="152" spans="1:8" x14ac:dyDescent="0.35">
      <c r="A152" s="14" t="str">
        <f>Cleaned_Customers!A85</f>
        <v>C2084</v>
      </c>
      <c r="B152" s="14" t="str">
        <f>Cleaned_Customers!B85</f>
        <v>Bina Parsa</v>
      </c>
      <c r="C152" s="22">
        <f>SUMIF(Cleaned_Sales!$E$2:$E$714,A152,Cleaned_Sales!$K$2:$K$714)</f>
        <v>838191</v>
      </c>
      <c r="D152" s="14">
        <f>COUNTIF(Cleaned_Sales!$E$2:$E$714,A152)</f>
        <v>3</v>
      </c>
      <c r="E152" s="22">
        <f t="shared" si="12"/>
        <v>279397</v>
      </c>
      <c r="F152" s="21">
        <f>IFERROR(_xlfn.MAXIFS(Cleaned_Sales!$B$2:$B$714,Cleaned_Sales!$E$2:$E$714,A152),"")</f>
        <v>45742</v>
      </c>
      <c r="G152" s="14">
        <f t="shared" si="13"/>
        <v>134</v>
      </c>
      <c r="H152" s="14" t="str">
        <f t="shared" si="14"/>
        <v>Loyal</v>
      </c>
    </row>
    <row r="153" spans="1:8" x14ac:dyDescent="0.35">
      <c r="A153" s="14" t="str">
        <f>Cleaned_Customers!A86</f>
        <v>C2085</v>
      </c>
      <c r="B153" s="14" t="str">
        <f>Cleaned_Customers!B86</f>
        <v>Chakradhar Bhatnagar</v>
      </c>
      <c r="C153" s="22">
        <f>SUMIF(Cleaned_Sales!$E$2:$E$714,A153,Cleaned_Sales!$K$2:$K$714)</f>
        <v>1530866</v>
      </c>
      <c r="D153" s="14">
        <f>COUNTIF(Cleaned_Sales!$E$2:$E$714,A153)</f>
        <v>4</v>
      </c>
      <c r="E153" s="22">
        <f t="shared" si="12"/>
        <v>382716.5</v>
      </c>
      <c r="F153" s="21">
        <f>IFERROR(_xlfn.MAXIFS(Cleaned_Sales!$B$2:$B$714,Cleaned_Sales!$E$2:$E$714,A153),"")</f>
        <v>45869</v>
      </c>
      <c r="G153" s="14">
        <f t="shared" si="13"/>
        <v>7</v>
      </c>
      <c r="H153" s="14" t="str">
        <f t="shared" si="14"/>
        <v>Champion</v>
      </c>
    </row>
    <row r="154" spans="1:8" x14ac:dyDescent="0.35">
      <c r="A154" s="14" t="str">
        <f>Cleaned_Customers!A87</f>
        <v>C2086</v>
      </c>
      <c r="B154" s="14" t="str">
        <f>Cleaned_Customers!B87</f>
        <v>Widisha Badami</v>
      </c>
      <c r="C154" s="22">
        <f>SUMIF(Cleaned_Sales!$E$2:$E$714,A154,Cleaned_Sales!$K$2:$K$714)</f>
        <v>1796337.5</v>
      </c>
      <c r="D154" s="14">
        <f>COUNTIF(Cleaned_Sales!$E$2:$E$714,A154)</f>
        <v>8</v>
      </c>
      <c r="E154" s="22">
        <f t="shared" si="12"/>
        <v>224542.1875</v>
      </c>
      <c r="F154" s="21">
        <f>IFERROR(_xlfn.MAXIFS(Cleaned_Sales!$B$2:$B$714,Cleaned_Sales!$E$2:$E$714,A154),"")</f>
        <v>45815</v>
      </c>
      <c r="G154" s="14">
        <f t="shared" si="13"/>
        <v>61</v>
      </c>
      <c r="H154" s="14" t="str">
        <f t="shared" si="14"/>
        <v>Champion</v>
      </c>
    </row>
    <row r="155" spans="1:8" x14ac:dyDescent="0.35">
      <c r="A155" s="14" t="str">
        <f>Cleaned_Customers!A88</f>
        <v>C2087</v>
      </c>
      <c r="B155" s="14" t="str">
        <f>Cleaned_Customers!B88</f>
        <v>Tanvi Halder</v>
      </c>
      <c r="C155" s="22">
        <f>SUMIF(Cleaned_Sales!$E$2:$E$714,A155,Cleaned_Sales!$K$2:$K$714)</f>
        <v>1191437</v>
      </c>
      <c r="D155" s="14">
        <f>COUNTIF(Cleaned_Sales!$E$2:$E$714,A155)</f>
        <v>4</v>
      </c>
      <c r="E155" s="22">
        <f t="shared" si="12"/>
        <v>297859.25</v>
      </c>
      <c r="F155" s="21">
        <f>IFERROR(_xlfn.MAXIFS(Cleaned_Sales!$B$2:$B$714,Cleaned_Sales!$E$2:$E$714,A155),"")</f>
        <v>45663</v>
      </c>
      <c r="G155" s="14">
        <f t="shared" si="13"/>
        <v>213</v>
      </c>
      <c r="H155" s="14" t="str">
        <f t="shared" si="14"/>
        <v>Loyal</v>
      </c>
    </row>
    <row r="156" spans="1:8" x14ac:dyDescent="0.35">
      <c r="A156" s="14" t="str">
        <f>Cleaned_Customers!A89</f>
        <v>C2088</v>
      </c>
      <c r="B156" s="14" t="str">
        <f>Cleaned_Customers!B89</f>
        <v>Sai Kadakia</v>
      </c>
      <c r="C156" s="22">
        <f>SUMIF(Cleaned_Sales!$E$2:$E$714,A156,Cleaned_Sales!$K$2:$K$714)</f>
        <v>783920.5</v>
      </c>
      <c r="D156" s="14">
        <f>COUNTIF(Cleaned_Sales!$E$2:$E$714,A156)</f>
        <v>4</v>
      </c>
      <c r="E156" s="22">
        <f t="shared" si="12"/>
        <v>195980.125</v>
      </c>
      <c r="F156" s="21">
        <f>IFERROR(_xlfn.MAXIFS(Cleaned_Sales!$B$2:$B$714,Cleaned_Sales!$E$2:$E$714,A156),"")</f>
        <v>45702</v>
      </c>
      <c r="G156" s="14">
        <f t="shared" si="13"/>
        <v>174</v>
      </c>
      <c r="H156" s="14" t="str">
        <f t="shared" si="14"/>
        <v>Occasional</v>
      </c>
    </row>
    <row r="157" spans="1:8" x14ac:dyDescent="0.35">
      <c r="A157" s="14" t="str">
        <f>Cleaned_Customers!A90</f>
        <v>C2089</v>
      </c>
      <c r="B157" s="14" t="str">
        <f>Cleaned_Customers!B90</f>
        <v>Omaja Munshi</v>
      </c>
      <c r="C157" s="22">
        <f>SUMIF(Cleaned_Sales!$E$2:$E$714,A157,Cleaned_Sales!$K$2:$K$714)</f>
        <v>554672.5</v>
      </c>
      <c r="D157" s="14">
        <f>COUNTIF(Cleaned_Sales!$E$2:$E$714,A157)</f>
        <v>5</v>
      </c>
      <c r="E157" s="22">
        <f t="shared" si="12"/>
        <v>110934.5</v>
      </c>
      <c r="F157" s="21">
        <f>IFERROR(_xlfn.MAXIFS(Cleaned_Sales!$B$2:$B$714,Cleaned_Sales!$E$2:$E$714,A157),"")</f>
        <v>45703</v>
      </c>
      <c r="G157" s="14">
        <f t="shared" si="13"/>
        <v>173</v>
      </c>
      <c r="H157" s="14" t="str">
        <f t="shared" si="14"/>
        <v>Occasional</v>
      </c>
    </row>
    <row r="158" spans="1:8" x14ac:dyDescent="0.35">
      <c r="A158" s="14" t="str">
        <f>Cleaned_Customers!A91</f>
        <v>C2090</v>
      </c>
      <c r="B158" s="14" t="str">
        <f>Cleaned_Customers!B91</f>
        <v>Qarin Verma</v>
      </c>
      <c r="C158" s="22">
        <f>SUMIF(Cleaned_Sales!$E$2:$E$714,A158,Cleaned_Sales!$K$2:$K$714)</f>
        <v>1157866</v>
      </c>
      <c r="D158" s="14">
        <f>COUNTIF(Cleaned_Sales!$E$2:$E$714,A158)</f>
        <v>5</v>
      </c>
      <c r="E158" s="22">
        <f t="shared" si="12"/>
        <v>231573.2</v>
      </c>
      <c r="F158" s="21">
        <f>IFERROR(_xlfn.MAXIFS(Cleaned_Sales!$B$2:$B$714,Cleaned_Sales!$E$2:$E$714,A158),"")</f>
        <v>45843</v>
      </c>
      <c r="G158" s="14">
        <f t="shared" si="13"/>
        <v>33</v>
      </c>
      <c r="H158" s="14" t="str">
        <f t="shared" si="14"/>
        <v>Loyal</v>
      </c>
    </row>
    <row r="159" spans="1:8" x14ac:dyDescent="0.35">
      <c r="A159" s="14" t="str">
        <f>Cleaned_Customers!A92</f>
        <v>C2091</v>
      </c>
      <c r="B159" s="14" t="str">
        <f>Cleaned_Customers!B92</f>
        <v>Oliver Yogi</v>
      </c>
      <c r="C159" s="22">
        <f>SUMIF(Cleaned_Sales!$E$2:$E$714,A159,Cleaned_Sales!$K$2:$K$714)</f>
        <v>1078421.5</v>
      </c>
      <c r="D159" s="14">
        <f>COUNTIF(Cleaned_Sales!$E$2:$E$714,A159)</f>
        <v>7</v>
      </c>
      <c r="E159" s="22">
        <f t="shared" si="12"/>
        <v>154060.21428571429</v>
      </c>
      <c r="F159" s="21">
        <f>IFERROR(_xlfn.MAXIFS(Cleaned_Sales!$B$2:$B$714,Cleaned_Sales!$E$2:$E$714,A159),"")</f>
        <v>45805</v>
      </c>
      <c r="G159" s="14">
        <f t="shared" si="13"/>
        <v>71</v>
      </c>
      <c r="H159" s="14" t="str">
        <f t="shared" si="14"/>
        <v>Loyal</v>
      </c>
    </row>
    <row r="160" spans="1:8" x14ac:dyDescent="0.35">
      <c r="A160" s="14" t="str">
        <f>Cleaned_Customers!A93</f>
        <v>C2092</v>
      </c>
      <c r="B160" s="14" t="str">
        <f>Cleaned_Customers!B93</f>
        <v>Gabriel Manda</v>
      </c>
      <c r="C160" s="22">
        <f>SUMIF(Cleaned_Sales!$E$2:$E$714,A160,Cleaned_Sales!$K$2:$K$714)</f>
        <v>464589</v>
      </c>
      <c r="D160" s="14">
        <f>COUNTIF(Cleaned_Sales!$E$2:$E$714,A160)</f>
        <v>3</v>
      </c>
      <c r="E160" s="22">
        <f t="shared" si="12"/>
        <v>154863</v>
      </c>
      <c r="F160" s="21">
        <f>IFERROR(_xlfn.MAXIFS(Cleaned_Sales!$B$2:$B$714,Cleaned_Sales!$E$2:$E$714,A160),"")</f>
        <v>45551</v>
      </c>
      <c r="G160" s="14">
        <f t="shared" si="13"/>
        <v>325</v>
      </c>
      <c r="H160" s="14" t="str">
        <f t="shared" si="14"/>
        <v>At Risk</v>
      </c>
    </row>
    <row r="161" spans="1:8" x14ac:dyDescent="0.35">
      <c r="A161" s="14" t="str">
        <f>Cleaned_Customers!A94</f>
        <v>C2093</v>
      </c>
      <c r="B161" s="14" t="str">
        <f>Cleaned_Customers!B94</f>
        <v>Elijah Mannan</v>
      </c>
      <c r="C161" s="22">
        <f>SUMIF(Cleaned_Sales!$E$2:$E$714,A161,Cleaned_Sales!$K$2:$K$714)</f>
        <v>1937922</v>
      </c>
      <c r="D161" s="14">
        <f>COUNTIF(Cleaned_Sales!$E$2:$E$714,A161)</f>
        <v>7</v>
      </c>
      <c r="E161" s="22">
        <f t="shared" si="12"/>
        <v>276846</v>
      </c>
      <c r="F161" s="21">
        <f>IFERROR(_xlfn.MAXIFS(Cleaned_Sales!$B$2:$B$714,Cleaned_Sales!$E$2:$E$714,A161),"")</f>
        <v>45698</v>
      </c>
      <c r="G161" s="14">
        <f t="shared" si="13"/>
        <v>178</v>
      </c>
      <c r="H161" s="14" t="str">
        <f t="shared" si="14"/>
        <v>Champion</v>
      </c>
    </row>
    <row r="162" spans="1:8" x14ac:dyDescent="0.35">
      <c r="A162" s="14" t="str">
        <f>Cleaned_Customers!A95</f>
        <v>C2094</v>
      </c>
      <c r="B162" s="14" t="str">
        <f>Cleaned_Customers!B95</f>
        <v>Avni Dey</v>
      </c>
      <c r="C162" s="22">
        <f>SUMIF(Cleaned_Sales!$E$2:$E$714,A162,Cleaned_Sales!$K$2:$K$714)</f>
        <v>195914</v>
      </c>
      <c r="D162" s="14">
        <f>COUNTIF(Cleaned_Sales!$E$2:$E$714,A162)</f>
        <v>3</v>
      </c>
      <c r="E162" s="22">
        <f t="shared" si="12"/>
        <v>65304.666666666664</v>
      </c>
      <c r="F162" s="21">
        <f>IFERROR(_xlfn.MAXIFS(Cleaned_Sales!$B$2:$B$714,Cleaned_Sales!$E$2:$E$714,A162),"")</f>
        <v>45660</v>
      </c>
      <c r="G162" s="14">
        <f t="shared" si="13"/>
        <v>216</v>
      </c>
      <c r="H162" s="14" t="str">
        <f t="shared" si="14"/>
        <v>At Risk</v>
      </c>
    </row>
    <row r="163" spans="1:8" x14ac:dyDescent="0.35">
      <c r="A163" s="14" t="str">
        <f>Cleaned_Customers!A96</f>
        <v>C2095</v>
      </c>
      <c r="B163" s="14" t="str">
        <f>Cleaned_Customers!B96</f>
        <v>Theodore Sura</v>
      </c>
      <c r="C163" s="22">
        <f>SUMIF(Cleaned_Sales!$E$2:$E$714,A163,Cleaned_Sales!$K$2:$K$714)</f>
        <v>879763</v>
      </c>
      <c r="D163" s="14">
        <f>COUNTIF(Cleaned_Sales!$E$2:$E$714,A163)</f>
        <v>5</v>
      </c>
      <c r="E163" s="22">
        <f t="shared" si="12"/>
        <v>175952.6</v>
      </c>
      <c r="F163" s="21">
        <f>IFERROR(_xlfn.MAXIFS(Cleaned_Sales!$B$2:$B$714,Cleaned_Sales!$E$2:$E$714,A163),"")</f>
        <v>45660</v>
      </c>
      <c r="G163" s="14">
        <f t="shared" si="13"/>
        <v>216</v>
      </c>
      <c r="H163" s="14" t="str">
        <f t="shared" si="14"/>
        <v>Loyal</v>
      </c>
    </row>
    <row r="164" spans="1:8" x14ac:dyDescent="0.35">
      <c r="A164" s="14" t="str">
        <f>Cleaned_Customers!A97</f>
        <v>C2096</v>
      </c>
      <c r="B164" s="14" t="str">
        <f>Cleaned_Customers!B97</f>
        <v>Siddharth Doctor</v>
      </c>
      <c r="C164" s="22">
        <f>SUMIF(Cleaned_Sales!$E$2:$E$714,A164,Cleaned_Sales!$K$2:$K$714)</f>
        <v>298583.5</v>
      </c>
      <c r="D164" s="14">
        <f>COUNTIF(Cleaned_Sales!$E$2:$E$714,A164)</f>
        <v>5</v>
      </c>
      <c r="E164" s="22">
        <f t="shared" si="12"/>
        <v>59716.7</v>
      </c>
      <c r="F164" s="21">
        <f>IFERROR(_xlfn.MAXIFS(Cleaned_Sales!$B$2:$B$714,Cleaned_Sales!$E$2:$E$714,A164),"")</f>
        <v>45731</v>
      </c>
      <c r="G164" s="14">
        <f t="shared" si="13"/>
        <v>145</v>
      </c>
      <c r="H164" s="14" t="str">
        <f t="shared" si="14"/>
        <v>Occasional</v>
      </c>
    </row>
    <row r="165" spans="1:8" x14ac:dyDescent="0.35">
      <c r="A165" s="14" t="str">
        <f>Cleaned_Customers!A98</f>
        <v>C2097</v>
      </c>
      <c r="B165" s="14" t="str">
        <f>Cleaned_Customers!B98</f>
        <v>Qabil Vaidya</v>
      </c>
      <c r="C165" s="22">
        <f>SUMIF(Cleaned_Sales!$E$2:$E$714,A165,Cleaned_Sales!$K$2:$K$714)</f>
        <v>544182.5</v>
      </c>
      <c r="D165" s="14">
        <f>COUNTIF(Cleaned_Sales!$E$2:$E$714,A165)</f>
        <v>5</v>
      </c>
      <c r="E165" s="22">
        <f t="shared" ref="E165:E196" si="15">IFERROR(C165/D165,0)</f>
        <v>108836.5</v>
      </c>
      <c r="F165" s="21">
        <f>IFERROR(_xlfn.MAXIFS(Cleaned_Sales!$B$2:$B$714,Cleaned_Sales!$E$2:$E$714,A165),"")</f>
        <v>45865</v>
      </c>
      <c r="G165" s="14">
        <f t="shared" ref="G165:G196" si="16">IF(F165="","",$N$68-F165)</f>
        <v>11</v>
      </c>
      <c r="H165" s="14" t="str">
        <f t="shared" ref="H165:H196" si="17">IF(D165=0,"No Purchases",IF(AND(C165&gt;=QUARTILE($C$69:$C$217,3),D165&gt;=2),"Champion",IF(C165&gt;=QUARTILE($C$69:$C$217,2),"Loyal",IF(G165&gt;180,"At Risk","Occasional"))))</f>
        <v>Occasional</v>
      </c>
    </row>
    <row r="166" spans="1:8" x14ac:dyDescent="0.35">
      <c r="A166" s="14" t="str">
        <f>Cleaned_Customers!A99</f>
        <v>C2098</v>
      </c>
      <c r="B166" s="14" t="str">
        <f>Cleaned_Customers!B99</f>
        <v>Krish Kumar</v>
      </c>
      <c r="C166" s="22">
        <f>SUMIF(Cleaned_Sales!$E$2:$E$714,A166,Cleaned_Sales!$K$2:$K$714)</f>
        <v>918704</v>
      </c>
      <c r="D166" s="14">
        <f>COUNTIF(Cleaned_Sales!$E$2:$E$714,A166)</f>
        <v>6</v>
      </c>
      <c r="E166" s="22">
        <f t="shared" si="15"/>
        <v>153117.33333333334</v>
      </c>
      <c r="F166" s="21">
        <f>IFERROR(_xlfn.MAXIFS(Cleaned_Sales!$B$2:$B$714,Cleaned_Sales!$E$2:$E$714,A166),"")</f>
        <v>45859</v>
      </c>
      <c r="G166" s="14">
        <f t="shared" si="16"/>
        <v>17</v>
      </c>
      <c r="H166" s="14" t="str">
        <f t="shared" si="17"/>
        <v>Loyal</v>
      </c>
    </row>
    <row r="167" spans="1:8" x14ac:dyDescent="0.35">
      <c r="A167" s="14" t="str">
        <f>Cleaned_Customers!A100</f>
        <v>C2099</v>
      </c>
      <c r="B167" s="14" t="str">
        <f>Cleaned_Customers!B100</f>
        <v>Lakshit Dani</v>
      </c>
      <c r="C167" s="22">
        <f>SUMIF(Cleaned_Sales!$E$2:$E$714,A167,Cleaned_Sales!$K$2:$K$714)</f>
        <v>2008606</v>
      </c>
      <c r="D167" s="14">
        <f>COUNTIF(Cleaned_Sales!$E$2:$E$714,A167)</f>
        <v>9</v>
      </c>
      <c r="E167" s="22">
        <f t="shared" si="15"/>
        <v>223178.44444444444</v>
      </c>
      <c r="F167" s="21">
        <f>IFERROR(_xlfn.MAXIFS(Cleaned_Sales!$B$2:$B$714,Cleaned_Sales!$E$2:$E$714,A167),"")</f>
        <v>45697</v>
      </c>
      <c r="G167" s="14">
        <f t="shared" si="16"/>
        <v>179</v>
      </c>
      <c r="H167" s="14" t="str">
        <f t="shared" si="17"/>
        <v>Champion</v>
      </c>
    </row>
    <row r="168" spans="1:8" x14ac:dyDescent="0.35">
      <c r="A168" s="14" t="str">
        <f>Cleaned_Customers!A101</f>
        <v>C2100</v>
      </c>
      <c r="B168" s="14" t="str">
        <f>Cleaned_Customers!B101</f>
        <v>Balendra Parsa</v>
      </c>
      <c r="C168" s="22">
        <f>SUMIF(Cleaned_Sales!$E$2:$E$714,A168,Cleaned_Sales!$K$2:$K$714)</f>
        <v>1249720</v>
      </c>
      <c r="D168" s="14">
        <f>COUNTIF(Cleaned_Sales!$E$2:$E$714,A168)</f>
        <v>6</v>
      </c>
      <c r="E168" s="22">
        <f t="shared" si="15"/>
        <v>208286.66666666666</v>
      </c>
      <c r="F168" s="21">
        <f>IFERROR(_xlfn.MAXIFS(Cleaned_Sales!$B$2:$B$714,Cleaned_Sales!$E$2:$E$714,A168),"")</f>
        <v>45687</v>
      </c>
      <c r="G168" s="14">
        <f t="shared" si="16"/>
        <v>189</v>
      </c>
      <c r="H168" s="14" t="str">
        <f t="shared" si="17"/>
        <v>Champion</v>
      </c>
    </row>
    <row r="169" spans="1:8" x14ac:dyDescent="0.35">
      <c r="A169" s="14" t="str">
        <f>Cleaned_Customers!A102</f>
        <v>C2101</v>
      </c>
      <c r="B169" s="14" t="str">
        <f>Cleaned_Customers!B102</f>
        <v>Yagnesh Nori</v>
      </c>
      <c r="C169" s="22">
        <f>SUMIF(Cleaned_Sales!$E$2:$E$714,A169,Cleaned_Sales!$K$2:$K$714)</f>
        <v>1257296</v>
      </c>
      <c r="D169" s="14">
        <f>COUNTIF(Cleaned_Sales!$E$2:$E$714,A169)</f>
        <v>7</v>
      </c>
      <c r="E169" s="22">
        <f t="shared" si="15"/>
        <v>179613.71428571429</v>
      </c>
      <c r="F169" s="21">
        <f>IFERROR(_xlfn.MAXIFS(Cleaned_Sales!$B$2:$B$714,Cleaned_Sales!$E$2:$E$714,A169),"")</f>
        <v>45588</v>
      </c>
      <c r="G169" s="14">
        <f t="shared" si="16"/>
        <v>288</v>
      </c>
      <c r="H169" s="14" t="str">
        <f t="shared" si="17"/>
        <v>Champion</v>
      </c>
    </row>
    <row r="170" spans="1:8" x14ac:dyDescent="0.35">
      <c r="A170" s="14" t="str">
        <f>Cleaned_Customers!A103</f>
        <v>C2102</v>
      </c>
      <c r="B170" s="14" t="str">
        <f>Cleaned_Customers!B103</f>
        <v>Jagdish Brar</v>
      </c>
      <c r="C170" s="22">
        <f>SUMIF(Cleaned_Sales!$E$2:$E$714,A170,Cleaned_Sales!$K$2:$K$714)</f>
        <v>961210.5</v>
      </c>
      <c r="D170" s="14">
        <f>COUNTIF(Cleaned_Sales!$E$2:$E$714,A170)</f>
        <v>5</v>
      </c>
      <c r="E170" s="22">
        <f t="shared" si="15"/>
        <v>192242.1</v>
      </c>
      <c r="F170" s="21">
        <f>IFERROR(_xlfn.MAXIFS(Cleaned_Sales!$B$2:$B$714,Cleaned_Sales!$E$2:$E$714,A170),"")</f>
        <v>45648</v>
      </c>
      <c r="G170" s="14">
        <f t="shared" si="16"/>
        <v>228</v>
      </c>
      <c r="H170" s="14" t="str">
        <f t="shared" si="17"/>
        <v>Loyal</v>
      </c>
    </row>
    <row r="171" spans="1:8" x14ac:dyDescent="0.35">
      <c r="A171" s="14" t="str">
        <f>Cleaned_Customers!A104</f>
        <v>C2103</v>
      </c>
      <c r="B171" s="14" t="str">
        <f>Cleaned_Customers!B104</f>
        <v>Warjas Luthra</v>
      </c>
      <c r="C171" s="22">
        <f>SUMIF(Cleaned_Sales!$E$2:$E$714,A171,Cleaned_Sales!$K$2:$K$714)</f>
        <v>1323196</v>
      </c>
      <c r="D171" s="14">
        <f>COUNTIF(Cleaned_Sales!$E$2:$E$714,A171)</f>
        <v>6</v>
      </c>
      <c r="E171" s="22">
        <f t="shared" si="15"/>
        <v>220532.66666666666</v>
      </c>
      <c r="F171" s="21">
        <f>IFERROR(_xlfn.MAXIFS(Cleaned_Sales!$B$2:$B$714,Cleaned_Sales!$E$2:$E$714,A171),"")</f>
        <v>45757</v>
      </c>
      <c r="G171" s="14">
        <f t="shared" si="16"/>
        <v>119</v>
      </c>
      <c r="H171" s="14" t="str">
        <f t="shared" si="17"/>
        <v>Champion</v>
      </c>
    </row>
    <row r="172" spans="1:8" x14ac:dyDescent="0.35">
      <c r="A172" s="14" t="str">
        <f>Cleaned_Customers!A105</f>
        <v>C2104</v>
      </c>
      <c r="B172" s="14" t="str">
        <f>Cleaned_Customers!B105</f>
        <v>Aachal Soni</v>
      </c>
      <c r="C172" s="22">
        <f>SUMIF(Cleaned_Sales!$E$2:$E$714,A172,Cleaned_Sales!$K$2:$K$714)</f>
        <v>514386</v>
      </c>
      <c r="D172" s="14">
        <f>COUNTIF(Cleaned_Sales!$E$2:$E$714,A172)</f>
        <v>3</v>
      </c>
      <c r="E172" s="22">
        <f t="shared" si="15"/>
        <v>171462</v>
      </c>
      <c r="F172" s="21">
        <f>IFERROR(_xlfn.MAXIFS(Cleaned_Sales!$B$2:$B$714,Cleaned_Sales!$E$2:$E$714,A172),"")</f>
        <v>45855</v>
      </c>
      <c r="G172" s="14">
        <f t="shared" si="16"/>
        <v>21</v>
      </c>
      <c r="H172" s="14" t="str">
        <f t="shared" si="17"/>
        <v>Occasional</v>
      </c>
    </row>
    <row r="173" spans="1:8" x14ac:dyDescent="0.35">
      <c r="A173" s="14" t="str">
        <f>Cleaned_Customers!A106</f>
        <v>C2105</v>
      </c>
      <c r="B173" s="14" t="str">
        <f>Cleaned_Customers!B106</f>
        <v>Anika Saxena</v>
      </c>
      <c r="C173" s="22">
        <f>SUMIF(Cleaned_Sales!$E$2:$E$714,A173,Cleaned_Sales!$K$2:$K$714)</f>
        <v>1437778.5</v>
      </c>
      <c r="D173" s="14">
        <f>COUNTIF(Cleaned_Sales!$E$2:$E$714,A173)</f>
        <v>7</v>
      </c>
      <c r="E173" s="22">
        <f t="shared" si="15"/>
        <v>205396.92857142858</v>
      </c>
      <c r="F173" s="21">
        <f>IFERROR(_xlfn.MAXIFS(Cleaned_Sales!$B$2:$B$714,Cleaned_Sales!$E$2:$E$714,A173),"")</f>
        <v>45628</v>
      </c>
      <c r="G173" s="14">
        <f t="shared" si="16"/>
        <v>248</v>
      </c>
      <c r="H173" s="14" t="str">
        <f t="shared" si="17"/>
        <v>Champion</v>
      </c>
    </row>
    <row r="174" spans="1:8" x14ac:dyDescent="0.35">
      <c r="A174" s="14" t="str">
        <f>Cleaned_Customers!A107</f>
        <v>C2106</v>
      </c>
      <c r="B174" s="14" t="str">
        <f>Cleaned_Customers!B107</f>
        <v>Krishna Zacharia</v>
      </c>
      <c r="C174" s="22">
        <f>SUMIF(Cleaned_Sales!$E$2:$E$714,A174,Cleaned_Sales!$K$2:$K$714)</f>
        <v>657993</v>
      </c>
      <c r="D174" s="14">
        <f>COUNTIF(Cleaned_Sales!$E$2:$E$714,A174)</f>
        <v>6</v>
      </c>
      <c r="E174" s="22">
        <f t="shared" si="15"/>
        <v>109665.5</v>
      </c>
      <c r="F174" s="21">
        <f>IFERROR(_xlfn.MAXIFS(Cleaned_Sales!$B$2:$B$714,Cleaned_Sales!$E$2:$E$714,A174),"")</f>
        <v>45779</v>
      </c>
      <c r="G174" s="14">
        <f t="shared" si="16"/>
        <v>97</v>
      </c>
      <c r="H174" s="14" t="str">
        <f t="shared" si="17"/>
        <v>Occasional</v>
      </c>
    </row>
    <row r="175" spans="1:8" x14ac:dyDescent="0.35">
      <c r="A175" s="14" t="str">
        <f>Cleaned_Customers!A108</f>
        <v>C2107</v>
      </c>
      <c r="B175" s="14" t="str">
        <f>Cleaned_Customers!B108</f>
        <v>Fariq Sami</v>
      </c>
      <c r="C175" s="22">
        <f>SUMIF(Cleaned_Sales!$E$2:$E$714,A175,Cleaned_Sales!$K$2:$K$714)</f>
        <v>151367</v>
      </c>
      <c r="D175" s="14">
        <f>COUNTIF(Cleaned_Sales!$E$2:$E$714,A175)</f>
        <v>2</v>
      </c>
      <c r="E175" s="22">
        <f t="shared" si="15"/>
        <v>75683.5</v>
      </c>
      <c r="F175" s="21">
        <f>IFERROR(_xlfn.MAXIFS(Cleaned_Sales!$B$2:$B$714,Cleaned_Sales!$E$2:$E$714,A175),"")</f>
        <v>45607</v>
      </c>
      <c r="G175" s="14">
        <f t="shared" si="16"/>
        <v>269</v>
      </c>
      <c r="H175" s="14" t="str">
        <f t="shared" si="17"/>
        <v>At Risk</v>
      </c>
    </row>
    <row r="176" spans="1:8" x14ac:dyDescent="0.35">
      <c r="A176" s="14" t="str">
        <f>Cleaned_Customers!A109</f>
        <v>C2109</v>
      </c>
      <c r="B176" s="14" t="str">
        <f>Cleaned_Customers!B109</f>
        <v>Brijesh Soman</v>
      </c>
      <c r="C176" s="22">
        <f>SUMIF(Cleaned_Sales!$E$2:$E$714,A176,Cleaned_Sales!$K$2:$K$714)</f>
        <v>563916</v>
      </c>
      <c r="D176" s="14">
        <f>COUNTIF(Cleaned_Sales!$E$2:$E$714,A176)</f>
        <v>5</v>
      </c>
      <c r="E176" s="22">
        <f t="shared" si="15"/>
        <v>112783.2</v>
      </c>
      <c r="F176" s="21">
        <f>IFERROR(_xlfn.MAXIFS(Cleaned_Sales!$B$2:$B$714,Cleaned_Sales!$E$2:$E$714,A176),"")</f>
        <v>45659</v>
      </c>
      <c r="G176" s="14">
        <f t="shared" si="16"/>
        <v>217</v>
      </c>
      <c r="H176" s="14" t="str">
        <f t="shared" si="17"/>
        <v>At Risk</v>
      </c>
    </row>
    <row r="177" spans="1:8" x14ac:dyDescent="0.35">
      <c r="A177" s="14" t="str">
        <f>Cleaned_Customers!A110</f>
        <v>C2110</v>
      </c>
      <c r="B177" s="14" t="str">
        <f>Cleaned_Customers!B110</f>
        <v>Mohammed Sengupta</v>
      </c>
      <c r="C177" s="22">
        <f>SUMIF(Cleaned_Sales!$E$2:$E$714,A177,Cleaned_Sales!$K$2:$K$714)</f>
        <v>643232</v>
      </c>
      <c r="D177" s="14">
        <f>COUNTIF(Cleaned_Sales!$E$2:$E$714,A177)</f>
        <v>4</v>
      </c>
      <c r="E177" s="22">
        <f t="shared" si="15"/>
        <v>160808</v>
      </c>
      <c r="F177" s="21">
        <f>IFERROR(_xlfn.MAXIFS(Cleaned_Sales!$B$2:$B$714,Cleaned_Sales!$E$2:$E$714,A177),"")</f>
        <v>45503</v>
      </c>
      <c r="G177" s="14">
        <f t="shared" si="16"/>
        <v>373</v>
      </c>
      <c r="H177" s="14" t="str">
        <f t="shared" si="17"/>
        <v>At Risk</v>
      </c>
    </row>
    <row r="178" spans="1:8" x14ac:dyDescent="0.35">
      <c r="A178" s="14" t="str">
        <f>Cleaned_Customers!A111</f>
        <v>C2111</v>
      </c>
      <c r="B178" s="14" t="str">
        <f>Cleaned_Customers!B111</f>
        <v>Chandran Peri</v>
      </c>
      <c r="C178" s="22">
        <f>SUMIF(Cleaned_Sales!$E$2:$E$714,A178,Cleaned_Sales!$K$2:$K$714)</f>
        <v>567846.5</v>
      </c>
      <c r="D178" s="14">
        <f>COUNTIF(Cleaned_Sales!$E$2:$E$714,A178)</f>
        <v>6</v>
      </c>
      <c r="E178" s="22">
        <f t="shared" si="15"/>
        <v>94641.083333333328</v>
      </c>
      <c r="F178" s="21">
        <f>IFERROR(_xlfn.MAXIFS(Cleaned_Sales!$B$2:$B$714,Cleaned_Sales!$E$2:$E$714,A178),"")</f>
        <v>45747</v>
      </c>
      <c r="G178" s="14">
        <f t="shared" si="16"/>
        <v>129</v>
      </c>
      <c r="H178" s="14" t="str">
        <f t="shared" si="17"/>
        <v>Occasional</v>
      </c>
    </row>
    <row r="179" spans="1:8" x14ac:dyDescent="0.35">
      <c r="A179" s="14" t="str">
        <f>Cleaned_Customers!A112</f>
        <v>C2112</v>
      </c>
      <c r="B179" s="14" t="str">
        <f>Cleaned_Customers!B112</f>
        <v>Nakul Walla</v>
      </c>
      <c r="C179" s="22">
        <f>SUMIF(Cleaned_Sales!$E$2:$E$714,A179,Cleaned_Sales!$K$2:$K$714)</f>
        <v>700136</v>
      </c>
      <c r="D179" s="14">
        <f>COUNTIF(Cleaned_Sales!$E$2:$E$714,A179)</f>
        <v>5</v>
      </c>
      <c r="E179" s="22">
        <f t="shared" si="15"/>
        <v>140027.20000000001</v>
      </c>
      <c r="F179" s="21">
        <f>IFERROR(_xlfn.MAXIFS(Cleaned_Sales!$B$2:$B$714,Cleaned_Sales!$E$2:$E$714,A179),"")</f>
        <v>45692</v>
      </c>
      <c r="G179" s="14">
        <f t="shared" si="16"/>
        <v>184</v>
      </c>
      <c r="H179" s="14" t="str">
        <f t="shared" si="17"/>
        <v>At Risk</v>
      </c>
    </row>
    <row r="180" spans="1:8" x14ac:dyDescent="0.35">
      <c r="A180" s="14" t="str">
        <f>Cleaned_Customers!A113</f>
        <v>C2113</v>
      </c>
      <c r="B180" s="14" t="str">
        <f>Cleaned_Customers!B113</f>
        <v>Lakshit Lanka</v>
      </c>
      <c r="C180" s="22">
        <f>SUMIF(Cleaned_Sales!$E$2:$E$714,A180,Cleaned_Sales!$K$2:$K$714)</f>
        <v>1153963.5</v>
      </c>
      <c r="D180" s="14">
        <f>COUNTIF(Cleaned_Sales!$E$2:$E$714,A180)</f>
        <v>6</v>
      </c>
      <c r="E180" s="22">
        <f t="shared" si="15"/>
        <v>192327.25</v>
      </c>
      <c r="F180" s="21">
        <f>IFERROR(_xlfn.MAXIFS(Cleaned_Sales!$B$2:$B$714,Cleaned_Sales!$E$2:$E$714,A180),"")</f>
        <v>45792</v>
      </c>
      <c r="G180" s="14">
        <f t="shared" si="16"/>
        <v>84</v>
      </c>
      <c r="H180" s="14" t="str">
        <f t="shared" si="17"/>
        <v>Loyal</v>
      </c>
    </row>
    <row r="181" spans="1:8" x14ac:dyDescent="0.35">
      <c r="A181" s="14" t="str">
        <f>Cleaned_Customers!A114</f>
        <v>C2114</v>
      </c>
      <c r="B181" s="14" t="str">
        <f>Cleaned_Customers!B114</f>
        <v>Yamini Chana</v>
      </c>
      <c r="C181" s="22">
        <f>SUMIF(Cleaned_Sales!$E$2:$E$714,A181,Cleaned_Sales!$K$2:$K$714)</f>
        <v>459658</v>
      </c>
      <c r="D181" s="14">
        <f>COUNTIF(Cleaned_Sales!$E$2:$E$714,A181)</f>
        <v>3</v>
      </c>
      <c r="E181" s="22">
        <f t="shared" si="15"/>
        <v>153219.33333333334</v>
      </c>
      <c r="F181" s="21">
        <f>IFERROR(_xlfn.MAXIFS(Cleaned_Sales!$B$2:$B$714,Cleaned_Sales!$E$2:$E$714,A181),"")</f>
        <v>45450</v>
      </c>
      <c r="G181" s="14">
        <f t="shared" si="16"/>
        <v>426</v>
      </c>
      <c r="H181" s="14" t="str">
        <f t="shared" si="17"/>
        <v>At Risk</v>
      </c>
    </row>
    <row r="182" spans="1:8" x14ac:dyDescent="0.35">
      <c r="A182" s="14" t="str">
        <f>Cleaned_Customers!A115</f>
        <v>C2115</v>
      </c>
      <c r="B182" s="14" t="str">
        <f>Cleaned_Customers!B115</f>
        <v>Dalaja Gara</v>
      </c>
      <c r="C182" s="22">
        <f>SUMIF(Cleaned_Sales!$E$2:$E$714,A182,Cleaned_Sales!$K$2:$K$714)</f>
        <v>988675</v>
      </c>
      <c r="D182" s="14">
        <f>COUNTIF(Cleaned_Sales!$E$2:$E$714,A182)</f>
        <v>7</v>
      </c>
      <c r="E182" s="22">
        <f t="shared" si="15"/>
        <v>141239.28571428571</v>
      </c>
      <c r="F182" s="21">
        <f>IFERROR(_xlfn.MAXIFS(Cleaned_Sales!$B$2:$B$714,Cleaned_Sales!$E$2:$E$714,A182),"")</f>
        <v>45636</v>
      </c>
      <c r="G182" s="14">
        <f t="shared" si="16"/>
        <v>240</v>
      </c>
      <c r="H182" s="14" t="str">
        <f t="shared" si="17"/>
        <v>Loyal</v>
      </c>
    </row>
    <row r="183" spans="1:8" x14ac:dyDescent="0.35">
      <c r="A183" s="14" t="str">
        <f>Cleaned_Customers!A116</f>
        <v>C2116</v>
      </c>
      <c r="B183" s="14" t="str">
        <f>Cleaned_Customers!B116</f>
        <v>Chatresh Shroff</v>
      </c>
      <c r="C183" s="22">
        <f>SUMIF(Cleaned_Sales!$E$2:$E$714,A183,Cleaned_Sales!$K$2:$K$714)</f>
        <v>958562</v>
      </c>
      <c r="D183" s="14">
        <f>COUNTIF(Cleaned_Sales!$E$2:$E$714,A183)</f>
        <v>4</v>
      </c>
      <c r="E183" s="22">
        <f t="shared" si="15"/>
        <v>239640.5</v>
      </c>
      <c r="F183" s="21">
        <f>IFERROR(_xlfn.MAXIFS(Cleaned_Sales!$B$2:$B$714,Cleaned_Sales!$E$2:$E$714,A183),"")</f>
        <v>45709</v>
      </c>
      <c r="G183" s="14">
        <f t="shared" si="16"/>
        <v>167</v>
      </c>
      <c r="H183" s="14" t="str">
        <f t="shared" si="17"/>
        <v>Loyal</v>
      </c>
    </row>
    <row r="184" spans="1:8" x14ac:dyDescent="0.35">
      <c r="A184" s="14" t="str">
        <f>Cleaned_Customers!A117</f>
        <v>C2117</v>
      </c>
      <c r="B184" s="14" t="str">
        <f>Cleaned_Customers!B117</f>
        <v>Umang Doshi</v>
      </c>
      <c r="C184" s="22">
        <f>SUMIF(Cleaned_Sales!$E$2:$E$714,A184,Cleaned_Sales!$K$2:$K$714)</f>
        <v>924649</v>
      </c>
      <c r="D184" s="14">
        <f>COUNTIF(Cleaned_Sales!$E$2:$E$714,A184)</f>
        <v>4</v>
      </c>
      <c r="E184" s="22">
        <f t="shared" si="15"/>
        <v>231162.25</v>
      </c>
      <c r="F184" s="21">
        <f>IFERROR(_xlfn.MAXIFS(Cleaned_Sales!$B$2:$B$714,Cleaned_Sales!$E$2:$E$714,A184),"")</f>
        <v>45460</v>
      </c>
      <c r="G184" s="14">
        <f t="shared" si="16"/>
        <v>416</v>
      </c>
      <c r="H184" s="14" t="str">
        <f t="shared" si="17"/>
        <v>Loyal</v>
      </c>
    </row>
    <row r="185" spans="1:8" x14ac:dyDescent="0.35">
      <c r="A185" s="14" t="str">
        <f>Cleaned_Customers!A118</f>
        <v>C2118</v>
      </c>
      <c r="B185" s="14" t="str">
        <f>Cleaned_Customers!B118</f>
        <v>Max Guha</v>
      </c>
      <c r="C185" s="22">
        <f>SUMIF(Cleaned_Sales!$E$2:$E$714,A185,Cleaned_Sales!$K$2:$K$714)</f>
        <v>2116195.5</v>
      </c>
      <c r="D185" s="14">
        <f>COUNTIF(Cleaned_Sales!$E$2:$E$714,A185)</f>
        <v>7</v>
      </c>
      <c r="E185" s="22">
        <f t="shared" si="15"/>
        <v>302313.64285714284</v>
      </c>
      <c r="F185" s="21">
        <f>IFERROR(_xlfn.MAXIFS(Cleaned_Sales!$B$2:$B$714,Cleaned_Sales!$E$2:$E$714,A185),"")</f>
        <v>45752</v>
      </c>
      <c r="G185" s="14">
        <f t="shared" si="16"/>
        <v>124</v>
      </c>
      <c r="H185" s="14" t="str">
        <f t="shared" si="17"/>
        <v>Champion</v>
      </c>
    </row>
    <row r="186" spans="1:8" x14ac:dyDescent="0.35">
      <c r="A186" s="14" t="str">
        <f>Cleaned_Customers!A119</f>
        <v>C2119</v>
      </c>
      <c r="B186" s="14" t="str">
        <f>Cleaned_Customers!B119</f>
        <v>Lajita Munshi</v>
      </c>
      <c r="C186" s="22">
        <f>SUMIF(Cleaned_Sales!$E$2:$E$714,A186,Cleaned_Sales!$K$2:$K$714)</f>
        <v>654910</v>
      </c>
      <c r="D186" s="14">
        <f>COUNTIF(Cleaned_Sales!$E$2:$E$714,A186)</f>
        <v>6</v>
      </c>
      <c r="E186" s="22">
        <f t="shared" si="15"/>
        <v>109151.66666666667</v>
      </c>
      <c r="F186" s="21">
        <f>IFERROR(_xlfn.MAXIFS(Cleaned_Sales!$B$2:$B$714,Cleaned_Sales!$E$2:$E$714,A186),"")</f>
        <v>45642</v>
      </c>
      <c r="G186" s="14">
        <f t="shared" si="16"/>
        <v>234</v>
      </c>
      <c r="H186" s="14" t="str">
        <f t="shared" si="17"/>
        <v>At Risk</v>
      </c>
    </row>
    <row r="187" spans="1:8" x14ac:dyDescent="0.35">
      <c r="A187" s="14" t="str">
        <f>Cleaned_Customers!A120</f>
        <v>C2120</v>
      </c>
      <c r="B187" s="14" t="str">
        <f>Cleaned_Customers!B120</f>
        <v>Praneel Setty</v>
      </c>
      <c r="C187" s="22">
        <f>SUMIF(Cleaned_Sales!$E$2:$E$714,A187,Cleaned_Sales!$K$2:$K$714)</f>
        <v>400958</v>
      </c>
      <c r="D187" s="14">
        <f>COUNTIF(Cleaned_Sales!$E$2:$E$714,A187)</f>
        <v>2</v>
      </c>
      <c r="E187" s="22">
        <f t="shared" si="15"/>
        <v>200479</v>
      </c>
      <c r="F187" s="21">
        <f>IFERROR(_xlfn.MAXIFS(Cleaned_Sales!$B$2:$B$714,Cleaned_Sales!$E$2:$E$714,A187),"")</f>
        <v>45475</v>
      </c>
      <c r="G187" s="14">
        <f t="shared" si="16"/>
        <v>401</v>
      </c>
      <c r="H187" s="14" t="str">
        <f t="shared" si="17"/>
        <v>At Risk</v>
      </c>
    </row>
    <row r="188" spans="1:8" x14ac:dyDescent="0.35">
      <c r="A188" s="14" t="str">
        <f>Cleaned_Customers!A121</f>
        <v>C2121</v>
      </c>
      <c r="B188" s="14" t="str">
        <f>Cleaned_Customers!B121</f>
        <v>Wazir Kalla</v>
      </c>
      <c r="C188" s="22">
        <f>SUMIF(Cleaned_Sales!$E$2:$E$714,A188,Cleaned_Sales!$K$2:$K$714)</f>
        <v>193205</v>
      </c>
      <c r="D188" s="14">
        <f>COUNTIF(Cleaned_Sales!$E$2:$E$714,A188)</f>
        <v>1</v>
      </c>
      <c r="E188" s="22">
        <f t="shared" si="15"/>
        <v>193205</v>
      </c>
      <c r="F188" s="21">
        <f>IFERROR(_xlfn.MAXIFS(Cleaned_Sales!$B$2:$B$714,Cleaned_Sales!$E$2:$E$714,A188),"")</f>
        <v>45093</v>
      </c>
      <c r="G188" s="14">
        <f t="shared" si="16"/>
        <v>783</v>
      </c>
      <c r="H188" s="14" t="str">
        <f t="shared" si="17"/>
        <v>At Risk</v>
      </c>
    </row>
    <row r="189" spans="1:8" x14ac:dyDescent="0.35">
      <c r="A189" s="14" t="str">
        <f>Cleaned_Customers!A122</f>
        <v>C2122</v>
      </c>
      <c r="B189" s="14" t="str">
        <f>Cleaned_Customers!B122</f>
        <v>Ekansh Sane</v>
      </c>
      <c r="C189" s="22">
        <f>SUMIF(Cleaned_Sales!$E$2:$E$714,A189,Cleaned_Sales!$K$2:$K$714)</f>
        <v>345076.5</v>
      </c>
      <c r="D189" s="14">
        <f>COUNTIF(Cleaned_Sales!$E$2:$E$714,A189)</f>
        <v>5</v>
      </c>
      <c r="E189" s="22">
        <f t="shared" si="15"/>
        <v>69015.3</v>
      </c>
      <c r="F189" s="21">
        <f>IFERROR(_xlfn.MAXIFS(Cleaned_Sales!$B$2:$B$714,Cleaned_Sales!$E$2:$E$714,A189),"")</f>
        <v>45375</v>
      </c>
      <c r="G189" s="14">
        <f t="shared" si="16"/>
        <v>501</v>
      </c>
      <c r="H189" s="14" t="str">
        <f t="shared" si="17"/>
        <v>At Risk</v>
      </c>
    </row>
    <row r="190" spans="1:8" x14ac:dyDescent="0.35">
      <c r="A190" s="14" t="str">
        <f>Cleaned_Customers!A123</f>
        <v>C2123</v>
      </c>
      <c r="B190" s="14" t="str">
        <f>Cleaned_Customers!B123</f>
        <v>Oeshi Sachdev</v>
      </c>
      <c r="C190" s="22">
        <f>SUMIF(Cleaned_Sales!$E$2:$E$714,A190,Cleaned_Sales!$K$2:$K$714)</f>
        <v>1060775</v>
      </c>
      <c r="D190" s="14">
        <f>COUNTIF(Cleaned_Sales!$E$2:$E$714,A190)</f>
        <v>6</v>
      </c>
      <c r="E190" s="22">
        <f t="shared" si="15"/>
        <v>176795.83333333334</v>
      </c>
      <c r="F190" s="21">
        <f>IFERROR(_xlfn.MAXIFS(Cleaned_Sales!$B$2:$B$714,Cleaned_Sales!$E$2:$E$714,A190),"")</f>
        <v>45866</v>
      </c>
      <c r="G190" s="14">
        <f t="shared" si="16"/>
        <v>10</v>
      </c>
      <c r="H190" s="14" t="str">
        <f t="shared" si="17"/>
        <v>Loyal</v>
      </c>
    </row>
    <row r="191" spans="1:8" x14ac:dyDescent="0.35">
      <c r="A191" s="14" t="str">
        <f>Cleaned_Customers!A124</f>
        <v>C2124</v>
      </c>
      <c r="B191" s="14" t="str">
        <f>Cleaned_Customers!B124</f>
        <v>Garima Pandya</v>
      </c>
      <c r="C191" s="22">
        <f>SUMIF(Cleaned_Sales!$E$2:$E$714,A191,Cleaned_Sales!$K$2:$K$714)</f>
        <v>1180599.5</v>
      </c>
      <c r="D191" s="14">
        <f>COUNTIF(Cleaned_Sales!$E$2:$E$714,A191)</f>
        <v>7</v>
      </c>
      <c r="E191" s="22">
        <f t="shared" si="15"/>
        <v>168657.07142857142</v>
      </c>
      <c r="F191" s="21">
        <f>IFERROR(_xlfn.MAXIFS(Cleaned_Sales!$B$2:$B$714,Cleaned_Sales!$E$2:$E$714,A191),"")</f>
        <v>45856</v>
      </c>
      <c r="G191" s="14">
        <f t="shared" si="16"/>
        <v>20</v>
      </c>
      <c r="H191" s="14" t="str">
        <f t="shared" si="17"/>
        <v>Loyal</v>
      </c>
    </row>
    <row r="192" spans="1:8" x14ac:dyDescent="0.35">
      <c r="A192" s="14" t="str">
        <f>Cleaned_Customers!A125</f>
        <v>C2125</v>
      </c>
      <c r="B192" s="14" t="str">
        <f>Cleaned_Customers!B125</f>
        <v>Guneet Varty</v>
      </c>
      <c r="C192" s="22">
        <f>SUMIF(Cleaned_Sales!$E$2:$E$714,A192,Cleaned_Sales!$K$2:$K$714)</f>
        <v>897839</v>
      </c>
      <c r="D192" s="14">
        <f>COUNTIF(Cleaned_Sales!$E$2:$E$714,A192)</f>
        <v>5</v>
      </c>
      <c r="E192" s="22">
        <f t="shared" si="15"/>
        <v>179567.8</v>
      </c>
      <c r="F192" s="21">
        <f>IFERROR(_xlfn.MAXIFS(Cleaned_Sales!$B$2:$B$714,Cleaned_Sales!$E$2:$E$714,A192),"")</f>
        <v>45857</v>
      </c>
      <c r="G192" s="14">
        <f t="shared" si="16"/>
        <v>19</v>
      </c>
      <c r="H192" s="14" t="str">
        <f t="shared" si="17"/>
        <v>Loyal</v>
      </c>
    </row>
    <row r="193" spans="1:8" x14ac:dyDescent="0.35">
      <c r="A193" s="14" t="str">
        <f>Cleaned_Customers!A126</f>
        <v>C2126</v>
      </c>
      <c r="B193" s="14" t="str">
        <f>Cleaned_Customers!B126</f>
        <v>Lohit Mander</v>
      </c>
      <c r="C193" s="22">
        <f>SUMIF(Cleaned_Sales!$E$2:$E$714,A193,Cleaned_Sales!$K$2:$K$714)</f>
        <v>1248742</v>
      </c>
      <c r="D193" s="14">
        <f>COUNTIF(Cleaned_Sales!$E$2:$E$714,A193)</f>
        <v>6</v>
      </c>
      <c r="E193" s="22">
        <f t="shared" si="15"/>
        <v>208123.66666666666</v>
      </c>
      <c r="F193" s="21">
        <f>IFERROR(_xlfn.MAXIFS(Cleaned_Sales!$B$2:$B$714,Cleaned_Sales!$E$2:$E$714,A193),"")</f>
        <v>45663</v>
      </c>
      <c r="G193" s="14">
        <f t="shared" si="16"/>
        <v>213</v>
      </c>
      <c r="H193" s="14" t="str">
        <f t="shared" si="17"/>
        <v>Champion</v>
      </c>
    </row>
    <row r="194" spans="1:8" x14ac:dyDescent="0.35">
      <c r="A194" s="14" t="str">
        <f>Cleaned_Customers!A127</f>
        <v>C2127</v>
      </c>
      <c r="B194" s="14" t="str">
        <f>Cleaned_Customers!B127</f>
        <v>Ganga Nair</v>
      </c>
      <c r="C194" s="22">
        <f>SUMIF(Cleaned_Sales!$E$2:$E$714,A194,Cleaned_Sales!$K$2:$K$714)</f>
        <v>1021070</v>
      </c>
      <c r="D194" s="14">
        <f>COUNTIF(Cleaned_Sales!$E$2:$E$714,A194)</f>
        <v>4</v>
      </c>
      <c r="E194" s="22">
        <f t="shared" si="15"/>
        <v>255267.5</v>
      </c>
      <c r="F194" s="21">
        <f>IFERROR(_xlfn.MAXIFS(Cleaned_Sales!$B$2:$B$714,Cleaned_Sales!$E$2:$E$714,A194),"")</f>
        <v>45543</v>
      </c>
      <c r="G194" s="14">
        <f t="shared" si="16"/>
        <v>333</v>
      </c>
      <c r="H194" s="14" t="str">
        <f t="shared" si="17"/>
        <v>Loyal</v>
      </c>
    </row>
    <row r="195" spans="1:8" x14ac:dyDescent="0.35">
      <c r="A195" s="14" t="str">
        <f>Cleaned_Customers!A128</f>
        <v>C2128</v>
      </c>
      <c r="B195" s="14" t="str">
        <f>Cleaned_Customers!B128</f>
        <v>Vidhi Contractor</v>
      </c>
      <c r="C195" s="22">
        <f>SUMIF(Cleaned_Sales!$E$2:$E$714,A195,Cleaned_Sales!$K$2:$K$714)</f>
        <v>832999</v>
      </c>
      <c r="D195" s="14">
        <f>COUNTIF(Cleaned_Sales!$E$2:$E$714,A195)</f>
        <v>4</v>
      </c>
      <c r="E195" s="22">
        <f t="shared" si="15"/>
        <v>208249.75</v>
      </c>
      <c r="F195" s="21">
        <f>IFERROR(_xlfn.MAXIFS(Cleaned_Sales!$B$2:$B$714,Cleaned_Sales!$E$2:$E$714,A195),"")</f>
        <v>45729</v>
      </c>
      <c r="G195" s="14">
        <f t="shared" si="16"/>
        <v>147</v>
      </c>
      <c r="H195" s="14" t="str">
        <f t="shared" si="17"/>
        <v>Occasional</v>
      </c>
    </row>
    <row r="196" spans="1:8" x14ac:dyDescent="0.35">
      <c r="A196" s="14" t="str">
        <f>Cleaned_Customers!A129</f>
        <v>C2129</v>
      </c>
      <c r="B196" s="14" t="str">
        <f>Cleaned_Customers!B129</f>
        <v>Kala Bera</v>
      </c>
      <c r="C196" s="22">
        <f>SUMIF(Cleaned_Sales!$E$2:$E$714,A196,Cleaned_Sales!$K$2:$K$714)</f>
        <v>344147</v>
      </c>
      <c r="D196" s="14">
        <f>COUNTIF(Cleaned_Sales!$E$2:$E$714,A196)</f>
        <v>2</v>
      </c>
      <c r="E196" s="22">
        <f t="shared" si="15"/>
        <v>172073.5</v>
      </c>
      <c r="F196" s="21">
        <f>IFERROR(_xlfn.MAXIFS(Cleaned_Sales!$B$2:$B$714,Cleaned_Sales!$E$2:$E$714,A196),"")</f>
        <v>45707</v>
      </c>
      <c r="G196" s="14">
        <f t="shared" si="16"/>
        <v>169</v>
      </c>
      <c r="H196" s="14" t="str">
        <f t="shared" si="17"/>
        <v>Occasional</v>
      </c>
    </row>
    <row r="197" spans="1:8" x14ac:dyDescent="0.35">
      <c r="A197" s="14" t="str">
        <f>Cleaned_Customers!A130</f>
        <v>C2130</v>
      </c>
      <c r="B197" s="14" t="str">
        <f>Cleaned_Customers!B130</f>
        <v>Leena Pant</v>
      </c>
      <c r="C197" s="22">
        <f>SUMIF(Cleaned_Sales!$E$2:$E$714,A197,Cleaned_Sales!$K$2:$K$714)</f>
        <v>1238099.5</v>
      </c>
      <c r="D197" s="14">
        <f>COUNTIF(Cleaned_Sales!$E$2:$E$714,A197)</f>
        <v>7</v>
      </c>
      <c r="E197" s="22">
        <f t="shared" ref="E197:E228" si="18">IFERROR(C197/D197,0)</f>
        <v>176871.35714285713</v>
      </c>
      <c r="F197" s="21">
        <f>IFERROR(_xlfn.MAXIFS(Cleaned_Sales!$B$2:$B$714,Cleaned_Sales!$E$2:$E$714,A197),"")</f>
        <v>45876</v>
      </c>
      <c r="G197" s="14">
        <f t="shared" ref="G197:G228" si="19">IF(F197="","",$N$68-F197)</f>
        <v>0</v>
      </c>
      <c r="H197" s="14" t="str">
        <f t="shared" ref="H197:H228" si="20">IF(D197=0,"No Purchases",IF(AND(C197&gt;=QUARTILE($C$69:$C$217,3),D197&gt;=2),"Champion",IF(C197&gt;=QUARTILE($C$69:$C$217,2),"Loyal",IF(G197&gt;180,"At Risk","Occasional"))))</f>
        <v>Champion</v>
      </c>
    </row>
    <row r="198" spans="1:8" x14ac:dyDescent="0.35">
      <c r="A198" s="14" t="str">
        <f>Cleaned_Customers!A131</f>
        <v>C2131</v>
      </c>
      <c r="B198" s="14" t="str">
        <f>Cleaned_Customers!B131</f>
        <v>Garima Sama</v>
      </c>
      <c r="C198" s="22">
        <f>SUMIF(Cleaned_Sales!$E$2:$E$714,A198,Cleaned_Sales!$K$2:$K$714)</f>
        <v>399105</v>
      </c>
      <c r="D198" s="14">
        <f>COUNTIF(Cleaned_Sales!$E$2:$E$714,A198)</f>
        <v>2</v>
      </c>
      <c r="E198" s="22">
        <f t="shared" si="18"/>
        <v>199552.5</v>
      </c>
      <c r="F198" s="21">
        <f>IFERROR(_xlfn.MAXIFS(Cleaned_Sales!$B$2:$B$714,Cleaned_Sales!$E$2:$E$714,A198),"")</f>
        <v>45721</v>
      </c>
      <c r="G198" s="14">
        <f t="shared" si="19"/>
        <v>155</v>
      </c>
      <c r="H198" s="14" t="str">
        <f t="shared" si="20"/>
        <v>Occasional</v>
      </c>
    </row>
    <row r="199" spans="1:8" x14ac:dyDescent="0.35">
      <c r="A199" s="14" t="str">
        <f>Cleaned_Customers!A132</f>
        <v>C2132</v>
      </c>
      <c r="B199" s="14" t="str">
        <f>Cleaned_Customers!B132</f>
        <v>Mitesh Tandon</v>
      </c>
      <c r="C199" s="22">
        <f>SUMIF(Cleaned_Sales!$E$2:$E$714,A199,Cleaned_Sales!$K$2:$K$714)</f>
        <v>651074</v>
      </c>
      <c r="D199" s="14">
        <f>COUNTIF(Cleaned_Sales!$E$2:$E$714,A199)</f>
        <v>4</v>
      </c>
      <c r="E199" s="22">
        <f t="shared" si="18"/>
        <v>162768.5</v>
      </c>
      <c r="F199" s="21">
        <f>IFERROR(_xlfn.MAXIFS(Cleaned_Sales!$B$2:$B$714,Cleaned_Sales!$E$2:$E$714,A199),"")</f>
        <v>45450</v>
      </c>
      <c r="G199" s="14">
        <f t="shared" si="19"/>
        <v>426</v>
      </c>
      <c r="H199" s="14" t="str">
        <f t="shared" si="20"/>
        <v>At Risk</v>
      </c>
    </row>
    <row r="200" spans="1:8" x14ac:dyDescent="0.35">
      <c r="A200" s="14" t="str">
        <f>Cleaned_Customers!A133</f>
        <v>C2133</v>
      </c>
      <c r="B200" s="14" t="str">
        <f>Cleaned_Customers!B133</f>
        <v>Triya Khurana</v>
      </c>
      <c r="C200" s="22">
        <f>SUMIF(Cleaned_Sales!$E$2:$E$714,A200,Cleaned_Sales!$K$2:$K$714)</f>
        <v>807508</v>
      </c>
      <c r="D200" s="14">
        <f>COUNTIF(Cleaned_Sales!$E$2:$E$714,A200)</f>
        <v>5</v>
      </c>
      <c r="E200" s="22">
        <f t="shared" si="18"/>
        <v>161501.6</v>
      </c>
      <c r="F200" s="21">
        <f>IFERROR(_xlfn.MAXIFS(Cleaned_Sales!$B$2:$B$714,Cleaned_Sales!$E$2:$E$714,A200),"")</f>
        <v>45525</v>
      </c>
      <c r="G200" s="14">
        <f t="shared" si="19"/>
        <v>351</v>
      </c>
      <c r="H200" s="14" t="str">
        <f t="shared" si="20"/>
        <v>At Risk</v>
      </c>
    </row>
    <row r="201" spans="1:8" x14ac:dyDescent="0.35">
      <c r="A201" s="14" t="str">
        <f>Cleaned_Customers!A134</f>
        <v>C2134</v>
      </c>
      <c r="B201" s="14" t="str">
        <f>Cleaned_Customers!B134</f>
        <v>Neel Borah</v>
      </c>
      <c r="C201" s="22">
        <f>SUMIF(Cleaned_Sales!$E$2:$E$714,A201,Cleaned_Sales!$K$2:$K$714)</f>
        <v>934983</v>
      </c>
      <c r="D201" s="14">
        <f>COUNTIF(Cleaned_Sales!$E$2:$E$714,A201)</f>
        <v>5</v>
      </c>
      <c r="E201" s="22">
        <f t="shared" si="18"/>
        <v>186996.6</v>
      </c>
      <c r="F201" s="21">
        <f>IFERROR(_xlfn.MAXIFS(Cleaned_Sales!$B$2:$B$714,Cleaned_Sales!$E$2:$E$714,A201),"")</f>
        <v>45665</v>
      </c>
      <c r="G201" s="14">
        <f t="shared" si="19"/>
        <v>211</v>
      </c>
      <c r="H201" s="14" t="str">
        <f t="shared" si="20"/>
        <v>Loyal</v>
      </c>
    </row>
    <row r="202" spans="1:8" x14ac:dyDescent="0.35">
      <c r="A202" s="14" t="str">
        <f>Cleaned_Customers!A135</f>
        <v>C2135</v>
      </c>
      <c r="B202" s="14" t="str">
        <f>Cleaned_Customers!B135</f>
        <v>Netra Boase</v>
      </c>
      <c r="C202" s="22">
        <f>SUMIF(Cleaned_Sales!$E$2:$E$714,A202,Cleaned_Sales!$K$2:$K$714)</f>
        <v>0</v>
      </c>
      <c r="D202" s="14">
        <f>COUNTIF(Cleaned_Sales!$E$2:$E$714,A202)</f>
        <v>0</v>
      </c>
      <c r="E202" s="22">
        <f t="shared" si="18"/>
        <v>0</v>
      </c>
      <c r="F202" s="21">
        <f>IFERROR(_xlfn.MAXIFS(Cleaned_Sales!$B$2:$B$714,Cleaned_Sales!$E$2:$E$714,A202),"")</f>
        <v>0</v>
      </c>
      <c r="G202" s="14">
        <f t="shared" si="19"/>
        <v>45876</v>
      </c>
      <c r="H202" s="14" t="str">
        <f t="shared" si="20"/>
        <v>No Purchases</v>
      </c>
    </row>
    <row r="203" spans="1:8" x14ac:dyDescent="0.35">
      <c r="A203" s="14" t="str">
        <f>Cleaned_Customers!A136</f>
        <v>C2136</v>
      </c>
      <c r="B203" s="14" t="str">
        <f>Cleaned_Customers!B136</f>
        <v>Amol Bansal</v>
      </c>
      <c r="C203" s="22">
        <f>SUMIF(Cleaned_Sales!$E$2:$E$714,A203,Cleaned_Sales!$K$2:$K$714)</f>
        <v>896870</v>
      </c>
      <c r="D203" s="14">
        <f>COUNTIF(Cleaned_Sales!$E$2:$E$714,A203)</f>
        <v>3</v>
      </c>
      <c r="E203" s="22">
        <f t="shared" si="18"/>
        <v>298956.66666666669</v>
      </c>
      <c r="F203" s="21">
        <f>IFERROR(_xlfn.MAXIFS(Cleaned_Sales!$B$2:$B$714,Cleaned_Sales!$E$2:$E$714,A203),"")</f>
        <v>45648</v>
      </c>
      <c r="G203" s="14">
        <f t="shared" si="19"/>
        <v>228</v>
      </c>
      <c r="H203" s="14" t="str">
        <f t="shared" si="20"/>
        <v>Loyal</v>
      </c>
    </row>
    <row r="204" spans="1:8" x14ac:dyDescent="0.35">
      <c r="A204" s="14" t="str">
        <f>Cleaned_Customers!A137</f>
        <v>C2137</v>
      </c>
      <c r="B204" s="14" t="str">
        <f>Cleaned_Customers!B137</f>
        <v>Ekanta Kala</v>
      </c>
      <c r="C204" s="22">
        <f>SUMIF(Cleaned_Sales!$E$2:$E$714,A204,Cleaned_Sales!$K$2:$K$714)</f>
        <v>1385413</v>
      </c>
      <c r="D204" s="14">
        <f>COUNTIF(Cleaned_Sales!$E$2:$E$714,A204)</f>
        <v>5</v>
      </c>
      <c r="E204" s="22">
        <f t="shared" si="18"/>
        <v>277082.59999999998</v>
      </c>
      <c r="F204" s="21">
        <f>IFERROR(_xlfn.MAXIFS(Cleaned_Sales!$B$2:$B$714,Cleaned_Sales!$E$2:$E$714,A204),"")</f>
        <v>45680</v>
      </c>
      <c r="G204" s="14">
        <f t="shared" si="19"/>
        <v>196</v>
      </c>
      <c r="H204" s="14" t="str">
        <f t="shared" si="20"/>
        <v>Champion</v>
      </c>
    </row>
    <row r="205" spans="1:8" x14ac:dyDescent="0.35">
      <c r="A205" s="14" t="str">
        <f>Cleaned_Customers!A138</f>
        <v>C2138</v>
      </c>
      <c r="B205" s="14" t="str">
        <f>Cleaned_Customers!B138</f>
        <v>Charvi Pall</v>
      </c>
      <c r="C205" s="22">
        <f>SUMIF(Cleaned_Sales!$E$2:$E$714,A205,Cleaned_Sales!$K$2:$K$714)</f>
        <v>608668</v>
      </c>
      <c r="D205" s="14">
        <f>COUNTIF(Cleaned_Sales!$E$2:$E$714,A205)</f>
        <v>4</v>
      </c>
      <c r="E205" s="22">
        <f t="shared" si="18"/>
        <v>152167</v>
      </c>
      <c r="F205" s="21">
        <f>IFERROR(_xlfn.MAXIFS(Cleaned_Sales!$B$2:$B$714,Cleaned_Sales!$E$2:$E$714,A205),"")</f>
        <v>45764</v>
      </c>
      <c r="G205" s="14">
        <f t="shared" si="19"/>
        <v>112</v>
      </c>
      <c r="H205" s="14" t="str">
        <f t="shared" si="20"/>
        <v>Occasional</v>
      </c>
    </row>
    <row r="206" spans="1:8" x14ac:dyDescent="0.35">
      <c r="A206" s="14" t="str">
        <f>Cleaned_Customers!A139</f>
        <v>C2139</v>
      </c>
      <c r="B206" s="14" t="str">
        <f>Cleaned_Customers!B139</f>
        <v>Oni Issac</v>
      </c>
      <c r="C206" s="22">
        <f>SUMIF(Cleaned_Sales!$E$2:$E$714,A206,Cleaned_Sales!$K$2:$K$714)</f>
        <v>1727394</v>
      </c>
      <c r="D206" s="14">
        <f>COUNTIF(Cleaned_Sales!$E$2:$E$714,A206)</f>
        <v>7</v>
      </c>
      <c r="E206" s="22">
        <f t="shared" si="18"/>
        <v>246770.57142857142</v>
      </c>
      <c r="F206" s="21">
        <f>IFERROR(_xlfn.MAXIFS(Cleaned_Sales!$B$2:$B$714,Cleaned_Sales!$E$2:$E$714,A206),"")</f>
        <v>45758</v>
      </c>
      <c r="G206" s="14">
        <f t="shared" si="19"/>
        <v>118</v>
      </c>
      <c r="H206" s="14" t="str">
        <f t="shared" si="20"/>
        <v>Champion</v>
      </c>
    </row>
    <row r="207" spans="1:8" x14ac:dyDescent="0.35">
      <c r="A207" s="14" t="str">
        <f>Cleaned_Customers!A140</f>
        <v>C2140</v>
      </c>
      <c r="B207" s="14" t="str">
        <f>Cleaned_Customers!B140</f>
        <v>Victor Chadha</v>
      </c>
      <c r="C207" s="22">
        <f>SUMIF(Cleaned_Sales!$E$2:$E$714,A207,Cleaned_Sales!$K$2:$K$714)</f>
        <v>420977</v>
      </c>
      <c r="D207" s="14">
        <f>COUNTIF(Cleaned_Sales!$E$2:$E$714,A207)</f>
        <v>3</v>
      </c>
      <c r="E207" s="22">
        <f t="shared" si="18"/>
        <v>140325.66666666666</v>
      </c>
      <c r="F207" s="21">
        <f>IFERROR(_xlfn.MAXIFS(Cleaned_Sales!$B$2:$B$714,Cleaned_Sales!$E$2:$E$714,A207),"")</f>
        <v>45712</v>
      </c>
      <c r="G207" s="14">
        <f t="shared" si="19"/>
        <v>164</v>
      </c>
      <c r="H207" s="14" t="str">
        <f t="shared" si="20"/>
        <v>Occasional</v>
      </c>
    </row>
    <row r="208" spans="1:8" x14ac:dyDescent="0.35">
      <c r="A208" s="14" t="str">
        <f>Cleaned_Customers!A141</f>
        <v>C2141</v>
      </c>
      <c r="B208" s="14" t="str">
        <f>Cleaned_Customers!B141</f>
        <v>Tripti Bajwa</v>
      </c>
      <c r="C208" s="22">
        <f>SUMIF(Cleaned_Sales!$E$2:$E$714,A208,Cleaned_Sales!$K$2:$K$714)</f>
        <v>575950</v>
      </c>
      <c r="D208" s="14">
        <f>COUNTIF(Cleaned_Sales!$E$2:$E$714,A208)</f>
        <v>3</v>
      </c>
      <c r="E208" s="22">
        <f t="shared" si="18"/>
        <v>191983.33333333334</v>
      </c>
      <c r="F208" s="21">
        <f>IFERROR(_xlfn.MAXIFS(Cleaned_Sales!$B$2:$B$714,Cleaned_Sales!$E$2:$E$714,A208),"")</f>
        <v>45435</v>
      </c>
      <c r="G208" s="14">
        <f t="shared" si="19"/>
        <v>441</v>
      </c>
      <c r="H208" s="14" t="str">
        <f t="shared" si="20"/>
        <v>At Risk</v>
      </c>
    </row>
    <row r="209" spans="1:8" x14ac:dyDescent="0.35">
      <c r="A209" s="14" t="str">
        <f>Cleaned_Customers!A142</f>
        <v>C2142</v>
      </c>
      <c r="B209" s="14" t="str">
        <f>Cleaned_Customers!B142</f>
        <v>Umang Nagi</v>
      </c>
      <c r="C209" s="22">
        <f>SUMIF(Cleaned_Sales!$E$2:$E$714,A209,Cleaned_Sales!$K$2:$K$714)</f>
        <v>660516</v>
      </c>
      <c r="D209" s="14">
        <f>COUNTIF(Cleaned_Sales!$E$2:$E$714,A209)</f>
        <v>2</v>
      </c>
      <c r="E209" s="22">
        <f t="shared" si="18"/>
        <v>330258</v>
      </c>
      <c r="F209" s="21">
        <f>IFERROR(_xlfn.MAXIFS(Cleaned_Sales!$B$2:$B$714,Cleaned_Sales!$E$2:$E$714,A209),"")</f>
        <v>45471</v>
      </c>
      <c r="G209" s="14">
        <f t="shared" si="19"/>
        <v>405</v>
      </c>
      <c r="H209" s="14" t="str">
        <f t="shared" si="20"/>
        <v>At Risk</v>
      </c>
    </row>
    <row r="210" spans="1:8" x14ac:dyDescent="0.35">
      <c r="A210" s="14" t="str">
        <f>Cleaned_Customers!A143</f>
        <v>C2143</v>
      </c>
      <c r="B210" s="14" t="str">
        <f>Cleaned_Customers!B143</f>
        <v>Bishakha Gulati</v>
      </c>
      <c r="C210" s="22">
        <f>SUMIF(Cleaned_Sales!$E$2:$E$714,A210,Cleaned_Sales!$K$2:$K$714)</f>
        <v>431650</v>
      </c>
      <c r="D210" s="14">
        <f>COUNTIF(Cleaned_Sales!$E$2:$E$714,A210)</f>
        <v>3</v>
      </c>
      <c r="E210" s="22">
        <f t="shared" si="18"/>
        <v>143883.33333333334</v>
      </c>
      <c r="F210" s="21">
        <f>IFERROR(_xlfn.MAXIFS(Cleaned_Sales!$B$2:$B$714,Cleaned_Sales!$E$2:$E$714,A210),"")</f>
        <v>45783</v>
      </c>
      <c r="G210" s="14">
        <f t="shared" si="19"/>
        <v>93</v>
      </c>
      <c r="H210" s="14" t="str">
        <f t="shared" si="20"/>
        <v>Occasional</v>
      </c>
    </row>
    <row r="211" spans="1:8" x14ac:dyDescent="0.35">
      <c r="A211" s="14" t="str">
        <f>Cleaned_Customers!A144</f>
        <v>C2144</v>
      </c>
      <c r="B211" s="14" t="str">
        <f>Cleaned_Customers!B144</f>
        <v>Kala Gour</v>
      </c>
      <c r="C211" s="22">
        <f>SUMIF(Cleaned_Sales!$E$2:$E$714,A211,Cleaned_Sales!$K$2:$K$714)</f>
        <v>1044296.5</v>
      </c>
      <c r="D211" s="14">
        <f>COUNTIF(Cleaned_Sales!$E$2:$E$714,A211)</f>
        <v>4</v>
      </c>
      <c r="E211" s="22">
        <f t="shared" si="18"/>
        <v>261074.125</v>
      </c>
      <c r="F211" s="21">
        <f>IFERROR(_xlfn.MAXIFS(Cleaned_Sales!$B$2:$B$714,Cleaned_Sales!$E$2:$E$714,A211),"")</f>
        <v>45787</v>
      </c>
      <c r="G211" s="14">
        <f t="shared" si="19"/>
        <v>89</v>
      </c>
      <c r="H211" s="14" t="str">
        <f t="shared" si="20"/>
        <v>Loyal</v>
      </c>
    </row>
    <row r="212" spans="1:8" x14ac:dyDescent="0.35">
      <c r="A212" s="14" t="str">
        <f>Cleaned_Customers!A145</f>
        <v>C2145</v>
      </c>
      <c r="B212" s="14" t="str">
        <f>Cleaned_Customers!B145</f>
        <v>Robert Vyas</v>
      </c>
      <c r="C212" s="22">
        <f>SUMIF(Cleaned_Sales!$E$2:$E$714,A212,Cleaned_Sales!$K$2:$K$714)</f>
        <v>1278716</v>
      </c>
      <c r="D212" s="14">
        <f>COUNTIF(Cleaned_Sales!$E$2:$E$714,A212)</f>
        <v>4</v>
      </c>
      <c r="E212" s="22">
        <f t="shared" si="18"/>
        <v>319679</v>
      </c>
      <c r="F212" s="21">
        <f>IFERROR(_xlfn.MAXIFS(Cleaned_Sales!$B$2:$B$714,Cleaned_Sales!$E$2:$E$714,A212),"")</f>
        <v>45445</v>
      </c>
      <c r="G212" s="14">
        <f t="shared" si="19"/>
        <v>431</v>
      </c>
      <c r="H212" s="14" t="str">
        <f t="shared" si="20"/>
        <v>Champion</v>
      </c>
    </row>
    <row r="213" spans="1:8" x14ac:dyDescent="0.35">
      <c r="A213" s="14" t="str">
        <f>Cleaned_Customers!A146</f>
        <v>C2146</v>
      </c>
      <c r="B213" s="14" t="str">
        <f>Cleaned_Customers!B146</f>
        <v>Vaishnavi Vohra</v>
      </c>
      <c r="C213" s="22">
        <f>SUMIF(Cleaned_Sales!$E$2:$E$714,A213,Cleaned_Sales!$K$2:$K$714)</f>
        <v>326665.5</v>
      </c>
      <c r="D213" s="14">
        <f>COUNTIF(Cleaned_Sales!$E$2:$E$714,A213)</f>
        <v>5</v>
      </c>
      <c r="E213" s="22">
        <f t="shared" si="18"/>
        <v>65333.1</v>
      </c>
      <c r="F213" s="21">
        <f>IFERROR(_xlfn.MAXIFS(Cleaned_Sales!$B$2:$B$714,Cleaned_Sales!$E$2:$E$714,A213),"")</f>
        <v>45843</v>
      </c>
      <c r="G213" s="14">
        <f t="shared" si="19"/>
        <v>33</v>
      </c>
      <c r="H213" s="14" t="str">
        <f t="shared" si="20"/>
        <v>Occasional</v>
      </c>
    </row>
    <row r="214" spans="1:8" x14ac:dyDescent="0.35">
      <c r="A214" s="14" t="str">
        <f>Cleaned_Customers!A147</f>
        <v>C2147</v>
      </c>
      <c r="B214" s="14" t="str">
        <f>Cleaned_Customers!B147</f>
        <v>Rajata Kuruvilla</v>
      </c>
      <c r="C214" s="22">
        <f>SUMIF(Cleaned_Sales!$E$2:$E$714,A214,Cleaned_Sales!$K$2:$K$714)</f>
        <v>763153</v>
      </c>
      <c r="D214" s="14">
        <f>COUNTIF(Cleaned_Sales!$E$2:$E$714,A214)</f>
        <v>3</v>
      </c>
      <c r="E214" s="22">
        <f t="shared" si="18"/>
        <v>254384.33333333334</v>
      </c>
      <c r="F214" s="21">
        <f>IFERROR(_xlfn.MAXIFS(Cleaned_Sales!$B$2:$B$714,Cleaned_Sales!$E$2:$E$714,A214),"")</f>
        <v>45852</v>
      </c>
      <c r="G214" s="14">
        <f t="shared" si="19"/>
        <v>24</v>
      </c>
      <c r="H214" s="14" t="str">
        <f t="shared" si="20"/>
        <v>Occasional</v>
      </c>
    </row>
    <row r="215" spans="1:8" x14ac:dyDescent="0.35">
      <c r="A215" s="14" t="str">
        <f>Cleaned_Customers!A148</f>
        <v>C2148</v>
      </c>
      <c r="B215" s="14" t="str">
        <f>Cleaned_Customers!B148</f>
        <v>Vedhika Sabharwal</v>
      </c>
      <c r="C215" s="22">
        <f>SUMIF(Cleaned_Sales!$E$2:$E$714,A215,Cleaned_Sales!$K$2:$K$714)</f>
        <v>2522996</v>
      </c>
      <c r="D215" s="14">
        <f>COUNTIF(Cleaned_Sales!$E$2:$E$714,A215)</f>
        <v>8</v>
      </c>
      <c r="E215" s="22">
        <f t="shared" si="18"/>
        <v>315374.5</v>
      </c>
      <c r="F215" s="21">
        <f>IFERROR(_xlfn.MAXIFS(Cleaned_Sales!$B$2:$B$714,Cleaned_Sales!$E$2:$E$714,A215),"")</f>
        <v>45855</v>
      </c>
      <c r="G215" s="14">
        <f t="shared" si="19"/>
        <v>21</v>
      </c>
      <c r="H215" s="14" t="str">
        <f t="shared" si="20"/>
        <v>Champion</v>
      </c>
    </row>
    <row r="216" spans="1:8" x14ac:dyDescent="0.35">
      <c r="A216" s="14" t="str">
        <f>Cleaned_Customers!A149</f>
        <v>C2149</v>
      </c>
      <c r="B216" s="14" t="str">
        <f>Cleaned_Customers!B149</f>
        <v>Ronith Chokshi</v>
      </c>
      <c r="C216" s="22">
        <f>SUMIF(Cleaned_Sales!$E$2:$E$714,A216,Cleaned_Sales!$K$2:$K$714)</f>
        <v>1117264.5</v>
      </c>
      <c r="D216" s="14">
        <f>COUNTIF(Cleaned_Sales!$E$2:$E$714,A216)</f>
        <v>5</v>
      </c>
      <c r="E216" s="22">
        <f t="shared" si="18"/>
        <v>223452.9</v>
      </c>
      <c r="F216" s="21">
        <f>IFERROR(_xlfn.MAXIFS(Cleaned_Sales!$B$2:$B$714,Cleaned_Sales!$E$2:$E$714,A216),"")</f>
        <v>45719</v>
      </c>
      <c r="G216" s="14">
        <f t="shared" si="19"/>
        <v>157</v>
      </c>
      <c r="H216" s="14" t="str">
        <f t="shared" si="20"/>
        <v>Loyal</v>
      </c>
    </row>
    <row r="217" spans="1:8" x14ac:dyDescent="0.35">
      <c r="A217" s="14" t="str">
        <f>Cleaned_Customers!A150</f>
        <v>C2150</v>
      </c>
      <c r="B217" s="14" t="str">
        <f>Cleaned_Customers!B150</f>
        <v>Qasim Sarraf</v>
      </c>
      <c r="C217" s="22">
        <f>SUMIF(Cleaned_Sales!$E$2:$E$714,A217,Cleaned_Sales!$K$2:$K$714)</f>
        <v>1118691</v>
      </c>
      <c r="D217" s="14">
        <f>COUNTIF(Cleaned_Sales!$E$2:$E$714,A217)</f>
        <v>5</v>
      </c>
      <c r="E217" s="22">
        <f t="shared" si="18"/>
        <v>223738.2</v>
      </c>
      <c r="F217" s="21">
        <f>IFERROR(_xlfn.MAXIFS(Cleaned_Sales!$B$2:$B$714,Cleaned_Sales!$E$2:$E$714,A217),"")</f>
        <v>45645</v>
      </c>
      <c r="G217" s="14">
        <f t="shared" si="19"/>
        <v>231</v>
      </c>
      <c r="H217" s="14" t="str">
        <f t="shared" si="20"/>
        <v>Loyal</v>
      </c>
    </row>
  </sheetData>
  <mergeCells count="2">
    <mergeCell ref="A3:H3"/>
    <mergeCell ref="A67:H67"/>
  </mergeCells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84"/>
  <sheetViews>
    <sheetView tabSelected="1" topLeftCell="D1" zoomScaleNormal="100" workbookViewId="0"/>
  </sheetViews>
  <sheetFormatPr defaultColWidth="8.6328125" defaultRowHeight="14.5" x14ac:dyDescent="0.35"/>
  <cols>
    <col min="1" max="4" width="30" customWidth="1"/>
  </cols>
  <sheetData>
    <row r="1" spans="1:4" ht="18" x14ac:dyDescent="0.4">
      <c r="A1" s="16" t="s">
        <v>4103</v>
      </c>
    </row>
    <row r="3" spans="1:4" ht="21.75" customHeight="1" x14ac:dyDescent="0.35">
      <c r="A3" s="1" t="s">
        <v>4104</v>
      </c>
      <c r="B3" s="1"/>
      <c r="C3" s="1"/>
      <c r="D3" s="1"/>
    </row>
    <row r="4" spans="1:4" x14ac:dyDescent="0.35">
      <c r="A4" s="17" t="s">
        <v>3100</v>
      </c>
      <c r="B4" s="17" t="s">
        <v>4090</v>
      </c>
      <c r="C4" s="17" t="s">
        <v>4105</v>
      </c>
      <c r="D4" s="17" t="s">
        <v>4097</v>
      </c>
    </row>
    <row r="5" spans="1:4" x14ac:dyDescent="0.35">
      <c r="A5" s="14" t="s">
        <v>3149</v>
      </c>
      <c r="B5" s="22">
        <f>SUMIF(Cleaned_Sales!$O$2:$O$714,A5,Cleaned_Sales!$K$2:$K$714)</f>
        <v>11985194</v>
      </c>
      <c r="C5" s="14">
        <f>SUMIF(Cleaned_Sales!$O$2:$O$714,A5,Cleaned_Sales!$H$2:$H$714)</f>
        <v>100</v>
      </c>
      <c r="D5" s="14">
        <f>COUNTIF(Cleaned_Sales!$O$2:$O$714,A5)</f>
        <v>62</v>
      </c>
    </row>
    <row r="6" spans="1:4" x14ac:dyDescent="0.35">
      <c r="A6" s="14" t="s">
        <v>3122</v>
      </c>
      <c r="B6" s="22">
        <f>SUMIF(Cleaned_Sales!$O$2:$O$714,A6,Cleaned_Sales!$K$2:$K$714)</f>
        <v>19802400</v>
      </c>
      <c r="C6" s="14">
        <f>SUMIF(Cleaned_Sales!$O$2:$O$714,A6,Cleaned_Sales!$H$2:$H$714)</f>
        <v>165</v>
      </c>
      <c r="D6" s="14">
        <f>COUNTIF(Cleaned_Sales!$O$2:$O$714,A6)</f>
        <v>95</v>
      </c>
    </row>
    <row r="7" spans="1:4" x14ac:dyDescent="0.35">
      <c r="A7" s="14" t="s">
        <v>3185</v>
      </c>
      <c r="B7" s="22">
        <f>SUMIF(Cleaned_Sales!$O$2:$O$714,A7,Cleaned_Sales!$K$2:$K$714)</f>
        <v>27736857</v>
      </c>
      <c r="C7" s="14">
        <f>SUMIF(Cleaned_Sales!$O$2:$O$714,A7,Cleaned_Sales!$H$2:$H$714)</f>
        <v>231</v>
      </c>
      <c r="D7" s="14">
        <f>COUNTIF(Cleaned_Sales!$O$2:$O$714,A7)</f>
        <v>150</v>
      </c>
    </row>
    <row r="8" spans="1:4" x14ac:dyDescent="0.35">
      <c r="A8" s="14" t="s">
        <v>3177</v>
      </c>
      <c r="B8" s="22">
        <f>SUMIF(Cleaned_Sales!$O$2:$O$714,A8,Cleaned_Sales!$K$2:$K$714)</f>
        <v>18156698.5</v>
      </c>
      <c r="C8" s="14">
        <f>SUMIF(Cleaned_Sales!$O$2:$O$714,A8,Cleaned_Sales!$H$2:$H$714)</f>
        <v>153</v>
      </c>
      <c r="D8" s="14">
        <f>COUNTIF(Cleaned_Sales!$O$2:$O$714,A8)</f>
        <v>97</v>
      </c>
    </row>
    <row r="9" spans="1:4" x14ac:dyDescent="0.35">
      <c r="A9" s="14" t="s">
        <v>3172</v>
      </c>
      <c r="B9" s="22">
        <f>SUMIF(Cleaned_Sales!$O$2:$O$714,A9,Cleaned_Sales!$K$2:$K$714)</f>
        <v>12047669</v>
      </c>
      <c r="C9" s="14">
        <f>SUMIF(Cleaned_Sales!$O$2:$O$714,A9,Cleaned_Sales!$H$2:$H$714)</f>
        <v>98</v>
      </c>
      <c r="D9" s="14">
        <f>COUNTIF(Cleaned_Sales!$O$2:$O$714,A9)</f>
        <v>65</v>
      </c>
    </row>
    <row r="10" spans="1:4" x14ac:dyDescent="0.35">
      <c r="A10" s="14" t="s">
        <v>3231</v>
      </c>
      <c r="B10" s="22">
        <f>SUMIF(Cleaned_Sales!$O$2:$O$714,A10,Cleaned_Sales!$K$2:$K$714)</f>
        <v>21022867.5</v>
      </c>
      <c r="C10" s="14">
        <f>SUMIF(Cleaned_Sales!$O$2:$O$714,A10,Cleaned_Sales!$H$2:$H$714)</f>
        <v>186</v>
      </c>
      <c r="D10" s="14">
        <f>COUNTIF(Cleaned_Sales!$O$2:$O$714,A10)</f>
        <v>107</v>
      </c>
    </row>
    <row r="11" spans="1:4" x14ac:dyDescent="0.35">
      <c r="A11" s="14" t="s">
        <v>3248</v>
      </c>
      <c r="B11" s="22">
        <f>SUMIF(Cleaned_Sales!$O$2:$O$714,A11,Cleaned_Sales!$K$2:$K$714)</f>
        <v>11928398</v>
      </c>
      <c r="C11" s="14">
        <f>SUMIF(Cleaned_Sales!$O$2:$O$714,A11,Cleaned_Sales!$H$2:$H$714)</f>
        <v>113</v>
      </c>
      <c r="D11" s="14">
        <f>COUNTIF(Cleaned_Sales!$O$2:$O$714,A11)</f>
        <v>64</v>
      </c>
    </row>
    <row r="12" spans="1:4" x14ac:dyDescent="0.35">
      <c r="A12" s="14" t="s">
        <v>3110</v>
      </c>
      <c r="B12" s="22">
        <f>SUMIF(Cleaned_Sales!$O$2:$O$714,A12,Cleaned_Sales!$K$2:$K$714)</f>
        <v>17113887</v>
      </c>
      <c r="C12" s="14">
        <f>SUMIF(Cleaned_Sales!$O$2:$O$714,A12,Cleaned_Sales!$H$2:$H$714)</f>
        <v>124</v>
      </c>
      <c r="D12" s="14">
        <f>COUNTIF(Cleaned_Sales!$O$2:$O$714,A12)</f>
        <v>73</v>
      </c>
    </row>
    <row r="15" spans="1:4" ht="21.75" customHeight="1" x14ac:dyDescent="0.35">
      <c r="A15" s="1" t="s">
        <v>4106</v>
      </c>
      <c r="B15" s="1"/>
      <c r="C15" s="1"/>
    </row>
    <row r="16" spans="1:4" x14ac:dyDescent="0.35">
      <c r="A16" s="17" t="s">
        <v>4107</v>
      </c>
      <c r="B16" s="17" t="s">
        <v>3972</v>
      </c>
      <c r="C16" s="17" t="s">
        <v>4097</v>
      </c>
    </row>
    <row r="17" spans="1:3" x14ac:dyDescent="0.35">
      <c r="A17" s="14" t="s">
        <v>3987</v>
      </c>
      <c r="B17" s="22">
        <f>SUMIF(Cleaned_Sales!$C$2:$C$714,A17,Cleaned_Sales!$K$2:$K$714)</f>
        <v>6202075.5</v>
      </c>
      <c r="C17" s="14">
        <f>COUNTIF(Cleaned_Sales!$C$2:$C$714,A17)</f>
        <v>29</v>
      </c>
    </row>
    <row r="18" spans="1:3" x14ac:dyDescent="0.35">
      <c r="A18" s="14" t="s">
        <v>4001</v>
      </c>
      <c r="B18" s="22">
        <f>SUMIF(Cleaned_Sales!$C$2:$C$714,A18,Cleaned_Sales!$K$2:$K$714)</f>
        <v>3885979</v>
      </c>
      <c r="C18" s="14">
        <f>COUNTIF(Cleaned_Sales!$C$2:$C$714,A18)</f>
        <v>23</v>
      </c>
    </row>
    <row r="19" spans="1:3" x14ac:dyDescent="0.35">
      <c r="A19" s="14" t="s">
        <v>3982</v>
      </c>
      <c r="B19" s="22">
        <f>SUMIF(Cleaned_Sales!$C$2:$C$714,A19,Cleaned_Sales!$K$2:$K$714)</f>
        <v>4903065</v>
      </c>
      <c r="C19" s="14">
        <f>COUNTIF(Cleaned_Sales!$C$2:$C$714,A19)</f>
        <v>24</v>
      </c>
    </row>
    <row r="20" spans="1:3" x14ac:dyDescent="0.35">
      <c r="A20" s="14" t="s">
        <v>4010</v>
      </c>
      <c r="B20" s="22">
        <f>SUMIF(Cleaned_Sales!$C$2:$C$714,A20,Cleaned_Sales!$K$2:$K$714)</f>
        <v>4104846</v>
      </c>
      <c r="C20" s="14">
        <f>COUNTIF(Cleaned_Sales!$C$2:$C$714,A20)</f>
        <v>23</v>
      </c>
    </row>
    <row r="21" spans="1:3" x14ac:dyDescent="0.35">
      <c r="A21" s="14" t="s">
        <v>3973</v>
      </c>
      <c r="B21" s="22">
        <f>SUMIF(Cleaned_Sales!$C$2:$C$714,A21,Cleaned_Sales!$K$2:$K$714)</f>
        <v>4816490</v>
      </c>
      <c r="C21" s="14">
        <f>COUNTIF(Cleaned_Sales!$C$2:$C$714,A21)</f>
        <v>24</v>
      </c>
    </row>
    <row r="22" spans="1:3" x14ac:dyDescent="0.35">
      <c r="A22" s="14" t="s">
        <v>3994</v>
      </c>
      <c r="B22" s="22">
        <f>SUMIF(Cleaned_Sales!$C$2:$C$714,A22,Cleaned_Sales!$K$2:$K$714)</f>
        <v>3825194.5</v>
      </c>
      <c r="C22" s="14">
        <f>COUNTIF(Cleaned_Sales!$C$2:$C$714,A22)</f>
        <v>19</v>
      </c>
    </row>
    <row r="23" spans="1:3" x14ac:dyDescent="0.35">
      <c r="A23" s="14" t="s">
        <v>3988</v>
      </c>
      <c r="B23" s="22">
        <f>SUMIF(Cleaned_Sales!$C$2:$C$714,A23,Cleaned_Sales!$K$2:$K$714)</f>
        <v>4794524.5</v>
      </c>
      <c r="C23" s="14">
        <f>COUNTIF(Cleaned_Sales!$C$2:$C$714,A23)</f>
        <v>25</v>
      </c>
    </row>
    <row r="24" spans="1:3" x14ac:dyDescent="0.35">
      <c r="A24" s="14" t="s">
        <v>3998</v>
      </c>
      <c r="B24" s="22">
        <f>SUMIF(Cleaned_Sales!$C$2:$C$714,A24,Cleaned_Sales!$K$2:$K$714)</f>
        <v>6262531.5</v>
      </c>
      <c r="C24" s="14">
        <f>COUNTIF(Cleaned_Sales!$C$2:$C$714,A24)</f>
        <v>29</v>
      </c>
    </row>
    <row r="25" spans="1:3" x14ac:dyDescent="0.35">
      <c r="A25" s="14" t="s">
        <v>3996</v>
      </c>
      <c r="B25" s="22">
        <f>SUMIF(Cleaned_Sales!$C$2:$C$714,A25,Cleaned_Sales!$K$2:$K$714)</f>
        <v>4612252</v>
      </c>
      <c r="C25" s="14">
        <f>COUNTIF(Cleaned_Sales!$C$2:$C$714,A25)</f>
        <v>23</v>
      </c>
    </row>
    <row r="26" spans="1:3" x14ac:dyDescent="0.35">
      <c r="A26" s="14" t="s">
        <v>3990</v>
      </c>
      <c r="B26" s="22">
        <f>SUMIF(Cleaned_Sales!$C$2:$C$714,A26,Cleaned_Sales!$K$2:$K$714)</f>
        <v>5052189.5</v>
      </c>
      <c r="C26" s="14">
        <f>COUNTIF(Cleaned_Sales!$C$2:$C$714,A26)</f>
        <v>24</v>
      </c>
    </row>
    <row r="27" spans="1:3" x14ac:dyDescent="0.35">
      <c r="A27" s="14" t="s">
        <v>3978</v>
      </c>
      <c r="B27" s="22">
        <f>SUMIF(Cleaned_Sales!$C$2:$C$714,A27,Cleaned_Sales!$K$2:$K$714)</f>
        <v>3455374.5</v>
      </c>
      <c r="C27" s="14">
        <f>COUNTIF(Cleaned_Sales!$C$2:$C$714,A27)</f>
        <v>23</v>
      </c>
    </row>
    <row r="28" spans="1:3" x14ac:dyDescent="0.35">
      <c r="A28" s="14" t="s">
        <v>4008</v>
      </c>
      <c r="B28" s="22">
        <f>SUMIF(Cleaned_Sales!$C$2:$C$714,A28,Cleaned_Sales!$K$2:$K$714)</f>
        <v>4875028.5</v>
      </c>
      <c r="C28" s="14">
        <f>COUNTIF(Cleaned_Sales!$C$2:$C$714,A28)</f>
        <v>25</v>
      </c>
    </row>
    <row r="29" spans="1:3" x14ac:dyDescent="0.35">
      <c r="A29" s="14" t="s">
        <v>3993</v>
      </c>
      <c r="B29" s="22">
        <f>SUMIF(Cleaned_Sales!$C$2:$C$714,A29,Cleaned_Sales!$K$2:$K$714)</f>
        <v>2955111.5</v>
      </c>
      <c r="C29" s="14">
        <f>COUNTIF(Cleaned_Sales!$C$2:$C$714,A29)</f>
        <v>19</v>
      </c>
    </row>
    <row r="30" spans="1:3" x14ac:dyDescent="0.35">
      <c r="A30" s="14" t="s">
        <v>3999</v>
      </c>
      <c r="B30" s="22">
        <f>SUMIF(Cleaned_Sales!$C$2:$C$714,A30,Cleaned_Sales!$K$2:$K$714)</f>
        <v>3691037</v>
      </c>
      <c r="C30" s="14">
        <f>COUNTIF(Cleaned_Sales!$C$2:$C$714,A30)</f>
        <v>25</v>
      </c>
    </row>
    <row r="31" spans="1:3" x14ac:dyDescent="0.35">
      <c r="A31" s="14" t="s">
        <v>3985</v>
      </c>
      <c r="B31" s="22">
        <f>SUMIF(Cleaned_Sales!$C$2:$C$714,A31,Cleaned_Sales!$K$2:$K$714)</f>
        <v>4818343.5</v>
      </c>
      <c r="C31" s="14">
        <f>COUNTIF(Cleaned_Sales!$C$2:$C$714,A31)</f>
        <v>22</v>
      </c>
    </row>
    <row r="32" spans="1:3" x14ac:dyDescent="0.35">
      <c r="A32" s="14" t="s">
        <v>4000</v>
      </c>
      <c r="B32" s="22">
        <f>SUMIF(Cleaned_Sales!$C$2:$C$714,A32,Cleaned_Sales!$K$2:$K$714)</f>
        <v>5082271.5</v>
      </c>
      <c r="C32" s="14">
        <f>COUNTIF(Cleaned_Sales!$C$2:$C$714,A32)</f>
        <v>21</v>
      </c>
    </row>
    <row r="33" spans="1:3" x14ac:dyDescent="0.35">
      <c r="A33" s="14" t="s">
        <v>4007</v>
      </c>
      <c r="B33" s="22">
        <f>SUMIF(Cleaned_Sales!$C$2:$C$714,A33,Cleaned_Sales!$K$2:$K$714)</f>
        <v>3778898.5</v>
      </c>
      <c r="C33" s="14">
        <f>COUNTIF(Cleaned_Sales!$C$2:$C$714,A33)</f>
        <v>18</v>
      </c>
    </row>
    <row r="34" spans="1:3" x14ac:dyDescent="0.35">
      <c r="A34" s="14" t="s">
        <v>3984</v>
      </c>
      <c r="B34" s="22">
        <f>SUMIF(Cleaned_Sales!$C$2:$C$714,A34,Cleaned_Sales!$K$2:$K$714)</f>
        <v>6075610.5</v>
      </c>
      <c r="C34" s="14">
        <f>COUNTIF(Cleaned_Sales!$C$2:$C$714,A34)</f>
        <v>25</v>
      </c>
    </row>
    <row r="35" spans="1:3" x14ac:dyDescent="0.35">
      <c r="A35" s="14" t="s">
        <v>4009</v>
      </c>
      <c r="B35" s="22">
        <f>SUMIF(Cleaned_Sales!$C$2:$C$714,A35,Cleaned_Sales!$K$2:$K$714)</f>
        <v>4239483</v>
      </c>
      <c r="C35" s="14">
        <f>COUNTIF(Cleaned_Sales!$C$2:$C$714,A35)</f>
        <v>20</v>
      </c>
    </row>
    <row r="36" spans="1:3" x14ac:dyDescent="0.35">
      <c r="A36" s="14" t="s">
        <v>3992</v>
      </c>
      <c r="B36" s="22">
        <f>SUMIF(Cleaned_Sales!$C$2:$C$714,A36,Cleaned_Sales!$K$2:$K$714)</f>
        <v>4530231</v>
      </c>
      <c r="C36" s="14">
        <f>COUNTIF(Cleaned_Sales!$C$2:$C$714,A36)</f>
        <v>20</v>
      </c>
    </row>
    <row r="37" spans="1:3" x14ac:dyDescent="0.35">
      <c r="A37" s="14" t="s">
        <v>4003</v>
      </c>
      <c r="B37" s="22">
        <f>SUMIF(Cleaned_Sales!$C$2:$C$714,A37,Cleaned_Sales!$K$2:$K$714)</f>
        <v>4684593</v>
      </c>
      <c r="C37" s="14">
        <f>COUNTIF(Cleaned_Sales!$C$2:$C$714,A37)</f>
        <v>23</v>
      </c>
    </row>
    <row r="38" spans="1:3" x14ac:dyDescent="0.35">
      <c r="A38" s="14" t="s">
        <v>3981</v>
      </c>
      <c r="B38" s="22">
        <f>SUMIF(Cleaned_Sales!$C$2:$C$714,A38,Cleaned_Sales!$K$2:$K$714)</f>
        <v>4547220</v>
      </c>
      <c r="C38" s="14">
        <f>COUNTIF(Cleaned_Sales!$C$2:$C$714,A38)</f>
        <v>27</v>
      </c>
    </row>
    <row r="39" spans="1:3" x14ac:dyDescent="0.35">
      <c r="A39" s="14" t="s">
        <v>3976</v>
      </c>
      <c r="B39" s="22">
        <f>SUMIF(Cleaned_Sales!$C$2:$C$714,A39,Cleaned_Sales!$K$2:$K$714)</f>
        <v>4280640.5</v>
      </c>
      <c r="C39" s="14">
        <f>COUNTIF(Cleaned_Sales!$C$2:$C$714,A39)</f>
        <v>24</v>
      </c>
    </row>
    <row r="40" spans="1:3" x14ac:dyDescent="0.35">
      <c r="A40" s="14" t="s">
        <v>3986</v>
      </c>
      <c r="B40" s="22">
        <f>SUMIF(Cleaned_Sales!$C$2:$C$714,A40,Cleaned_Sales!$K$2:$K$714)</f>
        <v>5281672.5</v>
      </c>
      <c r="C40" s="14">
        <f>COUNTIF(Cleaned_Sales!$C$2:$C$714,A40)</f>
        <v>30</v>
      </c>
    </row>
    <row r="41" spans="1:3" x14ac:dyDescent="0.35">
      <c r="A41" s="14" t="s">
        <v>4005</v>
      </c>
      <c r="B41" s="22">
        <f>SUMIF(Cleaned_Sales!$C$2:$C$714,A41,Cleaned_Sales!$K$2:$K$714)</f>
        <v>4694984.5</v>
      </c>
      <c r="C41" s="14">
        <f>COUNTIF(Cleaned_Sales!$C$2:$C$714,A41)</f>
        <v>25</v>
      </c>
    </row>
    <row r="42" spans="1:3" x14ac:dyDescent="0.35">
      <c r="A42" s="14" t="s">
        <v>3989</v>
      </c>
      <c r="B42" s="22">
        <f>SUMIF(Cleaned_Sales!$C$2:$C$714,A42,Cleaned_Sales!$K$2:$K$714)</f>
        <v>4931928.5</v>
      </c>
      <c r="C42" s="14">
        <f>COUNTIF(Cleaned_Sales!$C$2:$C$714,A42)</f>
        <v>22</v>
      </c>
    </row>
    <row r="43" spans="1:3" x14ac:dyDescent="0.35">
      <c r="A43" s="14" t="s">
        <v>4002</v>
      </c>
      <c r="B43" s="22">
        <f>SUMIF(Cleaned_Sales!$C$2:$C$714,A43,Cleaned_Sales!$K$2:$K$714)</f>
        <v>3721035</v>
      </c>
      <c r="C43" s="14">
        <f>COUNTIF(Cleaned_Sales!$C$2:$C$714,A43)</f>
        <v>23</v>
      </c>
    </row>
    <row r="44" spans="1:3" x14ac:dyDescent="0.35">
      <c r="A44" s="14" t="s">
        <v>4006</v>
      </c>
      <c r="B44" s="22">
        <f>SUMIF(Cleaned_Sales!$C$2:$C$714,A44,Cleaned_Sales!$K$2:$K$714)</f>
        <v>3917706.5</v>
      </c>
      <c r="C44" s="14">
        <f>COUNTIF(Cleaned_Sales!$C$2:$C$714,A44)</f>
        <v>16</v>
      </c>
    </row>
    <row r="45" spans="1:3" x14ac:dyDescent="0.35">
      <c r="A45" s="14" t="s">
        <v>4004</v>
      </c>
      <c r="B45" s="22">
        <f>SUMIF(Cleaned_Sales!$C$2:$C$714,A45,Cleaned_Sales!$K$2:$K$714)</f>
        <v>4311336.5</v>
      </c>
      <c r="C45" s="14">
        <f>COUNTIF(Cleaned_Sales!$C$2:$C$714,A45)</f>
        <v>19</v>
      </c>
    </row>
    <row r="46" spans="1:3" x14ac:dyDescent="0.35">
      <c r="A46" s="14" t="s">
        <v>3997</v>
      </c>
      <c r="B46" s="22">
        <f>SUMIF(Cleaned_Sales!$C$2:$C$714,A46,Cleaned_Sales!$K$2:$K$714)</f>
        <v>2500347.5</v>
      </c>
      <c r="C46" s="14">
        <f>COUNTIF(Cleaned_Sales!$C$2:$C$714,A46)</f>
        <v>12</v>
      </c>
    </row>
    <row r="47" spans="1:3" x14ac:dyDescent="0.35">
      <c r="A47" s="14" t="s">
        <v>3991</v>
      </c>
      <c r="B47" s="22">
        <f>SUMIF(Cleaned_Sales!$C$2:$C$714,A47,Cleaned_Sales!$K$2:$K$714)</f>
        <v>4736711.5</v>
      </c>
      <c r="C47" s="14">
        <f>COUNTIF(Cleaned_Sales!$C$2:$C$714,A47)</f>
        <v>29</v>
      </c>
    </row>
    <row r="48" spans="1:3" x14ac:dyDescent="0.35">
      <c r="A48" s="14" t="s">
        <v>4011</v>
      </c>
      <c r="B48" s="22">
        <f>SUMIF(Cleaned_Sales!$C$2:$C$714,A48,Cleaned_Sales!$K$2:$K$714)</f>
        <v>225258</v>
      </c>
      <c r="C48" s="14">
        <f>COUNTIF(Cleaned_Sales!$C$2:$C$714,A48)</f>
        <v>2</v>
      </c>
    </row>
    <row r="51" spans="1:4" ht="21.75" customHeight="1" x14ac:dyDescent="0.35">
      <c r="A51" s="1" t="s">
        <v>4108</v>
      </c>
      <c r="B51" s="1"/>
      <c r="C51" s="1"/>
      <c r="D51" s="1"/>
    </row>
    <row r="52" spans="1:4" x14ac:dyDescent="0.35">
      <c r="A52" s="17" t="s">
        <v>45</v>
      </c>
      <c r="B52" s="17" t="s">
        <v>3918</v>
      </c>
      <c r="C52" s="17" t="s">
        <v>3972</v>
      </c>
      <c r="D52" s="17" t="s">
        <v>4097</v>
      </c>
    </row>
    <row r="53" spans="1:4" x14ac:dyDescent="0.35">
      <c r="A53" s="14" t="str">
        <f>Cleaned_Stores!A2</f>
        <v>S101</v>
      </c>
      <c r="B53" s="14" t="str">
        <f>Cleaned_Stores!B2</f>
        <v>Aurelia Jewels - Surat</v>
      </c>
      <c r="C53" s="22">
        <f>SUMIF(Cleaned_Sales!$G$2:$G$714,A53,Cleaned_Sales!$K$2:$K$714)</f>
        <v>18442227.5</v>
      </c>
      <c r="D53" s="14">
        <f>COUNTIF(Cleaned_Sales!$G$2:$G$714,A53)</f>
        <v>92</v>
      </c>
    </row>
    <row r="54" spans="1:4" x14ac:dyDescent="0.35">
      <c r="A54" s="14" t="str">
        <f>Cleaned_Stores!A3</f>
        <v>S102</v>
      </c>
      <c r="B54" s="14" t="str">
        <f>Cleaned_Stores!B3</f>
        <v>Aurelia Jewels - Chennai</v>
      </c>
      <c r="C54" s="22">
        <f>SUMIF(Cleaned_Sales!$G$2:$G$714,A54,Cleaned_Sales!$K$2:$K$714)</f>
        <v>20766928</v>
      </c>
      <c r="D54" s="14">
        <f>COUNTIF(Cleaned_Sales!$G$2:$G$714,A54)</f>
        <v>94</v>
      </c>
    </row>
    <row r="55" spans="1:4" x14ac:dyDescent="0.35">
      <c r="A55" s="14" t="str">
        <f>Cleaned_Stores!A4</f>
        <v>S103</v>
      </c>
      <c r="B55" s="14" t="str">
        <f>Cleaned_Stores!B4</f>
        <v>Aurelia Jewels - Jaipur</v>
      </c>
      <c r="C55" s="22">
        <f>SUMIF(Cleaned_Sales!$G$2:$G$714,A55,Cleaned_Sales!$K$2:$K$714)</f>
        <v>19313721.5</v>
      </c>
      <c r="D55" s="14">
        <f>COUNTIF(Cleaned_Sales!$G$2:$G$714,A55)</f>
        <v>98</v>
      </c>
    </row>
    <row r="56" spans="1:4" x14ac:dyDescent="0.35">
      <c r="A56" s="14" t="str">
        <f>Cleaned_Stores!A5</f>
        <v>S104</v>
      </c>
      <c r="B56" s="14" t="str">
        <f>Cleaned_Stores!B5</f>
        <v>Aurelia Jewels - Ahmedabad</v>
      </c>
      <c r="C56" s="22">
        <f>SUMIF(Cleaned_Sales!$G$2:$G$714,A56,Cleaned_Sales!$K$2:$K$714)</f>
        <v>16835559.5</v>
      </c>
      <c r="D56" s="14">
        <f>COUNTIF(Cleaned_Sales!$G$2:$G$714,A56)</f>
        <v>92</v>
      </c>
    </row>
    <row r="57" spans="1:4" x14ac:dyDescent="0.35">
      <c r="A57" s="14" t="str">
        <f>Cleaned_Stores!A6</f>
        <v>S105</v>
      </c>
      <c r="B57" s="14" t="str">
        <f>Cleaned_Stores!B6</f>
        <v>Aurelia Jewels - Mumbai</v>
      </c>
      <c r="C57" s="22">
        <f>SUMIF(Cleaned_Sales!$G$2:$G$714,A57,Cleaned_Sales!$K$2:$K$714)</f>
        <v>14641877.5</v>
      </c>
      <c r="D57" s="14">
        <f>COUNTIF(Cleaned_Sales!$G$2:$G$714,A57)</f>
        <v>79</v>
      </c>
    </row>
    <row r="58" spans="1:4" x14ac:dyDescent="0.35">
      <c r="A58" s="14" t="str">
        <f>Cleaned_Stores!A7</f>
        <v>S106</v>
      </c>
      <c r="B58" s="14" t="str">
        <f>Cleaned_Stores!B7</f>
        <v>Aurelia Jewels - Lucknow</v>
      </c>
      <c r="C58" s="22">
        <f>SUMIF(Cleaned_Sales!$G$2:$G$714,A58,Cleaned_Sales!$K$2:$K$714)</f>
        <v>14317814.5</v>
      </c>
      <c r="D58" s="14">
        <f>COUNTIF(Cleaned_Sales!$G$2:$G$714,A58)</f>
        <v>82</v>
      </c>
    </row>
    <row r="59" spans="1:4" x14ac:dyDescent="0.35">
      <c r="A59" s="14" t="str">
        <f>Cleaned_Stores!A8</f>
        <v>S107</v>
      </c>
      <c r="B59" s="14" t="str">
        <f>Cleaned_Stores!B8</f>
        <v>Aurelia Jewels - Hyderabad</v>
      </c>
      <c r="C59" s="22">
        <f>SUMIF(Cleaned_Sales!$G$2:$G$714,A59,Cleaned_Sales!$K$2:$K$714)</f>
        <v>17909226.5</v>
      </c>
      <c r="D59" s="14">
        <f>COUNTIF(Cleaned_Sales!$G$2:$G$714,A59)</f>
        <v>89</v>
      </c>
    </row>
    <row r="60" spans="1:4" x14ac:dyDescent="0.35">
      <c r="A60" s="14" t="str">
        <f>Cleaned_Stores!A9</f>
        <v>S108</v>
      </c>
      <c r="B60" s="14" t="str">
        <f>Cleaned_Stores!B9</f>
        <v>Aurelia Jewels - Bengaluru</v>
      </c>
      <c r="C60" s="22">
        <f>SUMIF(Cleaned_Sales!$G$2:$G$714,A60,Cleaned_Sales!$K$2:$K$714)</f>
        <v>17566616</v>
      </c>
      <c r="D60" s="14">
        <f>COUNTIF(Cleaned_Sales!$G$2:$G$714,A60)</f>
        <v>87</v>
      </c>
    </row>
    <row r="63" spans="1:4" ht="21.75" customHeight="1" x14ac:dyDescent="0.35">
      <c r="A63" s="1" t="s">
        <v>4109</v>
      </c>
      <c r="B63" s="1"/>
      <c r="C63" s="1"/>
    </row>
    <row r="64" spans="1:4" x14ac:dyDescent="0.35">
      <c r="A64" s="17" t="s">
        <v>49</v>
      </c>
      <c r="B64" s="17" t="s">
        <v>3972</v>
      </c>
      <c r="C64" s="17" t="s">
        <v>4110</v>
      </c>
    </row>
    <row r="65" spans="1:3" x14ac:dyDescent="0.35">
      <c r="A65" s="14" t="s">
        <v>3974</v>
      </c>
      <c r="B65" s="22">
        <f>SUMIF(Cleaned_Sales!$L$2:$L$714,A65,Cleaned_Sales!$K$2:$K$714)</f>
        <v>21566532.5</v>
      </c>
      <c r="C65" s="23">
        <f>B65/SUM(Cleaned_Sales!$K$2:$K$714)</f>
        <v>0.15427369539420266</v>
      </c>
    </row>
    <row r="66" spans="1:3" x14ac:dyDescent="0.35">
      <c r="A66" s="14" t="s">
        <v>3979</v>
      </c>
      <c r="B66" s="22">
        <f>SUMIF(Cleaned_Sales!$L$2:$L$714,A66,Cleaned_Sales!$K$2:$K$714)</f>
        <v>22044695</v>
      </c>
      <c r="C66" s="23">
        <f>B66/SUM(Cleaned_Sales!$K$2:$K$714)</f>
        <v>0.15769417552349235</v>
      </c>
    </row>
    <row r="67" spans="1:3" x14ac:dyDescent="0.35">
      <c r="A67" s="14" t="s">
        <v>121</v>
      </c>
      <c r="B67" s="22">
        <f>SUMIF(Cleaned_Sales!$L$2:$L$714,A67,Cleaned_Sales!$K$2:$K$714)</f>
        <v>21526164.5</v>
      </c>
      <c r="C67" s="23">
        <f>B67/SUM(Cleaned_Sales!$K$2:$K$714)</f>
        <v>0.15398492757602544</v>
      </c>
    </row>
    <row r="68" spans="1:3" x14ac:dyDescent="0.35">
      <c r="A68" s="14" t="s">
        <v>73</v>
      </c>
      <c r="B68" s="22">
        <f>SUMIF(Cleaned_Sales!$L$2:$L$714,A68,Cleaned_Sales!$K$2:$K$714)</f>
        <v>25474287</v>
      </c>
      <c r="C68" s="23">
        <f>B68/SUM(Cleaned_Sales!$K$2:$K$714)</f>
        <v>0.18222736515582635</v>
      </c>
    </row>
    <row r="69" spans="1:3" x14ac:dyDescent="0.35">
      <c r="A69" s="14" t="s">
        <v>95</v>
      </c>
      <c r="B69" s="22">
        <f>SUMIF(Cleaned_Sales!$L$2:$L$714,A69,Cleaned_Sales!$K$2:$K$714)</f>
        <v>23107580</v>
      </c>
      <c r="C69" s="23">
        <f>B69/SUM(Cleaned_Sales!$K$2:$K$714)</f>
        <v>0.16529740041507227</v>
      </c>
    </row>
    <row r="70" spans="1:3" x14ac:dyDescent="0.35">
      <c r="A70" s="14" t="s">
        <v>3977</v>
      </c>
      <c r="B70" s="22">
        <f>SUMIF(Cleaned_Sales!$L$2:$L$714,A70,Cleaned_Sales!$K$2:$K$714)</f>
        <v>26074712</v>
      </c>
      <c r="C70" s="23">
        <f>B70/SUM(Cleaned_Sales!$K$2:$K$714)</f>
        <v>0.18652243593538093</v>
      </c>
    </row>
    <row r="73" spans="1:3" ht="21.75" customHeight="1" x14ac:dyDescent="0.35">
      <c r="A73" s="1" t="s">
        <v>4111</v>
      </c>
      <c r="B73" s="1"/>
      <c r="C73" s="1"/>
    </row>
    <row r="74" spans="1:3" x14ac:dyDescent="0.35">
      <c r="A74" s="17" t="s">
        <v>4112</v>
      </c>
      <c r="B74" s="17" t="s">
        <v>3334</v>
      </c>
      <c r="C74" s="17" t="s">
        <v>4096</v>
      </c>
    </row>
    <row r="75" spans="1:3" x14ac:dyDescent="0.35">
      <c r="A75" s="14">
        <v>1</v>
      </c>
      <c r="B75" s="14" t="str">
        <f>INDEX(Classification!$B$69:$B$217,MATCH(LARGE(Classification!$C$69:$C$217,1),Classification!$C$69:$C$217,0))</f>
        <v>Vedhika Sabharwal</v>
      </c>
      <c r="C75" s="22">
        <f>LARGE(Classification!$C$69:$C$217,1)</f>
        <v>2522996</v>
      </c>
    </row>
    <row r="76" spans="1:3" x14ac:dyDescent="0.35">
      <c r="A76" s="14">
        <v>2</v>
      </c>
      <c r="B76" s="14" t="str">
        <f>INDEX(Classification!$B$69:$B$217,MATCH(LARGE(Classification!$C$69:$C$217,2),Classification!$C$69:$C$217,0))</f>
        <v>Max Guha</v>
      </c>
      <c r="C76" s="22">
        <f>LARGE(Classification!$C$69:$C$217,2)</f>
        <v>2116195.5</v>
      </c>
    </row>
    <row r="77" spans="1:3" x14ac:dyDescent="0.35">
      <c r="A77" s="14">
        <v>3</v>
      </c>
      <c r="B77" s="14" t="str">
        <f>INDEX(Classification!$B$69:$B$217,MATCH(LARGE(Classification!$C$69:$C$217,3),Classification!$C$69:$C$217,0))</f>
        <v>Oscar Hans</v>
      </c>
      <c r="C77" s="22">
        <f>LARGE(Classification!$C$69:$C$217,3)</f>
        <v>2063807</v>
      </c>
    </row>
    <row r="78" spans="1:3" x14ac:dyDescent="0.35">
      <c r="A78" s="14">
        <v>4</v>
      </c>
      <c r="B78" s="14" t="str">
        <f>INDEX(Classification!$B$69:$B$217,MATCH(LARGE(Classification!$C$69:$C$217,4),Classification!$C$69:$C$217,0))</f>
        <v>George Wason</v>
      </c>
      <c r="C78" s="22">
        <f>LARGE(Classification!$C$69:$C$217,4)</f>
        <v>2040661.5</v>
      </c>
    </row>
    <row r="79" spans="1:3" x14ac:dyDescent="0.35">
      <c r="A79" s="14">
        <v>5</v>
      </c>
      <c r="B79" s="14" t="str">
        <f>INDEX(Classification!$B$69:$B$217,MATCH(LARGE(Classification!$C$69:$C$217,5),Classification!$C$69:$C$217,0))</f>
        <v>Oliver Kakar</v>
      </c>
      <c r="C79" s="22">
        <f>LARGE(Classification!$C$69:$C$217,5)</f>
        <v>2010960</v>
      </c>
    </row>
    <row r="80" spans="1:3" x14ac:dyDescent="0.35">
      <c r="A80" s="14">
        <v>6</v>
      </c>
      <c r="B80" s="14" t="str">
        <f>INDEX(Classification!$B$69:$B$217,MATCH(LARGE(Classification!$C$69:$C$217,6),Classification!$C$69:$C$217,0))</f>
        <v>Lakshit Dani</v>
      </c>
      <c r="C80" s="22">
        <f>LARGE(Classification!$C$69:$C$217,6)</f>
        <v>2008606</v>
      </c>
    </row>
    <row r="81" spans="1:3" x14ac:dyDescent="0.35">
      <c r="A81" s="14">
        <v>7</v>
      </c>
      <c r="B81" s="14" t="str">
        <f>INDEX(Classification!$B$69:$B$217,MATCH(LARGE(Classification!$C$69:$C$217,7),Classification!$C$69:$C$217,0))</f>
        <v>Elijah Mannan</v>
      </c>
      <c r="C81" s="22">
        <f>LARGE(Classification!$C$69:$C$217,7)</f>
        <v>1937922</v>
      </c>
    </row>
    <row r="82" spans="1:3" x14ac:dyDescent="0.35">
      <c r="A82" s="14">
        <v>8</v>
      </c>
      <c r="B82" s="14" t="str">
        <f>INDEX(Classification!$B$69:$B$217,MATCH(LARGE(Classification!$C$69:$C$217,8),Classification!$C$69:$C$217,0))</f>
        <v>Charles Dugal</v>
      </c>
      <c r="C82" s="22">
        <f>LARGE(Classification!$C$69:$C$217,8)</f>
        <v>1838089</v>
      </c>
    </row>
    <row r="83" spans="1:3" x14ac:dyDescent="0.35">
      <c r="A83" s="14">
        <v>9</v>
      </c>
      <c r="B83" s="14" t="str">
        <f>INDEX(Classification!$B$69:$B$217,MATCH(LARGE(Classification!$C$69:$C$217,9),Classification!$C$69:$C$217,0))</f>
        <v>Widisha Badami</v>
      </c>
      <c r="C83" s="22">
        <f>LARGE(Classification!$C$69:$C$217,9)</f>
        <v>1796337.5</v>
      </c>
    </row>
    <row r="84" spans="1:3" x14ac:dyDescent="0.35">
      <c r="A84" s="14">
        <v>10</v>
      </c>
      <c r="B84" s="14" t="str">
        <f>INDEX(Classification!$B$69:$B$217,MATCH(LARGE(Classification!$C$69:$C$217,10),Classification!$C$69:$C$217,0))</f>
        <v>Victor Kakar</v>
      </c>
      <c r="C84" s="22">
        <f>LARGE(Classification!$C$69:$C$217,10)</f>
        <v>1737848.5</v>
      </c>
    </row>
  </sheetData>
  <mergeCells count="5">
    <mergeCell ref="A3:D3"/>
    <mergeCell ref="A15:C15"/>
    <mergeCell ref="A51:D51"/>
    <mergeCell ref="A63:C63"/>
    <mergeCell ref="A73:C73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KPI_Summary</vt:lpstr>
      <vt:lpstr>README</vt:lpstr>
      <vt:lpstr>Raw_Sales</vt:lpstr>
      <vt:lpstr>Raw_Products</vt:lpstr>
      <vt:lpstr>Raw_Customers</vt:lpstr>
      <vt:lpstr>Raw_Stores</vt:lpstr>
      <vt:lpstr>DataQuality_Log</vt:lpstr>
      <vt:lpstr>Cleaned_Sales</vt:lpstr>
      <vt:lpstr>Cleaned_Products</vt:lpstr>
      <vt:lpstr>Cleaned_Customers</vt:lpstr>
      <vt:lpstr>Cleaned_Stores</vt:lpstr>
      <vt:lpstr>Classification</vt:lpstr>
      <vt:lpstr>Pivot_Tables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palakk13@outlook.com</cp:lastModifiedBy>
  <cp:revision>1</cp:revision>
  <dcterms:created xsi:type="dcterms:W3CDTF">2026-08-24T18:35:49Z</dcterms:created>
  <dcterms:modified xsi:type="dcterms:W3CDTF">2026-08-25T15:54:14Z</dcterms:modified>
  <dc:language>en-US</dc:language>
</cp:coreProperties>
</file>